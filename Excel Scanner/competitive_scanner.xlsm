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filterPrivacy="1" codeName="ThisWorkbook"/>
  <xr:revisionPtr revIDLastSave="0" documentId="10_ncr:100000_{CA9F15B2-52E8-4956-BD07-139CC7562EB9}" xr6:coauthVersionLast="31" xr6:coauthVersionMax="35" xr10:uidLastSave="{00000000-0000-0000-0000-000000000000}"/>
  <bookViews>
    <workbookView xWindow="0" yWindow="0" windowWidth="22260" windowHeight="12645" tabRatio="782" activeTab="2" xr2:uid="{00000000-000D-0000-FFFF-FFFF00000000}"/>
  </bookViews>
  <sheets>
    <sheet name="Menu" sheetId="29" r:id="rId1"/>
    <sheet name="Retail_Report" sheetId="24" r:id="rId2"/>
    <sheet name="US$_Report" sheetId="25" r:id="rId3"/>
    <sheet name="Broker_Report" sheetId="26" r:id="rId4"/>
    <sheet name="Report_OLD" sheetId="1" r:id="rId5"/>
    <sheet name="TD_rates" sheetId="12" r:id="rId6"/>
    <sheet name="RBC_rates" sheetId="11" r:id="rId7"/>
    <sheet name="Sheet10" sheetId="10" state="hidden" r:id="rId8"/>
    <sheet name="Sheet9" sheetId="9" state="hidden" r:id="rId9"/>
    <sheet name="Sheet8" sheetId="8" state="hidden" r:id="rId10"/>
    <sheet name="Sheet7" sheetId="7" state="hidden" r:id="rId11"/>
    <sheet name="Sheet6" sheetId="6" state="hidden" r:id="rId12"/>
    <sheet name="CT_rates" sheetId="5" r:id="rId13"/>
    <sheet name="Simplii_rates" sheetId="20" r:id="rId14"/>
    <sheet name="ICICI_rates" sheetId="21" r:id="rId15"/>
    <sheet name="NBC_rates" sheetId="22" r:id="rId16"/>
    <sheet name="Manulife_rates" sheetId="23" r:id="rId17"/>
    <sheet name="BNS_rates" sheetId="18" r:id="rId18"/>
    <sheet name="BMO_rates" sheetId="27" r:id="rId19"/>
    <sheet name="B2B_rates" sheetId="28" r:id="rId20"/>
    <sheet name="Sheet4" sheetId="4" state="hidden" r:id="rId21"/>
    <sheet name="Sheet3" sheetId="3" state="hidden" r:id="rId22"/>
    <sheet name="Sheet2" sheetId="2" state="hidden" r:id="rId23"/>
  </sheets>
  <functionGroups builtInGroupCount="19"/>
  <definedNames>
    <definedName name="_xlnm._FilterDatabase" localSheetId="4" hidden="1">Report_OLD!$A$1:$D$18</definedName>
    <definedName name="ExternalData_1" localSheetId="19" hidden="1">B2B_rates!$B$1:$E$5</definedName>
    <definedName name="ExternalData_1" localSheetId="17" hidden="1">BNS_rates!$B$16:$D$18</definedName>
    <definedName name="ExternalData_1" localSheetId="14" hidden="1">ICICI_rates!$B$2:$D$9</definedName>
    <definedName name="ExternalData_1" localSheetId="16" hidden="1">Manulife_rates!$B$1:$E$81</definedName>
    <definedName name="ExternalData_1" localSheetId="15" hidden="1">NBC_rates!$B$1:$D$30</definedName>
    <definedName name="ExternalData_1" localSheetId="22" hidden="1">Sheet2!$A$1:$B$2</definedName>
    <definedName name="ExternalData_1" localSheetId="13" hidden="1">Simplii_rates!$B$1:$C$59</definedName>
    <definedName name="ExternalData_10" localSheetId="6" hidden="1">RBC_rates!$B$1:$D$22</definedName>
    <definedName name="ExternalData_11" localSheetId="5" hidden="1">TD_rates!$A$1:$C$18</definedName>
    <definedName name="ExternalData_2" localSheetId="14" hidden="1">ICICI_rates!$B$12:$F$17</definedName>
    <definedName name="ExternalData_2" localSheetId="16" hidden="1">Manulife_rates!$B$82:$D$83</definedName>
    <definedName name="ExternalData_2" localSheetId="21" hidden="1">Sheet3!$A$1:$B$3</definedName>
    <definedName name="ExternalData_3" localSheetId="14" hidden="1">ICICI_rates!$B$20:$F$33</definedName>
    <definedName name="ExternalData_3" localSheetId="20" hidden="1">Sheet4!$A$1:$B$8</definedName>
    <definedName name="ExternalData_4" localSheetId="12" hidden="1">CT_rates!$A$1:$B$11</definedName>
    <definedName name="ExternalData_5" localSheetId="14" hidden="1">ICICI_rates!$B$37:$D$42</definedName>
    <definedName name="ExternalData_5" localSheetId="11" hidden="1">Sheet6!$A$1:$B$2</definedName>
    <definedName name="ExternalData_6" localSheetId="14" hidden="1">ICICI_rates!$B$45:$D$46</definedName>
    <definedName name="ExternalData_6" localSheetId="10" hidden="1">Sheet7!$A$1:$B$10</definedName>
    <definedName name="ExternalData_7" localSheetId="14" hidden="1">ICICI_rates!$B$48:$D$53</definedName>
    <definedName name="ExternalData_7" localSheetId="9" hidden="1">Sheet8!$A$1:$B$6</definedName>
    <definedName name="ExternalData_8" localSheetId="14" hidden="1">ICICI_rates!$B$56:$D$65</definedName>
    <definedName name="ExternalData_8" localSheetId="8" hidden="1">Sheet9!$A$1:$B$2</definedName>
    <definedName name="ExternalData_9" localSheetId="7" hidden="1">Sheet10!$A$1:$B$6</definedName>
    <definedName name="moneymaster" localSheetId="17">BNS_rates!$A$8</definedName>
    <definedName name="mpsa" localSheetId="17">BNS_rates!$A$2</definedName>
    <definedName name="Query___BMO___SBA_SSA_PRSA" localSheetId="18" hidden="1">BMO_rates!$B$1:$C$8</definedName>
    <definedName name="Query___BNS___MPS_MM_SA" localSheetId="17" hidden="1">BNS_rates!$B$1:$E$14</definedName>
    <definedName name="Query___RBC___US__High_Interest_eSavings™" localSheetId="6" hidden="1">RBC_rates!$B$26:$C$27</definedName>
    <definedName name="Query___RBC___US__Personal™_Account" localSheetId="6" hidden="1">RBC_rates!$B$30:$C$31</definedName>
    <definedName name="ssaa" localSheetId="17">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c r="U20" i="24"/>
  <c r="U21" i="24"/>
  <c r="AB18" i="24"/>
  <c r="AB19" i="24"/>
  <c r="AB20" i="24"/>
  <c r="AB21" i="24"/>
  <c r="Y14" i="24"/>
  <c r="Y15" i="24"/>
  <c r="Y16" i="24"/>
  <c r="Y17" i="24"/>
  <c r="Y18" i="24"/>
  <c r="Y19" i="24"/>
  <c r="Y20" i="24"/>
  <c r="Y21" i="24"/>
  <c r="V14" i="24"/>
  <c r="V15" i="24"/>
  <c r="V16" i="24"/>
  <c r="V17" i="24"/>
  <c r="V18" i="24"/>
  <c r="V19" i="24"/>
  <c r="V20" i="24"/>
  <c r="V21" i="24"/>
  <c r="S14" i="24"/>
  <c r="S15" i="24"/>
  <c r="S16" i="24"/>
  <c r="S17" i="24"/>
  <c r="S18" i="24"/>
  <c r="S19" i="24"/>
  <c r="S20" i="24"/>
  <c r="S21" i="24"/>
  <c r="Q14" i="24"/>
  <c r="Q15" i="24"/>
  <c r="Q16" i="24"/>
  <c r="Q17" i="24"/>
  <c r="Q18" i="24"/>
  <c r="Q19" i="24"/>
  <c r="Q20" i="24"/>
  <c r="Q21" i="24"/>
  <c r="N14" i="24"/>
  <c r="N15" i="24"/>
  <c r="N16" i="24"/>
  <c r="N17" i="24"/>
  <c r="N18" i="24"/>
  <c r="N19" i="24"/>
  <c r="N20" i="24"/>
  <c r="N21" i="24"/>
  <c r="M13" i="24"/>
  <c r="M14" i="24"/>
  <c r="M15" i="24"/>
  <c r="M16" i="24"/>
  <c r="M17" i="24"/>
  <c r="M18" i="24"/>
  <c r="I14" i="24"/>
  <c r="I15" i="24"/>
  <c r="I16" i="24"/>
  <c r="I17" i="24"/>
  <c r="I18" i="24"/>
  <c r="I19" i="24"/>
  <c r="I20" i="24"/>
  <c r="I21" i="24"/>
  <c r="G14" i="24"/>
  <c r="G15" i="24"/>
  <c r="G16" i="24"/>
  <c r="G17" i="24"/>
  <c r="F14" i="24"/>
  <c r="F15" i="24"/>
  <c r="F16" i="24"/>
  <c r="F17" i="24"/>
  <c r="F18" i="24"/>
  <c r="E14" i="24"/>
  <c r="E15" i="24"/>
  <c r="E16" i="24"/>
  <c r="E17" i="24"/>
  <c r="E18" i="24"/>
  <c r="E19" i="24"/>
  <c r="E20" i="24"/>
  <c r="E21" i="24"/>
  <c r="D14" i="24"/>
  <c r="D15" i="24"/>
  <c r="D16" i="24"/>
  <c r="D17" i="24"/>
  <c r="D18" i="24"/>
  <c r="D19" i="24"/>
  <c r="D20" i="24"/>
  <c r="D21" i="24"/>
  <c r="C14" i="24"/>
  <c r="C15" i="24"/>
  <c r="C16" i="24"/>
  <c r="C17" i="24"/>
  <c r="C18" i="24"/>
  <c r="C19" i="24"/>
  <c r="H13" i="24"/>
  <c r="H14" i="24"/>
  <c r="H15" i="24"/>
  <c r="H16" i="24"/>
  <c r="H17" i="24"/>
  <c r="H18" i="24"/>
  <c r="H19" i="24"/>
  <c r="H20" i="24"/>
  <c r="H21" i="24"/>
  <c r="AB12" i="24"/>
  <c r="AB13" i="24"/>
  <c r="AB14" i="24"/>
  <c r="AB15" i="24"/>
  <c r="AB16" i="24"/>
  <c r="AA12" i="24"/>
  <c r="AA13" i="24"/>
  <c r="AA14" i="24"/>
  <c r="AA15" i="24"/>
  <c r="AA16" i="24"/>
  <c r="AA17" i="24"/>
  <c r="AA18" i="24"/>
  <c r="AA19" i="24"/>
  <c r="AA20" i="24"/>
  <c r="AA21" i="24"/>
  <c r="Z12" i="24"/>
  <c r="Z13" i="24"/>
  <c r="Z14" i="24"/>
  <c r="Z15" i="24"/>
  <c r="Z16" i="24"/>
  <c r="Z17" i="24"/>
  <c r="Z18" i="24"/>
  <c r="Z19" i="24"/>
  <c r="Z20" i="24"/>
  <c r="Z21" i="24"/>
  <c r="Y12" i="24"/>
  <c r="Y13" i="24"/>
  <c r="X12" i="24"/>
  <c r="X13" i="24"/>
  <c r="X14" i="24"/>
  <c r="X15" i="24"/>
  <c r="X16" i="24"/>
  <c r="X17" i="24"/>
  <c r="X18" i="24"/>
  <c r="X19" i="24"/>
  <c r="X20" i="24"/>
  <c r="X21" i="24"/>
  <c r="V12" i="24"/>
  <c r="V13" i="24"/>
  <c r="U12" i="24"/>
  <c r="U13" i="24"/>
  <c r="U14" i="24"/>
  <c r="U15" i="24"/>
  <c r="U16" i="24"/>
  <c r="U17" i="24"/>
  <c r="U18" i="24"/>
  <c r="T12" i="24"/>
  <c r="T13" i="24"/>
  <c r="T14" i="24"/>
  <c r="T15" i="24"/>
  <c r="T16" i="24"/>
  <c r="T17" i="24"/>
  <c r="T18" i="24"/>
  <c r="T19" i="24"/>
  <c r="T20" i="24"/>
  <c r="T21" i="24"/>
  <c r="S12" i="24"/>
  <c r="S13" i="24"/>
  <c r="R12" i="24"/>
  <c r="R13" i="24"/>
  <c r="R14" i="24"/>
  <c r="R15" i="24"/>
  <c r="R16" i="24"/>
  <c r="R17" i="24"/>
  <c r="R18" i="24"/>
  <c r="R19" i="24"/>
  <c r="R20" i="24"/>
  <c r="R21" i="24"/>
  <c r="Q12" i="24"/>
  <c r="Q13" i="24"/>
  <c r="N12" i="24"/>
  <c r="N13" i="24"/>
  <c r="L12" i="24"/>
  <c r="L13" i="24"/>
  <c r="L14" i="24"/>
  <c r="L15" i="24"/>
  <c r="L16" i="24"/>
  <c r="L17" i="24"/>
  <c r="L18" i="24"/>
  <c r="L19" i="24"/>
  <c r="L20" i="24"/>
  <c r="L21" i="24"/>
  <c r="K12" i="24"/>
  <c r="K13" i="24"/>
  <c r="K14" i="24"/>
  <c r="K15" i="24"/>
  <c r="K16" i="24"/>
  <c r="K17" i="24"/>
  <c r="K18" i="24"/>
  <c r="K19" i="24"/>
  <c r="K20" i="24"/>
  <c r="K21" i="24"/>
  <c r="I12" i="24"/>
  <c r="I13" i="24"/>
  <c r="G12" i="24"/>
  <c r="G13" i="24"/>
  <c r="F12" i="24"/>
  <c r="F13" i="24"/>
  <c r="E12" i="24"/>
  <c r="E13" i="24"/>
  <c r="D12" i="24"/>
  <c r="D13" i="24"/>
  <c r="C12" i="24"/>
  <c r="C13" i="24"/>
  <c r="D59" i="1"/>
  <c r="D58" i="1"/>
  <c r="D57" i="1"/>
  <c r="D53" i="1"/>
  <c r="D54" i="1"/>
  <c r="D55" i="1"/>
  <c r="D56" i="1"/>
  <c r="D52" i="1"/>
  <c r="D51" i="1"/>
  <c r="D50" i="1"/>
  <c r="D46" i="1"/>
  <c r="D47" i="1"/>
  <c r="D48" i="1"/>
  <c r="D49" i="1"/>
  <c r="D45" i="1"/>
  <c r="C59" i="1"/>
  <c r="B59" i="1"/>
  <c r="C58" i="1"/>
  <c r="B58" i="1"/>
  <c r="C57" i="1"/>
  <c r="B57" i="1"/>
  <c r="C53" i="1"/>
  <c r="C54" i="1"/>
  <c r="C55" i="1"/>
  <c r="C56" i="1"/>
  <c r="C52" i="1"/>
  <c r="B52" i="1"/>
  <c r="C51" i="1"/>
  <c r="B51" i="1"/>
  <c r="C50" i="1"/>
  <c r="B50" i="1"/>
  <c r="C46" i="1"/>
  <c r="C47" i="1"/>
  <c r="C48" i="1"/>
  <c r="C49" i="1"/>
  <c r="C45" i="1"/>
  <c r="B45" i="1"/>
  <c r="C36" i="1"/>
  <c r="C37" i="1"/>
  <c r="C38" i="1"/>
  <c r="C39" i="1"/>
  <c r="C40" i="1"/>
  <c r="C41" i="1"/>
  <c r="C42" i="1"/>
  <c r="C43" i="1"/>
  <c r="C35" i="1"/>
  <c r="D36" i="1"/>
  <c r="D37" i="1"/>
  <c r="D38" i="1"/>
  <c r="D39" i="1"/>
  <c r="D40" i="1"/>
  <c r="D41" i="1"/>
  <c r="D42" i="1"/>
  <c r="D43" i="1"/>
  <c r="D35" i="1"/>
  <c r="C20" i="1"/>
  <c r="C21" i="1"/>
  <c r="C22" i="1"/>
  <c r="C23" i="1"/>
  <c r="C24" i="1"/>
  <c r="C25" i="1"/>
  <c r="C26" i="1"/>
  <c r="C27" i="1"/>
  <c r="C28" i="1"/>
  <c r="C29" i="1"/>
  <c r="C30" i="1"/>
  <c r="C31" i="1"/>
  <c r="C32" i="1"/>
  <c r="C33" i="1"/>
  <c r="D20" i="1"/>
  <c r="D21" i="1"/>
  <c r="D22" i="1"/>
  <c r="D23" i="1"/>
  <c r="D24" i="1"/>
  <c r="D25" i="1"/>
  <c r="D26" i="1"/>
  <c r="D27" i="1"/>
  <c r="D28" i="1"/>
  <c r="D29" i="1"/>
  <c r="D30" i="1"/>
  <c r="D31" i="1"/>
  <c r="D32" i="1"/>
  <c r="D33" i="1"/>
  <c r="B26" i="1"/>
  <c r="B30" i="1"/>
  <c r="B20" i="1"/>
  <c r="D18" i="1"/>
  <c r="D17" i="1"/>
  <c r="D16" i="1"/>
  <c r="D15" i="1"/>
  <c r="D14" i="1"/>
  <c r="D13" i="1"/>
  <c r="D12" i="1"/>
  <c r="D11" i="1"/>
  <c r="D10" i="1"/>
  <c r="D9" i="1"/>
  <c r="D8" i="1"/>
  <c r="D7" i="1"/>
  <c r="D6" i="1"/>
  <c r="D5" i="1"/>
  <c r="D4" i="1"/>
  <c r="D3" i="1"/>
  <c r="C16" i="1"/>
  <c r="C17" i="1"/>
  <c r="C18" i="1"/>
  <c r="C11" i="1"/>
  <c r="C12" i="1"/>
  <c r="C13" i="1"/>
  <c r="C14" i="1"/>
  <c r="C15" i="1"/>
  <c r="C4" i="1"/>
  <c r="C5" i="1"/>
  <c r="C6" i="1"/>
  <c r="C7" i="1"/>
  <c r="C8" i="1"/>
  <c r="C9" i="1"/>
  <c r="C10" i="1"/>
  <c r="C3"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E88640-0518-4714-8582-BF53755258E1}"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2" xr16:uid="{00000000-0015-0000-FFFF-FFFF01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3" xr16:uid="{00000000-0015-0000-FFFF-FFFF02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4" xr16:uid="{00000000-0015-0000-FFFF-FFFF03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0000000-0015-0000-FFFF-FFFF04000000}" keepAlive="1" name="Query - Canadian Tire" description="Connection to the 'Canadian Tire' query in the workbook." type="5" refreshedVersion="6" background="1" saveData="1">
    <dbPr connection="Provider=Microsoft.Mashup.OleDb.1;Data Source=$Workbook$;Location=Canadian Tire;Extended Properties=&quot;&quot;" command="SELECT * FROM [Canadian Tire]"/>
  </connection>
  <connection id="6" xr16:uid="{00000000-0015-0000-FFFF-FFFF05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7" xr16:uid="{00000000-0015-0000-FFFF-FFFF06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8" xr16:uid="{00000000-0015-0000-FFFF-FFFF07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9" xr16:uid="{00000000-0015-0000-FFFF-FFFF08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0" xr16:uid="{00000000-0015-0000-FFFF-FFFF09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1" xr16:uid="{00000000-0015-0000-FFFF-FFFF0A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2" xr16:uid="{00000000-0015-0000-FFFF-FFFF0C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3" xr16:uid="{00000000-0015-0000-FFFF-FFFF0D000000}" keepAlive="1" name="Query - Manulife Promotions" description="Connection to the 'Manulife Promotions' query in the workbook." type="5" refreshedVersion="6" background="1" saveData="1">
    <dbPr connection="Provider=Microsoft.Mashup.OleDb.1;Data Source=$Workbook$;Location=Manulife Promotions;Extended Properties=&quot;&quot;" command="SELECT * FROM [Manulife Promotions]"/>
  </connection>
  <connection id="14" xr16:uid="{00000000-0015-0000-FFFF-FFFF0E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5" xr16:uid="{00000000-0015-0000-FFFF-FFFF0F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16" xr16:uid="{00000000-0015-0000-FFFF-FFFF10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17" xr16:uid="{00000000-0015-0000-FFFF-FFFF11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18" xr16:uid="{00000000-0015-0000-FFFF-FFFF12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19" xr16:uid="{00000000-0015-0000-FFFF-FFFF13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0" xr16:uid="{00000000-0015-0000-FFFF-FFFF14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1" xr16:uid="{00000000-0015-0000-FFFF-FFFF15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2" xr16:uid="{00000000-0015-0000-FFFF-FFFF16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3" xr16:uid="{00000000-0015-0000-FFFF-FFFF17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4" xr16:uid="{00000000-0015-0000-FFFF-FFFF18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25" xr16:uid="{00000000-0015-0000-FFFF-FFFF19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26" xr16:uid="{00000000-0015-0000-FFFF-FFFF1A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27" xr16:uid="{00000000-0015-0000-FFFF-FFFF1B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28" xr16:uid="{00000000-0015-0000-FFFF-FFFF1C000000}"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29" xr16:uid="{00000000-0015-0000-FFFF-FFFF1D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0" xr16:uid="{00000000-0015-0000-FFFF-FFFF1E000000}" keepAlive="1" name="Query - Table 1" description="Connection to the 'Table 1' query in the workbook." type="5" refreshedVersion="6" background="1" saveData="1">
    <dbPr connection="Provider=Microsoft.Mashup.OleDb.1;Data Source=$Workbook$;Location=Table 1;Extended Properties=&quot;&quot;" command="SELECT * FROM [Table 1]"/>
  </connection>
  <connection id="31" xr16:uid="{00000000-0015-0000-FFFF-FFFF1F000000}" keepAlive="1" name="Query - Table 2" description="Connection to the 'Table 2' query in the workbook." type="5" refreshedVersion="6" background="1" saveData="1">
    <dbPr connection="Provider=Microsoft.Mashup.OleDb.1;Data Source=$Workbook$;Location=Table 2;Extended Properties=&quot;&quot;" command="SELECT * FROM [Table 2]"/>
  </connection>
  <connection id="32" xr16:uid="{00000000-0015-0000-FFFF-FFFF20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3" xr16:uid="{00000000-0015-0000-FFFF-FFFF21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4" xr16:uid="{00000000-0015-0000-FFFF-FFFF22000000}" keepAlive="1" name="Query - TD TFS (Hardest to do in Excel)" description="Connection to the 'TD TFS (Hardest to do in Excel)' query in the workbook." type="5" refreshedVersion="6" background="1" saveData="1">
    <dbPr connection="Provider=Microsoft.Mashup.OleDb.1;Data Source=$Workbook$;Location=TD TFS (Hardest to do in Excel);Extended Properties=&quot;&quot;" command="SELECT * FROM [TD TFS (Hardest to do in Excel)]"/>
  </connection>
</connections>
</file>

<file path=xl/sharedStrings.xml><?xml version="1.0" encoding="utf-8"?>
<sst xmlns="http://schemas.openxmlformats.org/spreadsheetml/2006/main" count="1062" uniqueCount="560">
  <si>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</si>
  <si>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</si>
  <si>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</si>
  <si>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</si>
  <si>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</si>
  <si>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</si>
  <si>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</si>
  <si>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</si>
  <si>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</si>
  <si>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</si>
  <si>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</si>
  <si>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</si>
  <si>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</si>
  <si>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</si>
  <si>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</si>
  <si>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</si>
  <si>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</si>
  <si>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</si>
  <si>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</si>
  <si>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</si>
  <si>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</si>
  <si>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</si>
  <si>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</si>
  <si>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</si>
  <si>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</si>
  <si>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</si>
  <si>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</si>
  <si>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</si>
  <si>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</si>
  <si>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</si>
  <si>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</si>
  <si>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</si>
  <si>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</si>
  <si>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</si>
  <si>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</si>
  <si>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</si>
  <si>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</si>
  <si>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</si>
  <si>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</si>
  <si>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</si>
  <si>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</si>
  <si>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</si>
  <si>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</si>
  <si>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</si>
  <si>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</si>
  <si>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</si>
  <si>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5 (p)</t>
  </si>
  <si>
    <t>105 + 75, 80, 85, 90</t>
  </si>
  <si>
    <t>15 (p)</t>
  </si>
  <si>
    <t xml:space="preserve">150,000 - $249,999 </t>
  </si>
  <si>
    <t>20+120</t>
  </si>
  <si>
    <t xml:space="preserve">100,000 - $149,999 </t>
  </si>
  <si>
    <t>60,000 - 99,999</t>
  </si>
  <si>
    <t>2.5 (p)</t>
  </si>
  <si>
    <t>50,000 - 59,999</t>
  </si>
  <si>
    <t>25,000 - 49,999</t>
  </si>
  <si>
    <t>10,000 - 24,999</t>
  </si>
  <si>
    <t>5,000 - 9,999</t>
  </si>
  <si>
    <t>3000-4,999</t>
  </si>
  <si>
    <t>2 (p)</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</si>
  <si>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</si>
  <si>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</si>
  <si>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</si>
  <si>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</si>
  <si>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</si>
  <si>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</si>
  <si>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</si>
  <si>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</si>
  <si>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</si>
  <si>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</si>
  <si>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</si>
  <si>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</si>
  <si>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</si>
  <si>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</si>
  <si>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</si>
  <si>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</si>
  <si>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</si>
  <si>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</si>
  <si>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</si>
  <si>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</si>
  <si>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</si>
  <si>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</si>
  <si>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</si>
  <si>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</si>
  <si>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</si>
  <si>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</si>
  <si>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</si>
  <si>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</si>
  <si>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</si>
  <si>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</si>
  <si>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</si>
  <si>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</si>
  <si>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</si>
  <si>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</si>
  <si>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</si>
  <si>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</si>
  <si>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</si>
  <si>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</si>
  <si>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</si>
  <si>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</si>
  <si>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</si>
  <si>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</si>
  <si>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</si>
  <si>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</si>
  <si>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</si>
  <si>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</si>
  <si>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</si>
  <si>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</si>
  <si>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</si>
  <si>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</si>
  <si>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</si>
  <si>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</si>
  <si>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Institution</t>
  </si>
  <si>
    <t>Account type</t>
  </si>
  <si>
    <t>Range</t>
  </si>
  <si>
    <t>Rate</t>
  </si>
  <si>
    <t>RBC High Interest eSavings</t>
  </si>
  <si>
    <t>-</t>
  </si>
  <si>
    <t>RBC Enhanced Savings</t>
  </si>
  <si>
    <t>RBC Day to Day Savings</t>
  </si>
  <si>
    <t>RBC Leo's Young Savers Account</t>
  </si>
  <si>
    <t>TD</t>
  </si>
  <si>
    <t>CT</t>
  </si>
  <si>
    <t>GICs</t>
  </si>
  <si>
    <t>Tax Free Savings</t>
  </si>
  <si>
    <t>Column1</t>
  </si>
  <si>
    <t>Column2</t>
  </si>
  <si>
    <t>Column3</t>
  </si>
  <si>
    <t>High Interest TFSA Savings Account</t>
  </si>
  <si>
    <t>0 to $999.99</t>
  </si>
  <si>
    <t>1,000 to $4,999.99</t>
  </si>
  <si>
    <t>5,000 to $9,999.99</t>
  </si>
  <si>
    <t>10,000 to $24,999.99</t>
  </si>
  <si>
    <t>25,000 to $59,999.99</t>
  </si>
  <si>
    <t>60,000 and over</t>
  </si>
  <si>
    <t>DAILY INTEREST SAVINGS ACCOUNT RSP/LIRA/RLSP/LRRSP</t>
  </si>
  <si>
    <t>0 to $4,999.99</t>
  </si>
  <si>
    <t>5,000 to $24,999.99</t>
  </si>
  <si>
    <t>DAILY INTEREST SAVINGS ACCOUNT RIF/RESP/LIF/RLIF/LRIF/PRIF</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</si>
  <si>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</si>
  <si>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</si>
  <si>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</si>
  <si>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</si>
  <si>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</si>
  <si>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</si>
  <si>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</si>
  <si>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</si>
  <si>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</si>
  <si>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</si>
  <si>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</si>
  <si>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</si>
  <si>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</si>
  <si>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</si>
  <si>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</si>
  <si>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</si>
  <si>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</si>
  <si>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</si>
  <si>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</si>
  <si>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</si>
  <si>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</si>
  <si>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</si>
  <si>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</si>
  <si>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</si>
  <si>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</si>
  <si>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</si>
  <si>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</si>
  <si>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</si>
  <si>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</si>
  <si>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</si>
  <si>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Product Name</t>
  </si>
  <si>
    <t>1 Year</t>
  </si>
  <si>
    <t>2 Year</t>
  </si>
  <si>
    <t>Tax Free High Interest Savings*</t>
  </si>
  <si>
    <t>1 Year Tax Free GIC**</t>
  </si>
  <si>
    <t>2 Year Tax Free GIC**</t>
  </si>
  <si>
    <t>3 Year Tax Free GIC**</t>
  </si>
  <si>
    <t>4 Year Tax Free GIC**</t>
  </si>
  <si>
    <t>5 Year Tax Free GIC**</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</si>
  <si>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</si>
  <si>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</si>
  <si>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</si>
  <si>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</si>
  <si>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</si>
  <si>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</si>
  <si>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</si>
  <si>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</si>
  <si>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</si>
  <si>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</si>
  <si>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</si>
  <si>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</si>
  <si>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</si>
  <si>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</si>
  <si>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</si>
  <si>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</si>
  <si>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</si>
  <si>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</si>
  <si>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</si>
  <si>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</si>
  <si>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1.10</t>
  </si>
  <si>
    <t>Variable Rate Mortgages</t>
  </si>
  <si>
    <t>Term</t>
  </si>
  <si>
    <t>Posted Rate %</t>
  </si>
  <si>
    <t>5 year</t>
  </si>
  <si>
    <t>3.70</t>
  </si>
  <si>
    <t>Fixed Rate Mortgages</t>
  </si>
  <si>
    <t>Fixed rate (%)</t>
  </si>
  <si>
    <t>Posted Rates</t>
  </si>
  <si>
    <t>2 year</t>
  </si>
  <si>
    <t>3.34</t>
  </si>
  <si>
    <t>3 year</t>
  </si>
  <si>
    <t>3.59</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</si>
  <si>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</si>
  <si>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</si>
  <si>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</si>
  <si>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</si>
  <si>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</si>
  <si>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</si>
  <si>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</si>
  <si>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</si>
  <si>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</si>
  <si>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</si>
  <si>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</si>
  <si>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</si>
  <si>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</si>
  <si>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</si>
  <si>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</si>
  <si>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</si>
  <si>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</si>
  <si>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</si>
  <si>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</si>
  <si>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</si>
  <si>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</si>
  <si>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</si>
  <si>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</si>
  <si>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</si>
  <si>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</si>
  <si>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</si>
  <si>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</si>
  <si>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</si>
  <si>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</si>
  <si>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</si>
  <si>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</si>
  <si>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</si>
  <si>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2.472</t>
  </si>
  <si>
    <t>2.179</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</si>
  <si>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</si>
  <si>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</si>
  <si>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</si>
  <si>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</si>
  <si>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</si>
  <si>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</si>
  <si>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</si>
  <si>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</si>
  <si>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</si>
  <si>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</si>
  <si>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</si>
  <si>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</si>
  <si>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</si>
  <si>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</si>
  <si>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</si>
  <si>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</si>
  <si>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</si>
  <si>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</si>
  <si>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</si>
  <si>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</si>
  <si>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</si>
  <si>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</si>
  <si>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</si>
  <si>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</si>
  <si>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</si>
  <si>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</si>
  <si>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</si>
  <si>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</si>
  <si>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</si>
  <si>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</si>
  <si>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</si>
  <si>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</si>
  <si>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</si>
  <si>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</si>
  <si>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</si>
  <si>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</si>
  <si>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</si>
  <si>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</si>
  <si>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</si>
  <si>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</si>
  <si>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</si>
  <si>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</si>
  <si>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</si>
  <si>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</si>
  <si>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</si>
  <si>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</si>
  <si>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</si>
  <si>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</si>
  <si>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</si>
  <si>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</si>
  <si>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</si>
  <si>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</si>
  <si>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</si>
  <si>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</si>
  <si>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</si>
  <si>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</si>
  <si>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</si>
  <si>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</si>
  <si>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</si>
  <si>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</si>
  <si>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</si>
  <si>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</si>
  <si>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</si>
  <si>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</si>
  <si>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</si>
  <si>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</si>
  <si>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</si>
  <si>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</si>
  <si>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</si>
  <si>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</si>
  <si>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</si>
  <si>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</si>
  <si>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</si>
  <si>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</si>
  <si>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</si>
  <si>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</si>
  <si>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</si>
  <si>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</si>
  <si>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</si>
  <si>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</si>
  <si>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</si>
  <si>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</si>
  <si>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</si>
  <si>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</si>
  <si>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</si>
  <si>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</si>
  <si>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</si>
  <si>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</si>
  <si>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</si>
  <si>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</si>
  <si>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</si>
  <si>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</si>
  <si>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</si>
  <si>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</si>
  <si>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</si>
  <si>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</si>
  <si>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</si>
  <si>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</si>
  <si>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</si>
  <si>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</si>
  <si>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</si>
  <si>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</si>
  <si>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</si>
  <si>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</si>
  <si>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</si>
  <si>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</si>
  <si>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</si>
  <si>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</si>
  <si>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</si>
  <si>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</si>
  <si>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</si>
  <si>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</si>
  <si>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</si>
  <si>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</si>
  <si>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</si>
  <si>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</si>
  <si>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</si>
  <si>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</si>
  <si>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</si>
  <si>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</si>
  <si>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</si>
  <si>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</si>
  <si>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</si>
  <si>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</si>
  <si>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</si>
  <si>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</si>
  <si>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</si>
  <si>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</si>
  <si>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</si>
  <si>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</si>
  <si>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</si>
  <si>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</si>
  <si>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</si>
  <si>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</si>
  <si>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</si>
  <si>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</si>
  <si>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</si>
  <si>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</si>
  <si>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</si>
  <si>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</si>
  <si>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</si>
  <si>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</si>
  <si>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</si>
  <si>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</si>
  <si>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</si>
  <si>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0.55%</t>
  </si>
  <si>
    <t>60 - 89 days</t>
  </si>
  <si>
    <t>90 - 179 days</t>
  </si>
  <si>
    <t>0.70%</t>
  </si>
  <si>
    <t>180 - 269 days</t>
  </si>
  <si>
    <t>0.80%</t>
  </si>
  <si>
    <t>270 - 364 days</t>
  </si>
  <si>
    <t>Guaranteed Investment Certificates (RSP and non-registered)</t>
  </si>
  <si>
    <t>Annual interest</t>
  </si>
  <si>
    <t>Monthly interest</t>
  </si>
  <si>
    <t>Semi-annual interest</t>
  </si>
  <si>
    <t>2.10%</t>
  </si>
  <si>
    <t>3 Year</t>
  </si>
  <si>
    <t>2.75%</t>
  </si>
  <si>
    <t>4 Year</t>
  </si>
  <si>
    <t>2.85%</t>
  </si>
  <si>
    <t>2.80%</t>
  </si>
  <si>
    <t>5 Year</t>
  </si>
  <si>
    <t>2.90%</t>
  </si>
  <si>
    <t>2.95%</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</si>
  <si>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</si>
  <si>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</si>
  <si>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</si>
  <si>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</si>
  <si>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</si>
  <si>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</si>
  <si>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</si>
  <si>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</si>
  <si>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</si>
  <si>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</si>
  <si>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</si>
  <si>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</si>
  <si>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</si>
  <si>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</si>
  <si>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</si>
  <si>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</si>
  <si>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</si>
  <si>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</si>
  <si>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</si>
  <si>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</si>
  <si>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</si>
  <si>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</si>
  <si>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</si>
  <si>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</si>
  <si>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</si>
  <si>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</si>
  <si>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</si>
  <si>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</si>
  <si>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</si>
  <si>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</si>
  <si>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</si>
  <si>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</si>
  <si>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</si>
  <si>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</si>
  <si>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</si>
  <si>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</si>
  <si>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</si>
  <si>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</si>
  <si>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</si>
  <si>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</si>
  <si>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</si>
  <si>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</si>
  <si>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</si>
  <si>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</si>
  <si>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</si>
  <si>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</si>
  <si>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</si>
  <si>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</si>
  <si>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</si>
  <si>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</si>
  <si>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</si>
  <si>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</si>
  <si>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</si>
  <si>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</si>
  <si>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</si>
  <si>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</si>
  <si>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</si>
  <si>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</si>
  <si>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</si>
  <si>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</si>
  <si>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</si>
  <si>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</si>
  <si>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</si>
  <si>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</si>
  <si>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</si>
  <si>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</si>
  <si>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</si>
  <si>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</si>
  <si>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</si>
  <si>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</si>
  <si>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</si>
  <si>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</si>
  <si>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</si>
  <si>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Advantage Account - Additional Promotional Rate</t>
  </si>
  <si>
    <t>1.15%*</t>
  </si>
  <si>
    <t>Tax Free Savings (Rates effective 2018-02-08)</t>
  </si>
  <si>
    <t>GICs** (Rates effective 2018-02-08)</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</si>
  <si>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</si>
  <si>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</si>
  <si>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</si>
  <si>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</si>
  <si>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</si>
  <si>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</si>
  <si>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</si>
  <si>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</si>
  <si>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</si>
  <si>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</si>
  <si>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</si>
  <si>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</si>
  <si>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</si>
  <si>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</si>
  <si>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</si>
  <si>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</si>
  <si>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</si>
  <si>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</si>
  <si>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</si>
  <si>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</si>
  <si>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</si>
  <si>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</si>
  <si>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</si>
  <si>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</si>
  <si>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</si>
  <si>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</si>
  <si>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</si>
  <si>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</si>
  <si>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</si>
  <si>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</si>
  <si>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</si>
  <si>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</si>
  <si>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</si>
  <si>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</si>
  <si>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</si>
  <si>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</si>
  <si>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</si>
  <si>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</si>
  <si>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</si>
  <si>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</si>
  <si>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</si>
  <si>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</si>
  <si>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</si>
  <si>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</si>
  <si>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</si>
  <si>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</si>
  <si>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</si>
  <si>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</si>
  <si>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</si>
  <si>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</si>
  <si>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</si>
  <si>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</si>
  <si>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1.05 %
PROMO: Get an additional 1.10% when you deposit $5,000 or more to a new or existing high interest saving account. *</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</si>
  <si>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</si>
  <si>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</si>
  <si>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</si>
  <si>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</si>
  <si>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</si>
  <si>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</si>
  <si>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</si>
  <si>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</si>
  <si>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</si>
  <si>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</si>
  <si>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</si>
  <si>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</si>
  <si>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</si>
  <si>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</si>
  <si>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</si>
  <si>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3.15%</t>
  </si>
  <si>
    <t>3.05%</t>
  </si>
  <si>
    <t>3.10%</t>
  </si>
  <si>
    <t>1.25% A Series_x000D_
BTB 100</t>
  </si>
  <si>
    <t>1.50% F Series²_x000D_
BTB 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</si>
</sst>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3"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s>
  <fills count="8">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rgb="FF00B0F0"/>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99">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6" fillId="6" borderId="1" xfId="0" applyFont="1" applyFill="1" applyBorder="1" applyAlignment="1">
      <alignment horizontal="center"/>
    </xf>
    <xf numFmtId="0" fontId="3" fillId="7"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6" fillId="6" borderId="1" xfId="0" applyNumberFormat="1" applyFont="1" applyFill="1" applyBorder="1" applyAlignment="1">
      <alignment horizontal="center"/>
    </xf>
    <xf numFmtId="164" fontId="3" fillId="7"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9" fillId="6" borderId="2" xfId="0" applyNumberFormat="1" applyFont="1" applyFill="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9" fillId="6" borderId="23" xfId="0" applyNumberFormat="1" applyFont="1" applyFill="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6"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9" fillId="6" borderId="21" xfId="0" applyNumberFormat="1" applyFont="1" applyFill="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1</xdr:row>
          <xdr:rowOff>114300</xdr:rowOff>
        </xdr:from>
        <xdr:to>
          <xdr:col>3</xdr:col>
          <xdr:colOff>371475</xdr:colOff>
          <xdr:row>3</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8</xdr:row>
          <xdr:rowOff>47625</xdr:rowOff>
        </xdr:from>
        <xdr:to>
          <xdr:col>4</xdr:col>
          <xdr:colOff>66675</xdr:colOff>
          <xdr:row>11</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428625</xdr:colOff>
          <xdr:row>13</xdr:row>
          <xdr:rowOff>57150</xdr:rowOff>
        </xdr:from>
        <xdr:to>
          <xdr:col>7</xdr:col>
          <xdr:colOff>38100</xdr:colOff>
          <xdr:row>17</xdr:row>
          <xdr:rowOff>161925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connectionId="34" xr16:uid="{00000000-0016-0000-0500-000000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0600-000001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18" xr16:uid="{00000000-0016-0000-0600-000002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17" xr16:uid="{00000000-0016-0000-0600-000003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9" connectionId="22" xr16:uid="{00000000-0016-0000-0700-000004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8" connectionId="6" xr16:uid="{00000000-0016-0000-0800-000005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19" xr16:uid="{00000000-0016-0000-0900-000006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6" connectionId="20" xr16:uid="{00000000-0016-0000-0A00-000007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 connectionId="21" xr16:uid="{00000000-0016-0000-0B00-000008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connectionId="5" xr16:uid="{00000000-0016-0000-0C00-000009000000}" autoFormatId="16" applyNumberFormats="0" applyBorderFormats="0" applyFontFormats="0" applyPatternFormats="0" applyAlignmentFormats="0" applyWidthHeightFormats="0">
  <queryTableRefresh nextId="3">
    <queryTableFields count="2">
      <queryTableField id="1" name="Annual Rates" tableColumnId="1"/>
      <queryTableField id="2" name="Product 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26" xr16:uid="{00000000-0016-0000-0D00-00000A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0E00-00000B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E00-00000C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 connectionId="8" xr16:uid="{00000000-0016-0000-0E00-00000D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11" xr16:uid="{00000000-0016-0000-0E00-00000F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E00-000010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7" connectionId="10" xr16:uid="{00000000-0016-0000-0E00-000011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E00-000012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0F00-000013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4" xr16:uid="{00000000-0016-0000-1000-000014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3" xr16:uid="{00000000-0016-0000-1000-000015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Query - BNS - MPS_MM_SA" connectionId="3" xr16:uid="{00000000-0016-0000-1100-00001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1100-00001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Query - BMO - SBA_SSA_PRSA" connectionId="2" xr16:uid="{00000000-0016-0000-1200-000018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 xr16:uid="{70DDEADD-8756-48E7-8C63-624571F91C58}" autoFormatId="16" applyNumberFormats="0" applyBorderFormats="0" applyFontFormats="0" applyPatternFormats="0" applyAlignmentFormats="0" applyWidthHeightFormats="0">
  <queryTableRefresh nextId="5">
    <queryTableFields count="4">
      <queryTableField id="1" name="Banking Services" tableColumnId="1"/>
      <queryTableField id="2" name="High Interest Investment Account (HIIA)" tableColumnId="2"/>
      <queryTableField id="3" name="1.25% A Series_x000d__x000a__x000a_BTB 100" tableColumnId="3"/>
      <queryTableField id="4" name="1.50% F Series²_x000d__x000a__x000a_BTB 101" tableColumnId="4"/>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 connectionId="31" xr16:uid="{00000000-0016-0000-1400-00001A000000}" autoFormatId="16" applyNumberFormats="0" applyBorderFormats="0" applyFontFormats="0" applyPatternFormats="0" applyAlignmentFormats="0" applyWidthHeightFormats="0">
  <queryTableRefresh nextId="3">
    <queryTableFields count="2">
      <queryTableField id="1" name="Tax Free Savings (Rates effective 2018-02-08)" tableColumnId="1"/>
      <queryTableField id="2" name="Annual Rates"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connectionId="30" xr16:uid="{00000000-0016-0000-1500-00001B000000}" autoFormatId="16" applyNumberFormats="0" applyBorderFormats="0" applyFontFormats="0" applyPatternFormats="0" applyAlignmentFormats="0" applyWidthHeightFormats="0">
  <queryTableRefresh nextId="3">
    <queryTableFields count="2">
      <queryTableField id="1" name="GICs** (Rates effective 2018-02-08)" tableColumnId="1"/>
      <queryTableField id="2" name="Annual Rates"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28" xr16:uid="{00000000-0016-0000-1600-00001C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D_TFS__Hardest_to_do_in_Excel" displayName="TD_TFS__Hardest_to_do_in_Excel" ref="A1:C18" tableType="queryTable" totalsRowShown="0">
  <autoFilter ref="A1:C18" xr:uid="{5D34ED17-D5A0-4F2C-BD86-45502AC67385}"/>
  <tableColumns count="3">
    <tableColumn id="1" xr3:uid="{00000000-0010-0000-0100-000001000000}" uniqueName="1" name="Column1" queryTableFieldId="1"/>
    <tableColumn id="2" xr3:uid="{00000000-0010-0000-0100-000002000000}" uniqueName="2" name="Column2" queryTableFieldId="2"/>
    <tableColumn id="3" xr3:uid="{00000000-0010-0000-0100-000003000000}" uniqueName="3" name="Column3"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A6DC6B9A-0146-4269-A6E6-9632AA7D9B9A}"/>
  <tableColumns count="3">
    <tableColumn id="1" xr3:uid="{00000000-0010-0000-0200-000001000000}" uniqueName="1" name="Description" queryTableFieldId="1" dataDxfId="43"/>
    <tableColumn id="2" xr3:uid="{00000000-0010-0000-0200-000002000000}" uniqueName="2" name="Categories" queryTableFieldId="2" dataDxfId="42"/>
    <tableColumn id="3" xr3:uid="{00000000-0010-0000-0200-000003000000}" uniqueName="3" name="Interest Rate" queryTableFieldId="3" dataDxfId="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06C1A4A0-1A45-4209-B770-4A7C133E0A9D}"/>
  <tableColumns count="2">
    <tableColumn id="1" xr3:uid="{43A3FFFA-7914-4E2D-8884-930AFA116061}" uniqueName="1" name="If balance is" queryTableFieldId="1" dataDxfId="10"/>
    <tableColumn id="2" xr3:uid="{926AAFFF-81C9-4102-92A6-BD7ADD3F60D5}" uniqueName="2" name="Interest Rate [%]"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357C6677-323D-43B1-B1EE-41C0F737B371}"/>
  <tableColumns count="2">
    <tableColumn id="1" xr3:uid="{D22B4E0A-BDC0-4A14-B128-038B6061B10F}" uniqueName="1" name="If balance is" queryTableFieldId="1" dataDxfId="9"/>
    <tableColumn id="2" xr3:uid="{121E3B99-621B-4509-8976-09F32B66A2CA}" uniqueName="2" name="Interest Rate [%]"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44238DD9-C09F-46F1-B37A-03D7A4431599}"/>
  <tableColumns count="2">
    <tableColumn id="1" xr3:uid="{00000000-0010-0000-0300-000001000000}" uniqueName="1" name="Column1" queryTableFieldId="1" dataDxfId="40"/>
    <tableColumn id="2" xr3:uid="{00000000-0010-0000-0300-000002000000}" uniqueName="2" name="Column2" queryTableFieldId="2" dataDxfId="3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5A8E76D3-3D10-4869-BFA1-9D3B85026451}"/>
  <tableColumns count="2">
    <tableColumn id="1" xr3:uid="{00000000-0010-0000-0400-000001000000}" uniqueName="1" name="If balance is" queryTableFieldId="1" dataDxfId="38"/>
    <tableColumn id="2" xr3:uid="{00000000-0010-0000-0400-000002000000}" uniqueName="2" name="Interest Rate [%]"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8171E98B-A0A8-4BDA-BDFA-34F8323182F3}"/>
  <tableColumns count="2">
    <tableColumn id="1" xr3:uid="{00000000-0010-0000-0500-000001000000}" uniqueName="1" name="Column1" queryTableFieldId="1" dataDxfId="37"/>
    <tableColumn id="2" xr3:uid="{00000000-0010-0000-0500-000002000000}" uniqueName="2" name="Column2" queryTableFieldId="2" dataDxfId="3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6EA79E75-9D46-4278-BFA2-D3A20371D96D}"/>
  <tableColumns count="2">
    <tableColumn id="1" xr3:uid="{00000000-0010-0000-0600-000001000000}" uniqueName="1" name="Column1" queryTableFieldId="1" dataDxfId="35"/>
    <tableColumn id="2" xr3:uid="{00000000-0010-0000-0600-000002000000}" uniqueName="2" name="Column2" queryTableFieldId="2" dataDxfId="3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4230FADF-AE48-4736-AD3B-DE682DFE8E35}"/>
  <tableColumns count="2">
    <tableColumn id="1" xr3:uid="{00000000-0010-0000-0700-000001000000}" uniqueName="1" name="If balance is" queryTableFieldId="1" dataDxfId="33"/>
    <tableColumn id="2" xr3:uid="{00000000-0010-0000-0700-000002000000}" uniqueName="2" name="Interest Rate [%]"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8000000}" name="Canadian_Tire" displayName="Canadian_Tire" ref="A1:B11" tableType="queryTable" totalsRowShown="0">
  <autoFilter ref="A1:B11" xr:uid="{792230AE-7B70-4E91-9472-F0CC712C59F8}"/>
  <tableColumns count="2">
    <tableColumn id="1" xr3:uid="{00000000-0010-0000-0800-000001000000}" uniqueName="1" name="Annual Rates" queryTableFieldId="1"/>
    <tableColumn id="2" xr3:uid="{00000000-0010-0000-0800-000002000000}" uniqueName="2" name="Product Name" queryTableFieldId="2" dataDxfId="3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9" tableType="queryTable" totalsRowShown="0">
  <autoFilter ref="B1:C59" xr:uid="{1D0F9897-AAE6-4A80-B459-4A3E28D44F61}"/>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185AFE10-5A3F-42C7-A08C-9C329E091FD7}"/>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27F79D92-3622-4398-AE9E-C2D5E3722AEE}"/>
  <tableColumns count="5">
    <tableColumn id="1" xr3:uid="{3776E89B-6171-4B17-9C9D-F65B54025418}" uniqueName="1" name="INTEREST RATES" queryTableFieldId="1" dataDxfId="31"/>
    <tableColumn id="2" xr3:uid="{B292EAB2-BF2C-4CAD-8A14-7BBBF76C1211}" uniqueName="2" name="Canadian Dollar HiVALUE® PLUS Chequing Account Effective June 4, 2018" queryTableFieldId="2" dataDxfId="30"/>
    <tableColumn id="3" xr3:uid="{11EB0BC9-9511-408B-A44D-773F37D6DEF3}" uniqueName="3" name="Canadian Dollar HiVALUE® Chequing Account Effective June 4, 2018" queryTableFieldId="3" dataDxfId="29"/>
    <tableColumn id="4" xr3:uid="{81249BCC-D7D7-40B4-AA76-CA1AEA2E0F90}" uniqueName="4" name="US Dollar HiVALUE® Chequing Account Effective September 22, 2009" queryTableFieldId="4" dataDxfId="28"/>
    <tableColumn id="5" xr3:uid="{36D8C5DA-FD84-45A9-A62E-22D762459272}" uniqueName="5" name="Canadian Dollar Basic Chequing Account Effective June 4, 2018" queryTableFieldId="5" dataDxfId="2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3ADC0A01-908B-4CD6-A5FF-F23E18374618}"/>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805E8030-B8B6-4DD1-BB2C-545785BC2BBB}"/>
  <tableColumns count="3">
    <tableColumn id="1" xr3:uid="{9835C19A-D0A6-4D4F-A5AF-78C2D7AE7B55}" uniqueName="1" name="Column1" queryTableFieldId="1" dataDxfId="26"/>
    <tableColumn id="2" xr3:uid="{E4B5B519-0F63-40ED-AE52-90FE779D465A}" uniqueName="2" name="Column2" queryTableFieldId="2" dataDxfId="25"/>
    <tableColumn id="3" xr3:uid="{3F6772DD-D99A-4D36-8413-0B83087FB492}" uniqueName="3" name="Column3"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C01F3552-C9B9-4127-8E74-D192BED835CC}"/>
  <tableColumns count="3">
    <tableColumn id="1" xr3:uid="{2155D78D-F63D-49B5-9BD4-E499DAF30C13}" uniqueName="1" name="Kind" queryTableFieldId="1" dataDxfId="24"/>
    <tableColumn id="2" xr3:uid="{5F71F85E-75C1-404B-952A-75585A79DD9C}" uniqueName="2" name="Name" queryTableFieldId="2" dataDxfId="23"/>
    <tableColumn id="3" xr3:uid="{D0F30998-3EDC-42AD-B003-81C09B65D7F9}" uniqueName="3" name="Text" queryTableFieldId="3" dataDxfId="2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31942CF9-7B4A-4D59-872C-53657F52C556}"/>
  <tableColumns count="3">
    <tableColumn id="1" xr3:uid="{ECF83604-61A0-429F-BB90-2F9F9F832176}" uniqueName="1" name="Column1" queryTableFieldId="1" dataDxfId="21"/>
    <tableColumn id="2" xr3:uid="{4D4AF05A-4DAE-4CAF-8659-22E4E6D65CF7}" uniqueName="2" name="Column2" queryTableFieldId="2" dataDxfId="20"/>
    <tableColumn id="3" xr3:uid="{360D6923-09FF-46C3-9364-AA733AE82EE8}" uniqueName="3" name="Column3"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E4B3AD1A-425C-4388-B02A-2A068CA83918}"/>
  <tableColumns count="3">
    <tableColumn id="1" xr3:uid="{3B12D208-ABED-4F15-B48A-E8CFCD3E8147}" uniqueName="1" name="Kind" queryTableFieldId="1" dataDxfId="19"/>
    <tableColumn id="2" xr3:uid="{0D03D0C8-1A79-4267-B4F1-57C43FDED7C2}" uniqueName="2" name="Name" queryTableFieldId="2" dataDxfId="18"/>
    <tableColumn id="3" xr3:uid="{7F467352-1B85-4BAC-B96A-BEB06F432488}" uniqueName="3" name="Text" queryTableFieldId="3" dataDxfId="1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6EC752EF-8E3F-493F-8652-BD964B89D9EF}"/>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7724A857-EAFB-4EC0-B15D-F676A5020F23}"/>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565001C-8B3C-4519-8D6E-DFC54B91EFAB}" name="Manulife_Promotions" displayName="Manulife_Promotions" ref="B82:D83" tableType="queryTable" totalsRowShown="0">
  <autoFilter ref="B82:D83" xr:uid="{41320F09-77D2-4233-930C-338D79DDC8A1}"/>
  <tableColumns count="3">
    <tableColumn id="1" xr3:uid="{DA51F9BE-FF79-4424-96A0-7A941986D6FD}" uniqueName="1" name="Kind" queryTableFieldId="1" dataDxfId="16"/>
    <tableColumn id="2" xr3:uid="{907C1225-647A-425E-BAB7-CBE3CB7B240E}" uniqueName="2" name="Name" queryTableFieldId="2" dataDxfId="15"/>
    <tableColumn id="3" xr3:uid="{B93738C4-893A-41AD-9AF0-ABB17F547EE5}" uniqueName="3" name="Text" queryTableFieldId="3" dataDxfId="1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E36B3DB4-1177-4C2F-9D43-C94D7601CA88}"/>
  <tableColumns count="4">
    <tableColumn id="1" xr3:uid="{5FE45E18-67A4-4E2B-ADAD-B2873B51C187}" uniqueName="1" name="Description" queryTableFieldId="1" dataDxfId="8"/>
    <tableColumn id="2" xr3:uid="{E15D80D6-A17A-4487-B6C9-97A4B15E12AA}" uniqueName="2" name="Regular Interest Rate*" queryTableFieldId="2" dataDxfId="7"/>
    <tableColumn id="3" xr3:uid="{3407D02B-7CB1-466E-86C9-DEC17B953A52}" uniqueName="3" name="Premium Interest Rate▾" queryTableFieldId="3" dataDxfId="6"/>
    <tableColumn id="4" xr3:uid="{177F3CE0-60F9-4977-8BC2-F6E736C44655}" uniqueName="4" name="Annual Rate" queryTableFieldId="4" dataDxf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AA6609E7-1187-4452-9874-4C5861CF8134}"/>
  <tableColumns count="3">
    <tableColumn id="1" xr3:uid="{22152E8D-8B8D-4A04-A39A-CBB4FF0BD462}" uniqueName="1" name="Accounts" queryTableFieldId="1" dataDxfId="4"/>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36FEFB2B-0B44-4265-8840-BB8338FA5357}"/>
  <tableColumns count="2">
    <tableColumn id="1" xr3:uid="{29E6FC5F-C395-4ED8-AB61-B1C0535FA499}" uniqueName="1" name="Amount" queryTableFieldId="1" dataDxfId="3"/>
    <tableColumn id="2" xr3:uid="{C372CCBE-8818-4E43-8CA0-725C6FCE3B7A}" uniqueName="2" name="Interest Rate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AFD4B5C9-FC81-4870-8F23-525228A87D53}"/>
  <tableColumns count="4">
    <tableColumn id="1" xr3:uid="{2AC47192-B811-491E-975F-46A92490B0E3}" uniqueName="1" name="Banking Services" queryTableFieldId="1" dataDxfId="2"/>
    <tableColumn id="2" xr3:uid="{CDADAB3F-45F0-4E6C-872C-117C5F25F50C}" uniqueName="2" name="High Interest Investment Account (HIIA)" queryTableFieldId="2" dataDxfId="1"/>
    <tableColumn id="3" xr3:uid="{7006FB4C-8628-41E9-8B90-AABD5286961C}" uniqueName="3" name="1.25% A Series_x000d__x000a__x000a_BTB 100" queryTableFieldId="3"/>
    <tableColumn id="4" xr3:uid="{B28802EC-1BEE-4611-AF42-82CCC24F585C}" uniqueName="4" name="1.50% F Series²_x000d__x000a__x000a_BTB 101" queryTableFieldId="4" dataDxfId="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Table_2" displayName="Table_2" ref="A1:B8" tableType="queryTable" totalsRowShown="0">
  <autoFilter ref="A1:B8" xr:uid="{3C0FD48C-BA1B-42AF-9C11-7818C1C98C68}"/>
  <tableColumns count="2">
    <tableColumn id="1" xr3:uid="{00000000-0010-0000-0900-000001000000}" uniqueName="1" name="Tax Free Savings (Rates effective 2018-02-08)" queryTableFieldId="1" dataDxfId="13"/>
    <tableColumn id="2" xr3:uid="{00000000-0010-0000-0900-000002000000}" uniqueName="2" name="Annual Rates"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Table_1" displayName="Table_1" ref="A1:B3" tableType="queryTable" totalsRowShown="0">
  <autoFilter ref="A1:B3" xr:uid="{AF83DB05-43AF-41C4-ADDC-4754F07BCB9F}"/>
  <tableColumns count="2">
    <tableColumn id="1" xr3:uid="{00000000-0010-0000-0A00-000001000000}" uniqueName="1" name="GICs** (Rates effective 2018-02-08)" queryTableFieldId="1" dataDxfId="12"/>
    <tableColumn id="2" xr3:uid="{00000000-0010-0000-0A00-000002000000}" uniqueName="2" name="Annual Rates"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B000000}" name="Table_0" displayName="Table_0" ref="A1:B2" tableType="queryTable" totalsRowShown="0">
  <autoFilter ref="A1:B2" xr:uid="{E86D5C2B-999F-457D-8FE9-05337444FD5B}"/>
  <tableColumns count="2">
    <tableColumn id="1" xr3:uid="{00000000-0010-0000-0B00-000001000000}" uniqueName="1" name="High Interest Savings*" queryTableFieldId="1" dataDxfId="11"/>
    <tableColumn id="2" xr3:uid="{00000000-0010-0000-0B00-000002000000}" uniqueName="2" name="Annual Rates"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dimension ref="A1"/>
  <sheetViews>
    <sheetView workbookViewId="0">
      <selection activeCell="G27" sqref="G27"/>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247650</xdr:colOff>
                    <xdr:row>1</xdr:row>
                    <xdr:rowOff>114300</xdr:rowOff>
                  </from>
                  <to>
                    <xdr:col>3</xdr:col>
                    <xdr:colOff>371475</xdr:colOff>
                    <xdr:row>3</xdr:row>
                    <xdr:rowOff>180975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57150</xdr:colOff>
                    <xdr:row>8</xdr:row>
                    <xdr:rowOff>47625</xdr:rowOff>
                  </from>
                  <to>
                    <xdr:col>4</xdr:col>
                    <xdr:colOff>66675</xdr:colOff>
                    <xdr:row>11</xdr:row>
                    <xdr:rowOff>28575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2</xdr:col>
                    <xdr:colOff>428625</xdr:colOff>
                    <xdr:row>13</xdr:row>
                    <xdr:rowOff>57150</xdr:rowOff>
                  </from>
                  <to>
                    <xdr:col>7</xdr:col>
                    <xdr:colOff>38100</xdr:colOff>
                    <xdr:row>17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dimension ref="A1:AB27"/>
  <sheetViews>
    <sheetView workbookViewId="0">
      <selection activeCell="A26" sqref="A26:E26"/>
    </sheetView>
  </sheetViews>
  <sheetFormatPr defaultRowHeight="15" x14ac:dyDescent="0.25"/>
  <cols>
    <col min="1" max="1" width="28.42578125" bestFit="1" customWidth="1"/>
    <col min="2" max="2" width="9.85546875" bestFit="1" customWidth="1"/>
  </cols>
  <sheetData>
    <row r="1" spans="1:28" ht="25.5" x14ac:dyDescent="0.35">
      <c r="A1" s="86"/>
      <c r="B1" s="86"/>
      <c r="C1" s="86"/>
      <c r="D1" s="86"/>
      <c r="E1" s="86"/>
      <c r="F1" s="86"/>
      <c r="G1" s="86"/>
      <c r="H1" s="86"/>
      <c r="I1" s="86"/>
      <c r="J1" s="86"/>
      <c r="K1" s="86"/>
      <c r="L1" s="86"/>
      <c r="M1" s="86"/>
      <c r="N1" s="86"/>
      <c r="O1" s="86"/>
      <c r="P1" s="86"/>
      <c r="Q1" s="86"/>
      <c r="R1" s="86"/>
      <c r="S1" s="86"/>
      <c r="T1" s="86"/>
      <c r="U1" s="86"/>
      <c r="V1" s="86"/>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v>105</v>
      </c>
      <c r="C11" s="16">
        <v>10</v>
      </c>
      <c r="D11" s="16">
        <v>5</v>
      </c>
      <c r="E11" s="16">
        <v>5</v>
      </c>
      <c r="F11" s="15">
        <v>50</v>
      </c>
      <c r="G11" s="15">
        <v>105</v>
      </c>
      <c r="H11" s="15">
        <v>20</v>
      </c>
      <c r="I11" s="15">
        <v>75</v>
      </c>
      <c r="J11" s="15" t="s">
        <v>46</v>
      </c>
      <c r="K11" s="15" t="s">
        <v>47</v>
      </c>
      <c r="L11" s="15">
        <v>2</v>
      </c>
      <c r="M11" s="15">
        <v>115</v>
      </c>
      <c r="N11" s="15">
        <v>105</v>
      </c>
      <c r="O11" s="15" t="s">
        <v>48</v>
      </c>
      <c r="P11" s="16" t="s">
        <v>46</v>
      </c>
      <c r="Q11" s="15">
        <v>110</v>
      </c>
      <c r="R11" s="15">
        <v>110</v>
      </c>
      <c r="S11" s="15">
        <v>80</v>
      </c>
      <c r="T11" s="16">
        <v>135</v>
      </c>
      <c r="U11" s="17">
        <v>90</v>
      </c>
      <c r="V11" s="18">
        <v>140</v>
      </c>
      <c r="W11" s="15">
        <v>110</v>
      </c>
      <c r="X11" s="15">
        <v>150</v>
      </c>
      <c r="Y11" s="15">
        <v>85</v>
      </c>
      <c r="Z11" s="15">
        <v>25</v>
      </c>
      <c r="AA11" s="19">
        <v>140</v>
      </c>
      <c r="AB11" s="19">
        <v>230</v>
      </c>
    </row>
    <row r="12" spans="1:28" x14ac:dyDescent="0.25">
      <c r="A12" s="15" t="s">
        <v>49</v>
      </c>
      <c r="B12" s="15">
        <v>105</v>
      </c>
      <c r="C12" s="16">
        <f>C11</f>
        <v>10</v>
      </c>
      <c r="D12" s="16">
        <f t="shared" ref="D12:G13" si="0">D11</f>
        <v>5</v>
      </c>
      <c r="E12" s="16">
        <f t="shared" si="0"/>
        <v>5</v>
      </c>
      <c r="F12" s="15">
        <f t="shared" si="0"/>
        <v>50</v>
      </c>
      <c r="G12" s="15">
        <f t="shared" si="0"/>
        <v>105</v>
      </c>
      <c r="H12" s="15" t="s">
        <v>50</v>
      </c>
      <c r="I12" s="15">
        <f t="shared" ref="I12:N21" si="1">I11</f>
        <v>75</v>
      </c>
      <c r="J12" s="15" t="s">
        <v>46</v>
      </c>
      <c r="K12" s="15" t="str">
        <f>K11</f>
        <v>105 + 75, 80, 85, 90</v>
      </c>
      <c r="L12" s="15">
        <f>L11</f>
        <v>2</v>
      </c>
      <c r="M12" s="15">
        <v>105</v>
      </c>
      <c r="N12" s="15">
        <f>N11</f>
        <v>105</v>
      </c>
      <c r="O12" s="15" t="s">
        <v>48</v>
      </c>
      <c r="P12" s="16" t="s">
        <v>46</v>
      </c>
      <c r="Q12" s="15">
        <f t="shared" ref="Q12:V21" si="2">Q11</f>
        <v>110</v>
      </c>
      <c r="R12" s="15">
        <f t="shared" si="2"/>
        <v>110</v>
      </c>
      <c r="S12" s="15">
        <f t="shared" si="2"/>
        <v>80</v>
      </c>
      <c r="T12" s="16">
        <f t="shared" si="2"/>
        <v>135</v>
      </c>
      <c r="U12" s="17">
        <f t="shared" si="2"/>
        <v>90</v>
      </c>
      <c r="V12" s="18">
        <f t="shared" si="2"/>
        <v>140</v>
      </c>
      <c r="W12" s="15">
        <v>110</v>
      </c>
      <c r="X12" s="15">
        <f>X11</f>
        <v>150</v>
      </c>
      <c r="Y12" s="15">
        <f>Y11</f>
        <v>85</v>
      </c>
      <c r="Z12" s="15">
        <f>Z11</f>
        <v>25</v>
      </c>
      <c r="AA12" s="19">
        <f t="shared" ref="AA12:AB21" si="3">AA11</f>
        <v>140</v>
      </c>
      <c r="AB12" s="19">
        <f>AB11</f>
        <v>230</v>
      </c>
    </row>
    <row r="13" spans="1:28" x14ac:dyDescent="0.25">
      <c r="A13" s="15" t="s">
        <v>51</v>
      </c>
      <c r="B13" s="15">
        <v>105</v>
      </c>
      <c r="C13" s="16">
        <f>C12</f>
        <v>10</v>
      </c>
      <c r="D13" s="16">
        <f t="shared" si="0"/>
        <v>5</v>
      </c>
      <c r="E13" s="16">
        <f t="shared" si="0"/>
        <v>5</v>
      </c>
      <c r="F13" s="15">
        <f t="shared" si="0"/>
        <v>50</v>
      </c>
      <c r="G13" s="15">
        <f t="shared" si="0"/>
        <v>105</v>
      </c>
      <c r="H13" s="15" t="str">
        <f>H12</f>
        <v>20+120</v>
      </c>
      <c r="I13" s="15">
        <f t="shared" si="1"/>
        <v>75</v>
      </c>
      <c r="J13" s="15" t="s">
        <v>46</v>
      </c>
      <c r="K13" s="15" t="str">
        <f t="shared" ref="K13:K21" si="4">K12</f>
        <v>105 + 75, 80, 85, 90</v>
      </c>
      <c r="L13" s="15">
        <f t="shared" si="1"/>
        <v>2</v>
      </c>
      <c r="M13" s="15">
        <f>M12</f>
        <v>105</v>
      </c>
      <c r="N13" s="15">
        <f>N12</f>
        <v>105</v>
      </c>
      <c r="O13" s="15" t="s">
        <v>46</v>
      </c>
      <c r="P13" s="16" t="s">
        <v>46</v>
      </c>
      <c r="Q13" s="15">
        <f>Q12</f>
        <v>110</v>
      </c>
      <c r="R13" s="15">
        <f t="shared" si="2"/>
        <v>110</v>
      </c>
      <c r="S13" s="15">
        <f>S12</f>
        <v>80</v>
      </c>
      <c r="T13" s="16">
        <f>T12</f>
        <v>135</v>
      </c>
      <c r="U13" s="17">
        <f t="shared" si="2"/>
        <v>90</v>
      </c>
      <c r="V13" s="18">
        <f>V12</f>
        <v>140</v>
      </c>
      <c r="W13" s="15">
        <v>110</v>
      </c>
      <c r="X13" s="15">
        <f t="shared" ref="X13:Y21" si="5">X12</f>
        <v>150</v>
      </c>
      <c r="Y13" s="15">
        <f>Y12</f>
        <v>85</v>
      </c>
      <c r="Z13" s="15">
        <f t="shared" ref="Z13:Z21" si="6">Z12</f>
        <v>25</v>
      </c>
      <c r="AA13" s="19">
        <f t="shared" si="3"/>
        <v>140</v>
      </c>
      <c r="AB13" s="19">
        <f t="shared" si="3"/>
        <v>230</v>
      </c>
    </row>
    <row r="14" spans="1:28" x14ac:dyDescent="0.25">
      <c r="A14" s="15" t="s">
        <v>52</v>
      </c>
      <c r="B14" s="15">
        <v>105</v>
      </c>
      <c r="C14" s="16">
        <f>C11</f>
        <v>10</v>
      </c>
      <c r="D14" s="16">
        <f>D11</f>
        <v>5</v>
      </c>
      <c r="E14" s="16">
        <f>E11</f>
        <v>5</v>
      </c>
      <c r="F14" s="15">
        <f>F11</f>
        <v>50</v>
      </c>
      <c r="G14" s="15">
        <f>G11</f>
        <v>105</v>
      </c>
      <c r="H14" s="15" t="str">
        <f t="shared" ref="H14:I21" si="7">H13</f>
        <v>20+120</v>
      </c>
      <c r="I14" s="15">
        <f>I11</f>
        <v>75</v>
      </c>
      <c r="J14" s="15" t="s">
        <v>46</v>
      </c>
      <c r="K14" s="15" t="str">
        <f t="shared" si="4"/>
        <v>105 + 75, 80, 85, 90</v>
      </c>
      <c r="L14" s="15">
        <f t="shared" si="1"/>
        <v>2</v>
      </c>
      <c r="M14" s="15">
        <f t="shared" si="1"/>
        <v>105</v>
      </c>
      <c r="N14" s="15">
        <f>N11</f>
        <v>105</v>
      </c>
      <c r="O14" s="15" t="s">
        <v>53</v>
      </c>
      <c r="P14" s="16" t="s">
        <v>46</v>
      </c>
      <c r="Q14" s="15">
        <f>Q11</f>
        <v>110</v>
      </c>
      <c r="R14" s="15">
        <f t="shared" si="2"/>
        <v>110</v>
      </c>
      <c r="S14" s="15">
        <f>S11</f>
        <v>80</v>
      </c>
      <c r="T14" s="16">
        <f t="shared" ref="T14:T21" si="8">T13</f>
        <v>135</v>
      </c>
      <c r="U14" s="17">
        <f t="shared" si="2"/>
        <v>90</v>
      </c>
      <c r="V14" s="18">
        <f>V11</f>
        <v>140</v>
      </c>
      <c r="W14" s="15">
        <v>100</v>
      </c>
      <c r="X14" s="15">
        <f t="shared" si="5"/>
        <v>150</v>
      </c>
      <c r="Y14" s="15">
        <f>Y11</f>
        <v>85</v>
      </c>
      <c r="Z14" s="15">
        <f t="shared" si="6"/>
        <v>25</v>
      </c>
      <c r="AA14" s="19">
        <f t="shared" si="3"/>
        <v>140</v>
      </c>
      <c r="AB14" s="19">
        <f>AB13</f>
        <v>230</v>
      </c>
    </row>
    <row r="15" spans="1:28" x14ac:dyDescent="0.25">
      <c r="A15" s="15" t="s">
        <v>54</v>
      </c>
      <c r="B15" s="15">
        <v>105</v>
      </c>
      <c r="C15" s="16">
        <f>C14</f>
        <v>10</v>
      </c>
      <c r="D15" s="16">
        <f t="shared" ref="D15:G19" si="9">D14</f>
        <v>5</v>
      </c>
      <c r="E15" s="16">
        <f t="shared" si="9"/>
        <v>5</v>
      </c>
      <c r="F15" s="15">
        <f t="shared" si="9"/>
        <v>50</v>
      </c>
      <c r="G15" s="15">
        <f t="shared" si="9"/>
        <v>105</v>
      </c>
      <c r="H15" s="15" t="str">
        <f t="shared" si="7"/>
        <v>20+120</v>
      </c>
      <c r="I15" s="15">
        <f t="shared" si="7"/>
        <v>75</v>
      </c>
      <c r="J15" s="15" t="s">
        <v>46</v>
      </c>
      <c r="K15" s="15" t="str">
        <f t="shared" si="4"/>
        <v>105 + 75, 80, 85, 90</v>
      </c>
      <c r="L15" s="15">
        <f t="shared" si="1"/>
        <v>2</v>
      </c>
      <c r="M15" s="15">
        <f t="shared" si="1"/>
        <v>105</v>
      </c>
      <c r="N15" s="15">
        <f t="shared" si="1"/>
        <v>105</v>
      </c>
      <c r="O15" s="15">
        <v>1</v>
      </c>
      <c r="P15" s="16" t="s">
        <v>46</v>
      </c>
      <c r="Q15" s="15">
        <f t="shared" ref="Q15:Q21" si="10">Q14</f>
        <v>110</v>
      </c>
      <c r="R15" s="15">
        <f t="shared" si="2"/>
        <v>110</v>
      </c>
      <c r="S15" s="15">
        <f t="shared" si="2"/>
        <v>80</v>
      </c>
      <c r="T15" s="16">
        <f t="shared" si="8"/>
        <v>135</v>
      </c>
      <c r="U15" s="17">
        <f t="shared" si="2"/>
        <v>90</v>
      </c>
      <c r="V15" s="18">
        <f>V14</f>
        <v>140</v>
      </c>
      <c r="W15" s="15">
        <v>100</v>
      </c>
      <c r="X15" s="15">
        <f t="shared" si="5"/>
        <v>150</v>
      </c>
      <c r="Y15" s="15">
        <f>Y14</f>
        <v>85</v>
      </c>
      <c r="Z15" s="15">
        <f t="shared" si="6"/>
        <v>25</v>
      </c>
      <c r="AA15" s="19">
        <f t="shared" si="3"/>
        <v>140</v>
      </c>
      <c r="AB15" s="19">
        <f t="shared" si="3"/>
        <v>230</v>
      </c>
    </row>
    <row r="16" spans="1:28" x14ac:dyDescent="0.25">
      <c r="A16" s="15" t="s">
        <v>55</v>
      </c>
      <c r="B16" s="15">
        <v>105</v>
      </c>
      <c r="C16" s="16">
        <f>C15</f>
        <v>10</v>
      </c>
      <c r="D16" s="16">
        <f t="shared" si="9"/>
        <v>5</v>
      </c>
      <c r="E16" s="16">
        <f t="shared" si="9"/>
        <v>5</v>
      </c>
      <c r="F16" s="15">
        <f t="shared" si="9"/>
        <v>50</v>
      </c>
      <c r="G16" s="15">
        <f t="shared" si="9"/>
        <v>105</v>
      </c>
      <c r="H16" s="15" t="str">
        <f t="shared" si="7"/>
        <v>20+120</v>
      </c>
      <c r="I16" s="15">
        <f t="shared" si="7"/>
        <v>75</v>
      </c>
      <c r="J16" s="15" t="s">
        <v>46</v>
      </c>
      <c r="K16" s="15" t="str">
        <f t="shared" si="4"/>
        <v>105 + 75, 80, 85, 90</v>
      </c>
      <c r="L16" s="15">
        <f t="shared" si="1"/>
        <v>2</v>
      </c>
      <c r="M16" s="15">
        <f t="shared" si="1"/>
        <v>105</v>
      </c>
      <c r="N16" s="15">
        <f t="shared" si="1"/>
        <v>105</v>
      </c>
      <c r="O16" s="15">
        <v>1</v>
      </c>
      <c r="P16" s="16" t="s">
        <v>46</v>
      </c>
      <c r="Q16" s="15">
        <f t="shared" si="10"/>
        <v>110</v>
      </c>
      <c r="R16" s="15">
        <f t="shared" si="2"/>
        <v>110</v>
      </c>
      <c r="S16" s="15">
        <f t="shared" si="2"/>
        <v>80</v>
      </c>
      <c r="T16" s="16">
        <f t="shared" si="8"/>
        <v>135</v>
      </c>
      <c r="U16" s="17">
        <f t="shared" si="2"/>
        <v>90</v>
      </c>
      <c r="V16" s="18">
        <f t="shared" si="2"/>
        <v>140</v>
      </c>
      <c r="W16" s="15">
        <v>70</v>
      </c>
      <c r="X16" s="15">
        <f t="shared" si="5"/>
        <v>150</v>
      </c>
      <c r="Y16" s="15">
        <f t="shared" si="5"/>
        <v>85</v>
      </c>
      <c r="Z16" s="15">
        <f t="shared" si="6"/>
        <v>25</v>
      </c>
      <c r="AA16" s="19">
        <f t="shared" si="3"/>
        <v>140</v>
      </c>
      <c r="AB16" s="19">
        <f t="shared" si="3"/>
        <v>230</v>
      </c>
    </row>
    <row r="17" spans="1:28" x14ac:dyDescent="0.25">
      <c r="A17" s="15" t="s">
        <v>56</v>
      </c>
      <c r="B17" s="15">
        <v>105</v>
      </c>
      <c r="C17" s="16">
        <f>C16</f>
        <v>10</v>
      </c>
      <c r="D17" s="16">
        <f t="shared" si="9"/>
        <v>5</v>
      </c>
      <c r="E17" s="16">
        <f t="shared" si="9"/>
        <v>5</v>
      </c>
      <c r="F17" s="15">
        <f t="shared" si="9"/>
        <v>50</v>
      </c>
      <c r="G17" s="15">
        <f t="shared" si="9"/>
        <v>105</v>
      </c>
      <c r="H17" s="15" t="str">
        <f t="shared" si="7"/>
        <v>20+120</v>
      </c>
      <c r="I17" s="15">
        <f t="shared" si="7"/>
        <v>75</v>
      </c>
      <c r="J17" s="15" t="s">
        <v>46</v>
      </c>
      <c r="K17" s="15" t="str">
        <f t="shared" si="4"/>
        <v>105 + 75, 80, 85, 90</v>
      </c>
      <c r="L17" s="15">
        <f t="shared" si="1"/>
        <v>2</v>
      </c>
      <c r="M17" s="15">
        <f t="shared" si="1"/>
        <v>105</v>
      </c>
      <c r="N17" s="15">
        <f t="shared" si="1"/>
        <v>105</v>
      </c>
      <c r="O17" s="15">
        <v>0.5</v>
      </c>
      <c r="P17" s="16" t="s">
        <v>46</v>
      </c>
      <c r="Q17" s="15">
        <f t="shared" si="10"/>
        <v>110</v>
      </c>
      <c r="R17" s="15">
        <f t="shared" si="2"/>
        <v>110</v>
      </c>
      <c r="S17" s="15">
        <f t="shared" si="2"/>
        <v>80</v>
      </c>
      <c r="T17" s="16">
        <f t="shared" si="8"/>
        <v>135</v>
      </c>
      <c r="U17" s="17">
        <f t="shared" si="2"/>
        <v>90</v>
      </c>
      <c r="V17" s="18">
        <f t="shared" si="2"/>
        <v>140</v>
      </c>
      <c r="W17" s="15">
        <v>40</v>
      </c>
      <c r="X17" s="15">
        <f t="shared" si="5"/>
        <v>150</v>
      </c>
      <c r="Y17" s="15">
        <f t="shared" si="5"/>
        <v>85</v>
      </c>
      <c r="Z17" s="15">
        <f t="shared" si="6"/>
        <v>25</v>
      </c>
      <c r="AA17" s="19">
        <f t="shared" si="3"/>
        <v>140</v>
      </c>
      <c r="AB17" s="19">
        <v>230</v>
      </c>
    </row>
    <row r="18" spans="1:28" x14ac:dyDescent="0.25">
      <c r="A18" s="15" t="s">
        <v>57</v>
      </c>
      <c r="B18" s="15">
        <v>105</v>
      </c>
      <c r="C18" s="16">
        <f>C17</f>
        <v>10</v>
      </c>
      <c r="D18" s="16">
        <f t="shared" si="9"/>
        <v>5</v>
      </c>
      <c r="E18" s="16">
        <f>E17</f>
        <v>5</v>
      </c>
      <c r="F18" s="15">
        <f>F17</f>
        <v>50</v>
      </c>
      <c r="G18" s="15">
        <v>0</v>
      </c>
      <c r="H18" s="15" t="str">
        <f t="shared" si="7"/>
        <v>20+120</v>
      </c>
      <c r="I18" s="15">
        <f t="shared" si="7"/>
        <v>75</v>
      </c>
      <c r="J18" s="15" t="s">
        <v>46</v>
      </c>
      <c r="K18" s="15" t="str">
        <f t="shared" si="4"/>
        <v>105 + 75, 80, 85, 90</v>
      </c>
      <c r="L18" s="15">
        <f t="shared" si="1"/>
        <v>2</v>
      </c>
      <c r="M18" s="15">
        <f t="shared" si="1"/>
        <v>105</v>
      </c>
      <c r="N18" s="15">
        <f t="shared" si="1"/>
        <v>105</v>
      </c>
      <c r="O18" s="15">
        <v>0.1</v>
      </c>
      <c r="P18" s="16" t="s">
        <v>46</v>
      </c>
      <c r="Q18" s="15">
        <f t="shared" si="10"/>
        <v>110</v>
      </c>
      <c r="R18" s="15">
        <f t="shared" si="2"/>
        <v>110</v>
      </c>
      <c r="S18" s="15">
        <f t="shared" si="2"/>
        <v>80</v>
      </c>
      <c r="T18" s="16">
        <f t="shared" si="8"/>
        <v>135</v>
      </c>
      <c r="U18" s="17">
        <f t="shared" si="2"/>
        <v>90</v>
      </c>
      <c r="V18" s="18">
        <f t="shared" si="2"/>
        <v>140</v>
      </c>
      <c r="W18" s="15">
        <v>40</v>
      </c>
      <c r="X18" s="15">
        <f t="shared" si="5"/>
        <v>150</v>
      </c>
      <c r="Y18" s="15">
        <f t="shared" si="5"/>
        <v>85</v>
      </c>
      <c r="Z18" s="15">
        <f t="shared" si="6"/>
        <v>25</v>
      </c>
      <c r="AA18" s="19">
        <f t="shared" si="3"/>
        <v>140</v>
      </c>
      <c r="AB18" s="19">
        <f t="shared" si="3"/>
        <v>230</v>
      </c>
    </row>
    <row r="19" spans="1:28" x14ac:dyDescent="0.25">
      <c r="A19" s="15" t="s">
        <v>58</v>
      </c>
      <c r="B19" s="15">
        <v>0</v>
      </c>
      <c r="C19" s="16">
        <f>C18</f>
        <v>10</v>
      </c>
      <c r="D19" s="16">
        <f t="shared" si="9"/>
        <v>5</v>
      </c>
      <c r="E19" s="16">
        <f>E18</f>
        <v>5</v>
      </c>
      <c r="F19" s="15">
        <v>0</v>
      </c>
      <c r="G19" s="15">
        <v>0</v>
      </c>
      <c r="H19" s="15" t="str">
        <f t="shared" si="7"/>
        <v>20+120</v>
      </c>
      <c r="I19" s="15">
        <f t="shared" si="7"/>
        <v>75</v>
      </c>
      <c r="J19" s="15" t="s">
        <v>46</v>
      </c>
      <c r="K19" s="15" t="str">
        <f t="shared" si="4"/>
        <v>105 + 75, 80, 85, 90</v>
      </c>
      <c r="L19" s="15">
        <f t="shared" si="1"/>
        <v>2</v>
      </c>
      <c r="M19" s="15">
        <v>5</v>
      </c>
      <c r="N19" s="15">
        <f t="shared" si="1"/>
        <v>105</v>
      </c>
      <c r="O19" s="15">
        <v>0</v>
      </c>
      <c r="P19" s="16" t="s">
        <v>59</v>
      </c>
      <c r="Q19" s="15">
        <f t="shared" si="10"/>
        <v>110</v>
      </c>
      <c r="R19" s="15">
        <f t="shared" si="2"/>
        <v>110</v>
      </c>
      <c r="S19" s="15">
        <f t="shared" si="2"/>
        <v>80</v>
      </c>
      <c r="T19" s="16">
        <f t="shared" si="8"/>
        <v>135</v>
      </c>
      <c r="U19" s="17">
        <v>0</v>
      </c>
      <c r="V19" s="18">
        <f>V18</f>
        <v>140</v>
      </c>
      <c r="W19" s="15">
        <v>40</v>
      </c>
      <c r="X19" s="15">
        <f t="shared" si="5"/>
        <v>150</v>
      </c>
      <c r="Y19" s="15">
        <f t="shared" si="5"/>
        <v>85</v>
      </c>
      <c r="Z19" s="15">
        <f t="shared" si="6"/>
        <v>25</v>
      </c>
      <c r="AA19" s="19">
        <f t="shared" si="3"/>
        <v>140</v>
      </c>
      <c r="AB19" s="19">
        <f t="shared" si="3"/>
        <v>230</v>
      </c>
    </row>
    <row r="20" spans="1:28" x14ac:dyDescent="0.25">
      <c r="A20" s="15" t="s">
        <v>60</v>
      </c>
      <c r="B20" s="15">
        <v>0</v>
      </c>
      <c r="C20" s="16">
        <v>5</v>
      </c>
      <c r="D20" s="16">
        <f>D19</f>
        <v>5</v>
      </c>
      <c r="E20" s="16">
        <f>E19</f>
        <v>5</v>
      </c>
      <c r="F20" s="15">
        <v>0</v>
      </c>
      <c r="G20" s="15">
        <v>0</v>
      </c>
      <c r="H20" s="15" t="str">
        <f t="shared" si="7"/>
        <v>20+120</v>
      </c>
      <c r="I20" s="15">
        <f t="shared" si="7"/>
        <v>75</v>
      </c>
      <c r="J20" s="15" t="s">
        <v>46</v>
      </c>
      <c r="K20" s="15" t="str">
        <f t="shared" si="4"/>
        <v>105 + 75, 80, 85, 90</v>
      </c>
      <c r="L20" s="15">
        <f t="shared" si="1"/>
        <v>2</v>
      </c>
      <c r="M20" s="15">
        <f t="shared" si="1"/>
        <v>5</v>
      </c>
      <c r="N20" s="15">
        <f t="shared" si="1"/>
        <v>105</v>
      </c>
      <c r="O20" s="15">
        <v>0</v>
      </c>
      <c r="P20" s="16">
        <v>1</v>
      </c>
      <c r="Q20" s="15">
        <f t="shared" si="10"/>
        <v>110</v>
      </c>
      <c r="R20" s="15">
        <f t="shared" si="2"/>
        <v>110</v>
      </c>
      <c r="S20" s="15">
        <f t="shared" si="2"/>
        <v>80</v>
      </c>
      <c r="T20" s="16">
        <f t="shared" si="8"/>
        <v>135</v>
      </c>
      <c r="U20" s="17">
        <f>U19</f>
        <v>0</v>
      </c>
      <c r="V20" s="18">
        <f>V19</f>
        <v>140</v>
      </c>
      <c r="W20" s="15">
        <v>40</v>
      </c>
      <c r="X20" s="15">
        <f t="shared" si="5"/>
        <v>150</v>
      </c>
      <c r="Y20" s="15">
        <f t="shared" si="5"/>
        <v>85</v>
      </c>
      <c r="Z20" s="15">
        <f t="shared" si="6"/>
        <v>25</v>
      </c>
      <c r="AA20" s="19">
        <f t="shared" si="3"/>
        <v>140</v>
      </c>
      <c r="AB20" s="19">
        <f t="shared" si="3"/>
        <v>230</v>
      </c>
    </row>
    <row r="21" spans="1:28" x14ac:dyDescent="0.25">
      <c r="A21" s="15" t="s">
        <v>61</v>
      </c>
      <c r="B21" s="15">
        <v>0</v>
      </c>
      <c r="C21" s="16">
        <v>5</v>
      </c>
      <c r="D21" s="16">
        <f>D20</f>
        <v>5</v>
      </c>
      <c r="E21" s="16">
        <f>E20</f>
        <v>5</v>
      </c>
      <c r="F21" s="15">
        <v>0</v>
      </c>
      <c r="G21" s="15">
        <v>0</v>
      </c>
      <c r="H21" s="15" t="str">
        <f t="shared" si="7"/>
        <v>20+120</v>
      </c>
      <c r="I21" s="15">
        <f t="shared" si="7"/>
        <v>75</v>
      </c>
      <c r="J21" s="15" t="s">
        <v>46</v>
      </c>
      <c r="K21" s="15" t="str">
        <f t="shared" si="4"/>
        <v>105 + 75, 80, 85, 90</v>
      </c>
      <c r="L21" s="15">
        <f t="shared" si="1"/>
        <v>2</v>
      </c>
      <c r="M21" s="15">
        <f t="shared" si="1"/>
        <v>5</v>
      </c>
      <c r="N21" s="15">
        <f t="shared" si="1"/>
        <v>105</v>
      </c>
      <c r="O21" s="15">
        <v>0</v>
      </c>
      <c r="P21" s="16">
        <v>0.5</v>
      </c>
      <c r="Q21" s="15">
        <f t="shared" si="10"/>
        <v>110</v>
      </c>
      <c r="R21" s="15">
        <f t="shared" si="2"/>
        <v>110</v>
      </c>
      <c r="S21" s="15">
        <f t="shared" si="2"/>
        <v>80</v>
      </c>
      <c r="T21" s="16">
        <f t="shared" si="8"/>
        <v>135</v>
      </c>
      <c r="U21" s="17">
        <f>U20</f>
        <v>0</v>
      </c>
      <c r="V21" s="18">
        <f>V20</f>
        <v>140</v>
      </c>
      <c r="W21" s="15">
        <v>40</v>
      </c>
      <c r="X21" s="15">
        <f t="shared" si="5"/>
        <v>150</v>
      </c>
      <c r="Y21" s="15">
        <f t="shared" si="5"/>
        <v>85</v>
      </c>
      <c r="Z21" s="15">
        <f t="shared" si="6"/>
        <v>25</v>
      </c>
      <c r="AA21" s="19">
        <f t="shared" si="3"/>
        <v>140</v>
      </c>
      <c r="AB21" s="19">
        <f t="shared" si="3"/>
        <v>230</v>
      </c>
    </row>
    <row r="22" spans="1:28" x14ac:dyDescent="0.25">
      <c r="A22" s="20"/>
      <c r="B22" s="20"/>
      <c r="C22" s="6"/>
      <c r="D22" s="6"/>
      <c r="E22" s="6"/>
      <c r="F22" s="20"/>
      <c r="G22" s="20"/>
      <c r="H22" s="20"/>
      <c r="I22" s="20"/>
      <c r="J22" s="3"/>
      <c r="K22" s="3"/>
      <c r="L22" s="3"/>
      <c r="M22" s="3"/>
      <c r="N22" s="3"/>
      <c r="O22" s="3"/>
      <c r="P22" s="6"/>
      <c r="Q22" s="20"/>
      <c r="R22" s="20"/>
      <c r="S22" s="20"/>
      <c r="T22" s="6"/>
      <c r="U22" s="20"/>
      <c r="V22" s="20"/>
      <c r="W22" s="20"/>
      <c r="X22" s="20"/>
      <c r="Y22" s="20"/>
      <c r="Z22" s="20"/>
      <c r="AA22" s="20"/>
      <c r="AB22" s="3"/>
    </row>
    <row r="23" spans="1:28" x14ac:dyDescent="0.25">
      <c r="A23" s="21" t="s">
        <v>62</v>
      </c>
      <c r="B23" s="22">
        <v>43299</v>
      </c>
      <c r="C23" s="23">
        <v>42202</v>
      </c>
      <c r="D23" s="23">
        <v>42202</v>
      </c>
      <c r="E23" s="23">
        <v>42202</v>
      </c>
      <c r="F23" s="22">
        <v>42688</v>
      </c>
      <c r="G23" s="22">
        <v>43298</v>
      </c>
      <c r="H23" s="22">
        <v>43125</v>
      </c>
      <c r="I23" s="22">
        <v>43125</v>
      </c>
      <c r="J23" s="22">
        <v>42207</v>
      </c>
      <c r="K23" s="22">
        <v>43294</v>
      </c>
      <c r="L23" s="22">
        <v>42920</v>
      </c>
      <c r="M23" s="22">
        <v>42986</v>
      </c>
      <c r="N23" s="22">
        <v>43118</v>
      </c>
      <c r="O23" s="22">
        <v>42205</v>
      </c>
      <c r="P23" s="23">
        <v>42205</v>
      </c>
      <c r="Q23" s="22">
        <v>43123</v>
      </c>
      <c r="R23" s="22">
        <v>43130</v>
      </c>
      <c r="S23" s="22">
        <v>42213</v>
      </c>
      <c r="T23" s="23">
        <v>42039</v>
      </c>
      <c r="U23" s="22">
        <v>43129</v>
      </c>
      <c r="V23" s="24">
        <v>43304</v>
      </c>
      <c r="W23" s="22">
        <v>43181</v>
      </c>
      <c r="X23" s="22">
        <v>43040</v>
      </c>
      <c r="Y23" s="22">
        <v>43122</v>
      </c>
      <c r="Z23" s="22">
        <v>42207</v>
      </c>
      <c r="AA23" s="25">
        <v>42921</v>
      </c>
      <c r="AB23" s="22">
        <v>42859</v>
      </c>
    </row>
    <row r="24" spans="1:28" x14ac:dyDescent="0.25">
      <c r="A24" s="26" t="s">
        <v>63</v>
      </c>
      <c r="B24" s="27">
        <v>40140</v>
      </c>
      <c r="C24" s="28">
        <v>37775</v>
      </c>
      <c r="D24" s="28">
        <v>36982</v>
      </c>
      <c r="E24" s="27">
        <v>36039</v>
      </c>
      <c r="F24" s="27">
        <v>40385</v>
      </c>
      <c r="G24" s="27">
        <v>40385</v>
      </c>
      <c r="H24" s="27">
        <v>42095</v>
      </c>
      <c r="I24" s="27">
        <v>39790</v>
      </c>
      <c r="J24" s="27">
        <v>37043</v>
      </c>
      <c r="K24" s="22">
        <v>42940</v>
      </c>
      <c r="L24" s="27">
        <v>37196</v>
      </c>
      <c r="M24" s="27">
        <v>41989</v>
      </c>
      <c r="N24" s="27">
        <v>39173</v>
      </c>
      <c r="O24" s="27" t="s">
        <v>64</v>
      </c>
      <c r="P24" s="27"/>
      <c r="Q24" s="22">
        <v>35521</v>
      </c>
      <c r="R24" s="27">
        <v>38902</v>
      </c>
      <c r="S24" s="27">
        <v>38902</v>
      </c>
      <c r="T24" s="27">
        <v>38322</v>
      </c>
      <c r="U24" s="27" t="s">
        <v>64</v>
      </c>
      <c r="V24" s="23">
        <v>41367</v>
      </c>
      <c r="W24" s="27">
        <v>38169</v>
      </c>
      <c r="X24" s="27">
        <v>38808</v>
      </c>
      <c r="Y24" s="23">
        <v>38991</v>
      </c>
      <c r="Z24" s="23">
        <v>36708</v>
      </c>
      <c r="AA24" s="22">
        <v>39022</v>
      </c>
      <c r="AB24" s="22">
        <v>42235</v>
      </c>
    </row>
    <row r="27" spans="1:28" x14ac:dyDescent="0.25">
      <c r="B27" s="84"/>
    </row>
  </sheetData>
  <mergeCells count="1">
    <mergeCell ref="A1:V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dimension ref="A1:W21"/>
  <sheetViews>
    <sheetView tabSelected="1" workbookViewId="0">
      <selection activeCell="I24" sqref="I24"/>
    </sheetView>
  </sheetViews>
  <sheetFormatPr defaultRowHeight="15" x14ac:dyDescent="0.25"/>
  <cols>
    <col min="5" max="5" width="9.140625" customWidth="1"/>
    <col min="7" max="10" width="9.140625" customWidth="1"/>
  </cols>
  <sheetData>
    <row r="1" spans="1:23" x14ac:dyDescent="0.25">
      <c r="A1" s="29"/>
      <c r="B1" s="29"/>
      <c r="C1" s="29"/>
      <c r="D1" s="29"/>
      <c r="E1" s="29"/>
      <c r="F1" s="29"/>
      <c r="G1" s="29"/>
      <c r="H1" s="29"/>
      <c r="I1" s="29"/>
      <c r="J1" s="29"/>
      <c r="K1" s="29"/>
      <c r="L1" s="29"/>
      <c r="M1" s="29"/>
      <c r="N1" s="29"/>
      <c r="O1" s="29"/>
      <c r="P1" s="29"/>
      <c r="Q1" s="29"/>
      <c r="R1" s="29"/>
      <c r="S1" s="29"/>
      <c r="T1" s="29"/>
      <c r="U1" s="29"/>
      <c r="V1" s="29"/>
      <c r="W1" s="29"/>
    </row>
    <row r="2" spans="1:23" x14ac:dyDescent="0.25">
      <c r="A2" s="29"/>
      <c r="B2" s="29"/>
      <c r="C2" s="29"/>
      <c r="D2" s="29"/>
      <c r="E2" s="29"/>
      <c r="F2" s="29"/>
      <c r="G2" s="29"/>
      <c r="H2" s="29"/>
      <c r="I2" s="29"/>
      <c r="J2" s="29"/>
      <c r="K2" s="29"/>
      <c r="L2" s="29"/>
      <c r="M2" s="29"/>
      <c r="N2" s="29"/>
      <c r="O2" s="29"/>
      <c r="P2" s="29"/>
      <c r="Q2" s="29"/>
      <c r="R2" s="29"/>
      <c r="S2" s="29"/>
      <c r="T2" s="29"/>
      <c r="U2" s="29"/>
      <c r="V2" s="29"/>
      <c r="W2" s="29"/>
    </row>
    <row r="3" spans="1:23" x14ac:dyDescent="0.25">
      <c r="A3" s="29"/>
      <c r="B3" s="29"/>
      <c r="C3" s="29"/>
      <c r="D3" s="29"/>
      <c r="E3" s="29"/>
      <c r="F3" s="29"/>
      <c r="G3" s="29"/>
      <c r="H3" s="29"/>
      <c r="I3" s="29"/>
      <c r="J3" s="29"/>
      <c r="K3" s="29"/>
      <c r="L3" s="29"/>
      <c r="M3" s="29"/>
      <c r="N3" s="29"/>
      <c r="O3" s="29"/>
      <c r="P3" s="29"/>
      <c r="Q3" s="29"/>
      <c r="R3" s="29"/>
      <c r="S3" s="29"/>
      <c r="T3" s="29"/>
      <c r="U3" s="29"/>
      <c r="V3" s="29"/>
      <c r="W3" s="29"/>
    </row>
    <row r="4" spans="1:23" ht="25.5" x14ac:dyDescent="0.35">
      <c r="A4" s="91" t="s">
        <v>65</v>
      </c>
      <c r="B4" s="91"/>
      <c r="C4" s="91"/>
      <c r="D4" s="91"/>
      <c r="E4" s="91"/>
      <c r="F4" s="91"/>
      <c r="G4" s="91"/>
      <c r="H4" s="91"/>
      <c r="I4" s="91"/>
      <c r="J4" s="91"/>
      <c r="K4" s="91"/>
      <c r="L4" s="91"/>
      <c r="M4" s="91"/>
      <c r="N4" s="91"/>
      <c r="O4" s="91"/>
      <c r="P4" s="91"/>
      <c r="Q4" s="91"/>
      <c r="R4" s="91"/>
      <c r="S4" s="91"/>
      <c r="T4" s="30"/>
      <c r="U4" s="30"/>
      <c r="V4" s="30"/>
      <c r="W4" s="30"/>
    </row>
    <row r="5" spans="1:23" x14ac:dyDescent="0.25">
      <c r="A5" s="29"/>
      <c r="B5" s="29"/>
      <c r="C5" s="29"/>
      <c r="D5" s="29"/>
      <c r="E5" s="29"/>
      <c r="F5" s="29"/>
      <c r="G5" s="29"/>
      <c r="H5" s="29"/>
      <c r="I5" s="29"/>
      <c r="J5" s="29"/>
      <c r="K5" s="29"/>
      <c r="L5" s="29"/>
      <c r="M5" s="29"/>
      <c r="N5" s="29"/>
      <c r="O5" s="29"/>
      <c r="P5" s="29"/>
      <c r="Q5" s="29"/>
      <c r="R5" s="29"/>
      <c r="S5" s="29"/>
      <c r="T5" s="29"/>
      <c r="U5" s="29"/>
      <c r="V5" s="29"/>
      <c r="W5" s="29"/>
    </row>
    <row r="6" spans="1:23" x14ac:dyDescent="0.25">
      <c r="A6" s="29"/>
      <c r="B6" s="29"/>
      <c r="C6" s="29"/>
      <c r="D6" s="29"/>
      <c r="E6" s="29"/>
      <c r="F6" s="29"/>
      <c r="G6" s="29"/>
      <c r="H6" s="29"/>
      <c r="I6" s="29"/>
      <c r="J6" s="29"/>
      <c r="K6" s="29"/>
      <c r="L6" s="29"/>
      <c r="M6" s="29"/>
      <c r="N6" s="29"/>
      <c r="O6" s="29"/>
      <c r="P6" s="29"/>
      <c r="Q6" s="29"/>
      <c r="R6" s="29"/>
      <c r="S6" s="29"/>
      <c r="T6" s="29"/>
      <c r="U6" s="29"/>
      <c r="V6" s="29"/>
      <c r="W6" s="29"/>
    </row>
    <row r="7" spans="1:23" x14ac:dyDescent="0.25">
      <c r="A7" s="31" t="s">
        <v>66</v>
      </c>
      <c r="B7" s="29"/>
      <c r="C7" s="29"/>
      <c r="D7" s="29"/>
      <c r="E7" s="29"/>
      <c r="F7" s="29"/>
      <c r="G7" s="29"/>
      <c r="H7" s="29"/>
      <c r="I7" s="29"/>
      <c r="J7" s="29"/>
      <c r="K7" s="29"/>
      <c r="L7" s="29"/>
      <c r="M7" s="29"/>
      <c r="N7" s="29"/>
      <c r="O7" s="29"/>
      <c r="P7" s="29"/>
      <c r="Q7" s="29"/>
      <c r="R7" s="29"/>
      <c r="S7" s="29"/>
      <c r="T7" s="29"/>
      <c r="U7" s="29"/>
      <c r="V7" s="29"/>
      <c r="W7" s="29"/>
    </row>
    <row r="8" spans="1:23" x14ac:dyDescent="0.25">
      <c r="A8" s="31"/>
      <c r="B8" s="29"/>
      <c r="C8" s="29"/>
      <c r="D8" s="29"/>
      <c r="E8" s="29"/>
      <c r="F8" s="29"/>
      <c r="G8" s="29"/>
      <c r="H8" s="29"/>
      <c r="I8" s="29"/>
      <c r="J8" s="29"/>
      <c r="K8" s="29"/>
      <c r="L8" s="29"/>
      <c r="M8" s="29"/>
      <c r="N8" s="29"/>
      <c r="O8" s="29"/>
      <c r="P8" s="29"/>
      <c r="Q8" s="29"/>
      <c r="R8" s="29"/>
      <c r="S8" s="29"/>
      <c r="T8" s="29"/>
      <c r="U8" s="29"/>
      <c r="V8" s="29"/>
      <c r="W8" s="29"/>
    </row>
    <row r="9" spans="1:23" ht="15.75" thickBot="1" x14ac:dyDescent="0.3">
      <c r="A9" s="29"/>
      <c r="B9" s="29"/>
      <c r="C9" s="29"/>
      <c r="D9" s="29"/>
      <c r="E9" s="29"/>
      <c r="F9" s="29"/>
      <c r="G9" s="29"/>
      <c r="H9" s="29"/>
      <c r="I9" s="29"/>
      <c r="J9" s="29"/>
      <c r="K9" s="29"/>
      <c r="L9" s="29"/>
      <c r="M9" s="29"/>
      <c r="N9" s="29"/>
      <c r="O9" s="29"/>
      <c r="P9" s="29"/>
      <c r="Q9" s="29"/>
      <c r="R9" s="29"/>
      <c r="S9" s="29"/>
      <c r="T9" s="29"/>
      <c r="U9" s="29"/>
      <c r="V9" s="29"/>
      <c r="W9" s="29"/>
    </row>
    <row r="10" spans="1:23" ht="103.5" thickBot="1" x14ac:dyDescent="0.3">
      <c r="A10" s="32"/>
      <c r="B10" s="33"/>
      <c r="C10" s="92" t="s">
        <v>67</v>
      </c>
      <c r="D10" s="93"/>
      <c r="E10" s="34" t="s">
        <v>68</v>
      </c>
      <c r="F10" s="92" t="s">
        <v>69</v>
      </c>
      <c r="G10" s="93"/>
      <c r="H10" s="36" t="s">
        <v>70</v>
      </c>
      <c r="I10" s="36" t="s">
        <v>71</v>
      </c>
      <c r="J10" s="36" t="s">
        <v>72</v>
      </c>
      <c r="K10" s="36" t="s">
        <v>73</v>
      </c>
      <c r="L10" s="36" t="s">
        <v>74</v>
      </c>
      <c r="M10" s="36" t="s">
        <v>75</v>
      </c>
      <c r="N10" s="36" t="s">
        <v>76</v>
      </c>
      <c r="O10" s="36" t="s">
        <v>77</v>
      </c>
      <c r="P10" s="92" t="s">
        <v>78</v>
      </c>
      <c r="Q10" s="93"/>
      <c r="R10" s="36" t="s">
        <v>79</v>
      </c>
      <c r="S10" s="36" t="s">
        <v>80</v>
      </c>
      <c r="T10" s="36" t="s">
        <v>81</v>
      </c>
      <c r="U10" s="35" t="s">
        <v>82</v>
      </c>
      <c r="V10" s="36" t="s">
        <v>83</v>
      </c>
      <c r="W10" s="36" t="s">
        <v>84</v>
      </c>
    </row>
    <row r="11" spans="1:23" x14ac:dyDescent="0.25">
      <c r="A11" s="37"/>
      <c r="B11" s="29"/>
      <c r="C11" s="38"/>
      <c r="D11" s="39"/>
      <c r="E11" s="40"/>
      <c r="F11" s="38"/>
      <c r="G11" s="39"/>
      <c r="H11" s="41"/>
      <c r="I11" s="41"/>
      <c r="J11" s="41"/>
      <c r="K11" s="42"/>
      <c r="L11" s="43"/>
      <c r="M11" s="41"/>
      <c r="N11" s="41"/>
      <c r="O11" s="41"/>
      <c r="P11" s="38"/>
      <c r="Q11" s="39"/>
      <c r="R11" s="41"/>
      <c r="S11" s="42"/>
      <c r="T11" s="41"/>
      <c r="U11" s="44"/>
      <c r="V11" s="42"/>
      <c r="W11" s="41"/>
    </row>
    <row r="12" spans="1:23" x14ac:dyDescent="0.25">
      <c r="A12" s="45" t="s">
        <v>85</v>
      </c>
      <c r="B12" s="46"/>
      <c r="C12" s="47">
        <v>25</v>
      </c>
      <c r="D12" s="48" t="s">
        <v>86</v>
      </c>
      <c r="E12" s="17">
        <v>120</v>
      </c>
      <c r="F12" s="49">
        <v>10</v>
      </c>
      <c r="G12" s="50" t="s">
        <v>86</v>
      </c>
      <c r="H12" s="51">
        <v>120</v>
      </c>
      <c r="I12" s="51">
        <v>25</v>
      </c>
      <c r="J12" s="51">
        <v>0</v>
      </c>
      <c r="K12" s="17">
        <v>120</v>
      </c>
      <c r="L12" s="52">
        <v>5</v>
      </c>
      <c r="M12" s="53">
        <v>95</v>
      </c>
      <c r="N12" s="53">
        <v>95</v>
      </c>
      <c r="O12" s="53">
        <v>120</v>
      </c>
      <c r="P12" s="49">
        <v>15</v>
      </c>
      <c r="Q12" s="50" t="s">
        <v>86</v>
      </c>
      <c r="R12" s="17">
        <v>40</v>
      </c>
      <c r="S12" s="54">
        <v>30</v>
      </c>
      <c r="T12" s="48">
        <v>25</v>
      </c>
      <c r="U12" s="17">
        <v>120</v>
      </c>
      <c r="V12" s="17">
        <v>115</v>
      </c>
      <c r="W12" s="54">
        <v>25</v>
      </c>
    </row>
    <row r="13" spans="1:23" x14ac:dyDescent="0.25">
      <c r="A13" s="45" t="s">
        <v>87</v>
      </c>
      <c r="B13" s="46"/>
      <c r="C13" s="47">
        <f>C12</f>
        <v>25</v>
      </c>
      <c r="D13" s="48"/>
      <c r="E13" s="17">
        <f t="shared" ref="E13:E18" si="0">E12</f>
        <v>120</v>
      </c>
      <c r="F13" s="49">
        <v>10</v>
      </c>
      <c r="G13" s="50" t="s">
        <v>86</v>
      </c>
      <c r="H13" s="51">
        <f t="shared" ref="H13:I18" si="1">H12</f>
        <v>120</v>
      </c>
      <c r="I13" s="51">
        <f t="shared" si="1"/>
        <v>25</v>
      </c>
      <c r="J13" s="51">
        <v>0</v>
      </c>
      <c r="K13" s="17">
        <f t="shared" ref="K13:K18" si="2">K12</f>
        <v>120</v>
      </c>
      <c r="L13" s="52">
        <v>5</v>
      </c>
      <c r="M13" s="53">
        <f t="shared" ref="M13:O18" si="3">M12</f>
        <v>95</v>
      </c>
      <c r="N13" s="53">
        <f t="shared" si="3"/>
        <v>95</v>
      </c>
      <c r="O13" s="53">
        <f t="shared" si="3"/>
        <v>120</v>
      </c>
      <c r="P13" s="49">
        <v>10</v>
      </c>
      <c r="Q13" s="50" t="s">
        <v>86</v>
      </c>
      <c r="R13" s="17">
        <f t="shared" ref="R13:W18" si="4">R12</f>
        <v>40</v>
      </c>
      <c r="S13" s="17">
        <f t="shared" si="4"/>
        <v>30</v>
      </c>
      <c r="T13" s="48">
        <f t="shared" si="4"/>
        <v>25</v>
      </c>
      <c r="U13" s="17">
        <f t="shared" si="4"/>
        <v>120</v>
      </c>
      <c r="V13" s="17">
        <f t="shared" si="4"/>
        <v>115</v>
      </c>
      <c r="W13" s="54">
        <f t="shared" si="4"/>
        <v>25</v>
      </c>
    </row>
    <row r="14" spans="1:23" x14ac:dyDescent="0.25">
      <c r="A14" s="45" t="s">
        <v>88</v>
      </c>
      <c r="B14" s="46"/>
      <c r="C14" s="47">
        <v>20</v>
      </c>
      <c r="D14" s="48"/>
      <c r="E14" s="17">
        <f t="shared" si="0"/>
        <v>120</v>
      </c>
      <c r="F14" s="49">
        <v>5</v>
      </c>
      <c r="G14" s="50" t="s">
        <v>86</v>
      </c>
      <c r="H14" s="51">
        <f t="shared" si="1"/>
        <v>120</v>
      </c>
      <c r="I14" s="51">
        <f t="shared" si="1"/>
        <v>25</v>
      </c>
      <c r="J14" s="51">
        <v>0</v>
      </c>
      <c r="K14" s="17">
        <f t="shared" si="2"/>
        <v>120</v>
      </c>
      <c r="L14" s="52">
        <v>5</v>
      </c>
      <c r="M14" s="53">
        <f t="shared" si="3"/>
        <v>95</v>
      </c>
      <c r="N14" s="53">
        <f t="shared" si="3"/>
        <v>95</v>
      </c>
      <c r="O14" s="53">
        <f t="shared" si="3"/>
        <v>120</v>
      </c>
      <c r="P14" s="49">
        <v>5</v>
      </c>
      <c r="Q14" s="50" t="s">
        <v>86</v>
      </c>
      <c r="R14" s="17">
        <f t="shared" si="4"/>
        <v>40</v>
      </c>
      <c r="S14" s="17">
        <f t="shared" si="4"/>
        <v>30</v>
      </c>
      <c r="T14" s="48">
        <f t="shared" si="4"/>
        <v>25</v>
      </c>
      <c r="U14" s="17">
        <f t="shared" si="4"/>
        <v>120</v>
      </c>
      <c r="V14" s="17">
        <f t="shared" si="4"/>
        <v>115</v>
      </c>
      <c r="W14" s="54">
        <f t="shared" si="4"/>
        <v>25</v>
      </c>
    </row>
    <row r="15" spans="1:23" x14ac:dyDescent="0.25">
      <c r="A15" s="45" t="s">
        <v>89</v>
      </c>
      <c r="B15" s="46"/>
      <c r="C15" s="47">
        <v>10</v>
      </c>
      <c r="D15" s="48"/>
      <c r="E15" s="17">
        <f t="shared" si="0"/>
        <v>120</v>
      </c>
      <c r="F15" s="55">
        <v>2.5</v>
      </c>
      <c r="G15" s="50" t="s">
        <v>86</v>
      </c>
      <c r="H15" s="51">
        <f t="shared" si="1"/>
        <v>120</v>
      </c>
      <c r="I15" s="51">
        <f t="shared" si="1"/>
        <v>25</v>
      </c>
      <c r="J15" s="51">
        <v>0</v>
      </c>
      <c r="K15" s="17">
        <f t="shared" si="2"/>
        <v>120</v>
      </c>
      <c r="L15" s="52">
        <v>5</v>
      </c>
      <c r="M15" s="53">
        <f t="shared" si="3"/>
        <v>95</v>
      </c>
      <c r="N15" s="53">
        <f t="shared" si="3"/>
        <v>95</v>
      </c>
      <c r="O15" s="53">
        <f t="shared" si="3"/>
        <v>120</v>
      </c>
      <c r="P15" s="55">
        <v>2.5</v>
      </c>
      <c r="Q15" s="50" t="s">
        <v>86</v>
      </c>
      <c r="R15" s="17">
        <f t="shared" si="4"/>
        <v>40</v>
      </c>
      <c r="S15" s="17">
        <f t="shared" si="4"/>
        <v>30</v>
      </c>
      <c r="T15" s="48">
        <f t="shared" si="4"/>
        <v>25</v>
      </c>
      <c r="U15" s="17">
        <f t="shared" si="4"/>
        <v>120</v>
      </c>
      <c r="V15" s="17">
        <f t="shared" si="4"/>
        <v>115</v>
      </c>
      <c r="W15" s="54">
        <f t="shared" si="4"/>
        <v>25</v>
      </c>
    </row>
    <row r="16" spans="1:23" x14ac:dyDescent="0.25">
      <c r="A16" s="45" t="s">
        <v>90</v>
      </c>
      <c r="B16" s="46"/>
      <c r="C16" s="47">
        <f>C15</f>
        <v>10</v>
      </c>
      <c r="D16" s="48"/>
      <c r="E16" s="17">
        <f t="shared" si="0"/>
        <v>120</v>
      </c>
      <c r="F16" s="49">
        <v>1</v>
      </c>
      <c r="G16" s="50" t="s">
        <v>86</v>
      </c>
      <c r="H16" s="51">
        <f t="shared" si="1"/>
        <v>120</v>
      </c>
      <c r="I16" s="51">
        <f t="shared" si="1"/>
        <v>25</v>
      </c>
      <c r="J16" s="51">
        <v>0</v>
      </c>
      <c r="K16" s="17">
        <f t="shared" si="2"/>
        <v>120</v>
      </c>
      <c r="L16" s="52">
        <v>5</v>
      </c>
      <c r="M16" s="53">
        <f t="shared" si="3"/>
        <v>95</v>
      </c>
      <c r="N16" s="53">
        <f t="shared" si="3"/>
        <v>95</v>
      </c>
      <c r="O16" s="53">
        <f t="shared" si="3"/>
        <v>120</v>
      </c>
      <c r="P16" s="49">
        <v>1</v>
      </c>
      <c r="Q16" s="50" t="s">
        <v>86</v>
      </c>
      <c r="R16" s="17">
        <f t="shared" si="4"/>
        <v>40</v>
      </c>
      <c r="S16" s="17">
        <f t="shared" si="4"/>
        <v>30</v>
      </c>
      <c r="T16" s="48">
        <f t="shared" si="4"/>
        <v>25</v>
      </c>
      <c r="U16" s="17">
        <f t="shared" si="4"/>
        <v>120</v>
      </c>
      <c r="V16" s="17">
        <f t="shared" si="4"/>
        <v>115</v>
      </c>
      <c r="W16" s="54">
        <f t="shared" si="4"/>
        <v>25</v>
      </c>
    </row>
    <row r="17" spans="1:23" x14ac:dyDescent="0.25">
      <c r="A17" s="45" t="s">
        <v>91</v>
      </c>
      <c r="B17" s="46"/>
      <c r="C17" s="47">
        <v>5</v>
      </c>
      <c r="D17" s="48"/>
      <c r="E17" s="17">
        <f t="shared" si="0"/>
        <v>120</v>
      </c>
      <c r="F17" s="49">
        <v>1</v>
      </c>
      <c r="G17" s="50" t="s">
        <v>86</v>
      </c>
      <c r="H17" s="51">
        <f t="shared" si="1"/>
        <v>120</v>
      </c>
      <c r="I17" s="51">
        <f t="shared" si="1"/>
        <v>25</v>
      </c>
      <c r="J17" s="51">
        <v>0</v>
      </c>
      <c r="K17" s="17">
        <f t="shared" si="2"/>
        <v>120</v>
      </c>
      <c r="L17" s="52">
        <v>5</v>
      </c>
      <c r="M17" s="53">
        <f t="shared" si="3"/>
        <v>95</v>
      </c>
      <c r="N17" s="53">
        <f t="shared" si="3"/>
        <v>95</v>
      </c>
      <c r="O17" s="53">
        <f t="shared" si="3"/>
        <v>120</v>
      </c>
      <c r="P17" s="49">
        <v>1</v>
      </c>
      <c r="Q17" s="50" t="s">
        <v>86</v>
      </c>
      <c r="R17" s="17">
        <f t="shared" si="4"/>
        <v>40</v>
      </c>
      <c r="S17" s="17">
        <f t="shared" si="4"/>
        <v>30</v>
      </c>
      <c r="T17" s="48">
        <f t="shared" si="4"/>
        <v>25</v>
      </c>
      <c r="U17" s="17">
        <f t="shared" si="4"/>
        <v>120</v>
      </c>
      <c r="V17" s="17">
        <f t="shared" si="4"/>
        <v>115</v>
      </c>
      <c r="W17" s="54">
        <f t="shared" si="4"/>
        <v>25</v>
      </c>
    </row>
    <row r="18" spans="1:23" ht="15.75" thickBot="1" x14ac:dyDescent="0.3">
      <c r="A18" s="56" t="s">
        <v>92</v>
      </c>
      <c r="B18" s="57"/>
      <c r="C18" s="58">
        <f>C17</f>
        <v>5</v>
      </c>
      <c r="D18" s="59"/>
      <c r="E18" s="60">
        <f t="shared" si="0"/>
        <v>120</v>
      </c>
      <c r="F18" s="61">
        <v>0</v>
      </c>
      <c r="G18" s="62" t="s">
        <v>86</v>
      </c>
      <c r="H18" s="63">
        <f t="shared" si="1"/>
        <v>120</v>
      </c>
      <c r="I18" s="63">
        <f t="shared" si="1"/>
        <v>25</v>
      </c>
      <c r="J18" s="63">
        <v>0</v>
      </c>
      <c r="K18" s="60">
        <f t="shared" si="2"/>
        <v>120</v>
      </c>
      <c r="L18" s="64">
        <v>5</v>
      </c>
      <c r="M18" s="65">
        <f t="shared" si="3"/>
        <v>95</v>
      </c>
      <c r="N18" s="65">
        <f t="shared" si="3"/>
        <v>95</v>
      </c>
      <c r="O18" s="65">
        <f t="shared" si="3"/>
        <v>120</v>
      </c>
      <c r="P18" s="61">
        <v>0</v>
      </c>
      <c r="Q18" s="62" t="s">
        <v>86</v>
      </c>
      <c r="R18" s="66">
        <f t="shared" si="4"/>
        <v>40</v>
      </c>
      <c r="S18" s="66">
        <f t="shared" si="4"/>
        <v>30</v>
      </c>
      <c r="T18" s="59">
        <f t="shared" si="4"/>
        <v>25</v>
      </c>
      <c r="U18" s="60">
        <f t="shared" si="4"/>
        <v>120</v>
      </c>
      <c r="V18" s="60">
        <f t="shared" si="4"/>
        <v>115</v>
      </c>
      <c r="W18" s="67">
        <f t="shared" si="4"/>
        <v>25</v>
      </c>
    </row>
    <row r="19" spans="1:23" x14ac:dyDescent="0.25">
      <c r="A19" s="37"/>
      <c r="B19" s="29"/>
      <c r="C19" s="68"/>
      <c r="D19" s="69"/>
      <c r="E19" s="42"/>
      <c r="F19" s="70"/>
      <c r="G19" s="71"/>
      <c r="H19" s="72"/>
      <c r="I19" s="72"/>
      <c r="J19" s="72"/>
      <c r="K19" s="42"/>
      <c r="L19" s="43"/>
      <c r="M19" s="42"/>
      <c r="N19" s="42"/>
      <c r="O19" s="73"/>
      <c r="P19" s="70"/>
      <c r="Q19" s="71"/>
      <c r="R19" s="42"/>
      <c r="S19" s="74"/>
      <c r="T19" s="42"/>
      <c r="U19" s="42"/>
      <c r="V19" s="42"/>
      <c r="W19" s="41"/>
    </row>
    <row r="20" spans="1:23" ht="15.75" thickBot="1" x14ac:dyDescent="0.3">
      <c r="A20" s="56" t="s">
        <v>62</v>
      </c>
      <c r="B20" s="57"/>
      <c r="C20" s="94">
        <v>43090</v>
      </c>
      <c r="D20" s="95"/>
      <c r="E20" s="75">
        <v>43277</v>
      </c>
      <c r="F20" s="96">
        <v>42122</v>
      </c>
      <c r="G20" s="97"/>
      <c r="H20" s="76">
        <v>43273</v>
      </c>
      <c r="I20" s="76">
        <v>43088</v>
      </c>
      <c r="J20" s="76">
        <v>39569</v>
      </c>
      <c r="K20" s="75">
        <v>43272</v>
      </c>
      <c r="L20" s="77">
        <v>42234</v>
      </c>
      <c r="M20" s="78">
        <v>43188</v>
      </c>
      <c r="N20" s="78">
        <v>43188</v>
      </c>
      <c r="O20" s="78">
        <v>43285</v>
      </c>
      <c r="P20" s="89">
        <v>39940</v>
      </c>
      <c r="Q20" s="90"/>
      <c r="R20" s="75">
        <v>43248</v>
      </c>
      <c r="S20" s="79">
        <v>42039</v>
      </c>
      <c r="T20" s="79">
        <v>42044</v>
      </c>
      <c r="U20" s="75">
        <v>43280</v>
      </c>
      <c r="V20" s="75">
        <v>43269</v>
      </c>
      <c r="W20" s="79">
        <v>40116</v>
      </c>
    </row>
    <row r="21" spans="1:23" ht="15.75" thickBot="1" x14ac:dyDescent="0.3">
      <c r="A21" s="56" t="s">
        <v>93</v>
      </c>
      <c r="B21" s="57"/>
      <c r="C21" s="87" t="s">
        <v>94</v>
      </c>
      <c r="D21" s="88"/>
      <c r="E21" s="81" t="s">
        <v>95</v>
      </c>
      <c r="F21" s="87" t="s">
        <v>94</v>
      </c>
      <c r="G21" s="88"/>
      <c r="H21" s="76" t="s">
        <v>95</v>
      </c>
      <c r="I21" s="75" t="s">
        <v>94</v>
      </c>
      <c r="J21" s="76" t="s">
        <v>94</v>
      </c>
      <c r="K21" s="79" t="s">
        <v>95</v>
      </c>
      <c r="L21" s="79" t="s">
        <v>94</v>
      </c>
      <c r="M21" s="75" t="s">
        <v>95</v>
      </c>
      <c r="N21" s="75" t="s">
        <v>95</v>
      </c>
      <c r="O21" s="75" t="s">
        <v>95</v>
      </c>
      <c r="P21" s="89" t="s">
        <v>94</v>
      </c>
      <c r="Q21" s="90"/>
      <c r="R21" s="77" t="s">
        <v>94</v>
      </c>
      <c r="S21" s="75" t="s">
        <v>94</v>
      </c>
      <c r="T21" s="80" t="s">
        <v>94</v>
      </c>
      <c r="U21" s="75" t="s">
        <v>95</v>
      </c>
      <c r="V21" s="79" t="s">
        <v>95</v>
      </c>
      <c r="W21" s="79" t="s">
        <v>95</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dimension ref="A1:N22"/>
  <sheetViews>
    <sheetView workbookViewId="0">
      <selection activeCell="N24" sqref="N24"/>
    </sheetView>
  </sheetViews>
  <sheetFormatPr defaultRowHeight="15" x14ac:dyDescent="0.25"/>
  <cols>
    <col min="1" max="1" width="28.42578125" bestFit="1" customWidth="1"/>
  </cols>
  <sheetData>
    <row r="1" spans="1:14" ht="25.5" x14ac:dyDescent="0.35">
      <c r="A1" s="86"/>
      <c r="B1" s="86"/>
      <c r="C1" s="86"/>
      <c r="D1" s="86"/>
      <c r="E1" s="86"/>
      <c r="F1" s="86"/>
      <c r="G1" s="86"/>
      <c r="H1" s="86"/>
      <c r="I1" s="86"/>
      <c r="J1" s="86"/>
      <c r="K1" s="86"/>
      <c r="L1" s="3"/>
      <c r="M1" s="3"/>
      <c r="N1" s="3"/>
    </row>
    <row r="2" spans="1:14" ht="25.5" x14ac:dyDescent="0.35">
      <c r="A2" s="98" t="s">
        <v>96</v>
      </c>
      <c r="B2" s="98"/>
      <c r="C2" s="98"/>
      <c r="D2" s="98"/>
      <c r="E2" s="98"/>
      <c r="F2" s="98"/>
      <c r="G2" s="98"/>
      <c r="H2" s="98"/>
      <c r="I2" s="98"/>
      <c r="J2" s="98"/>
      <c r="K2" s="98"/>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97</v>
      </c>
      <c r="B7" s="8"/>
      <c r="C7" s="3"/>
      <c r="D7" s="3"/>
      <c r="E7" s="3"/>
      <c r="F7" s="3"/>
      <c r="G7" s="3"/>
      <c r="H7" s="3"/>
      <c r="I7" s="3"/>
      <c r="J7" s="3"/>
      <c r="K7" s="3"/>
      <c r="L7" s="3"/>
      <c r="M7" s="3"/>
      <c r="N7" s="3"/>
    </row>
    <row r="8" spans="1:14" x14ac:dyDescent="0.25">
      <c r="A8" s="20"/>
      <c r="B8" s="20"/>
      <c r="C8" s="20"/>
      <c r="D8" s="20"/>
      <c r="E8" s="20"/>
      <c r="F8" s="20"/>
      <c r="G8" s="20"/>
      <c r="H8" s="20"/>
      <c r="I8" s="20"/>
      <c r="J8" s="20"/>
      <c r="K8" s="20"/>
      <c r="L8" s="20"/>
      <c r="M8" s="20"/>
      <c r="N8" s="20"/>
    </row>
    <row r="9" spans="1:14" x14ac:dyDescent="0.25">
      <c r="A9" s="10"/>
      <c r="B9" s="11" t="s">
        <v>2</v>
      </c>
      <c r="C9" s="11" t="s">
        <v>2</v>
      </c>
      <c r="D9" s="11" t="s">
        <v>2</v>
      </c>
      <c r="E9" s="11" t="s">
        <v>98</v>
      </c>
      <c r="F9" s="11" t="s">
        <v>6</v>
      </c>
      <c r="G9" s="11" t="s">
        <v>6</v>
      </c>
      <c r="H9" s="11" t="s">
        <v>6</v>
      </c>
      <c r="I9" s="11" t="s">
        <v>7</v>
      </c>
      <c r="J9" s="11" t="s">
        <v>99</v>
      </c>
      <c r="K9" s="11" t="s">
        <v>13</v>
      </c>
      <c r="L9" s="11" t="s">
        <v>16</v>
      </c>
      <c r="M9" s="11" t="s">
        <v>100</v>
      </c>
      <c r="N9" s="82" t="s">
        <v>19</v>
      </c>
    </row>
    <row r="10" spans="1:14" ht="90" x14ac:dyDescent="0.25">
      <c r="A10" s="10"/>
      <c r="B10" s="13" t="s">
        <v>101</v>
      </c>
      <c r="C10" s="13" t="s">
        <v>102</v>
      </c>
      <c r="D10" s="13" t="s">
        <v>103</v>
      </c>
      <c r="E10" s="13" t="s">
        <v>104</v>
      </c>
      <c r="F10" s="13" t="s">
        <v>105</v>
      </c>
      <c r="G10" s="83" t="s">
        <v>106</v>
      </c>
      <c r="H10" s="83" t="s">
        <v>104</v>
      </c>
      <c r="I10" s="13" t="s">
        <v>107</v>
      </c>
      <c r="J10" s="13" t="s">
        <v>108</v>
      </c>
      <c r="K10" s="13" t="s">
        <v>107</v>
      </c>
      <c r="L10" s="13" t="s">
        <v>109</v>
      </c>
      <c r="M10" s="13" t="s">
        <v>110</v>
      </c>
      <c r="N10" s="12" t="s">
        <v>24</v>
      </c>
    </row>
    <row r="11" spans="1:14" x14ac:dyDescent="0.25">
      <c r="A11" s="15" t="s">
        <v>111</v>
      </c>
      <c r="B11" s="15">
        <v>135</v>
      </c>
      <c r="C11" s="15">
        <v>130</v>
      </c>
      <c r="D11" s="15">
        <v>135</v>
      </c>
      <c r="E11" s="15">
        <v>135</v>
      </c>
      <c r="F11" s="15">
        <v>110</v>
      </c>
      <c r="G11" s="15">
        <v>110</v>
      </c>
      <c r="H11" s="15">
        <v>110</v>
      </c>
      <c r="I11" s="15">
        <v>135</v>
      </c>
      <c r="J11" s="15">
        <v>135</v>
      </c>
      <c r="K11" s="15">
        <v>135</v>
      </c>
      <c r="L11" s="15">
        <v>115</v>
      </c>
      <c r="M11" s="18">
        <v>135</v>
      </c>
      <c r="N11" s="15">
        <v>135</v>
      </c>
    </row>
    <row r="12" spans="1:14" x14ac:dyDescent="0.25">
      <c r="A12" s="15" t="s">
        <v>52</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18">
        <f t="shared" si="0"/>
        <v>135</v>
      </c>
      <c r="N12" s="15">
        <f>N11</f>
        <v>135</v>
      </c>
    </row>
    <row r="13" spans="1:14" x14ac:dyDescent="0.25">
      <c r="A13" s="15" t="s">
        <v>54</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18">
        <f t="shared" si="0"/>
        <v>135</v>
      </c>
      <c r="N13" s="15">
        <f t="shared" si="0"/>
        <v>135</v>
      </c>
    </row>
    <row r="14" spans="1:14" x14ac:dyDescent="0.25">
      <c r="A14" s="15" t="s">
        <v>55</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18">
        <f t="shared" si="0"/>
        <v>135</v>
      </c>
      <c r="N14" s="15">
        <f t="shared" si="0"/>
        <v>135</v>
      </c>
    </row>
    <row r="15" spans="1:14" x14ac:dyDescent="0.25">
      <c r="A15" s="15" t="s">
        <v>56</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18">
        <f t="shared" si="0"/>
        <v>135</v>
      </c>
      <c r="N15" s="15">
        <f t="shared" si="0"/>
        <v>135</v>
      </c>
    </row>
    <row r="16" spans="1:14" x14ac:dyDescent="0.25">
      <c r="A16" s="15" t="s">
        <v>57</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18">
        <f t="shared" si="0"/>
        <v>135</v>
      </c>
      <c r="N16" s="15">
        <f t="shared" si="0"/>
        <v>135</v>
      </c>
    </row>
    <row r="17" spans="1:14" x14ac:dyDescent="0.25">
      <c r="A17" s="15" t="s">
        <v>58</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18">
        <f t="shared" si="0"/>
        <v>135</v>
      </c>
      <c r="N17" s="15">
        <f t="shared" si="0"/>
        <v>135</v>
      </c>
    </row>
    <row r="18" spans="1:14" x14ac:dyDescent="0.25">
      <c r="A18" s="15" t="s">
        <v>60</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18">
        <f t="shared" si="0"/>
        <v>135</v>
      </c>
      <c r="N18" s="15">
        <f t="shared" si="0"/>
        <v>135</v>
      </c>
    </row>
    <row r="19" spans="1:14" x14ac:dyDescent="0.25">
      <c r="A19" s="15" t="s">
        <v>61</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18">
        <f t="shared" si="0"/>
        <v>135</v>
      </c>
      <c r="N19" s="15">
        <f t="shared" si="0"/>
        <v>135</v>
      </c>
    </row>
    <row r="20" spans="1:14" x14ac:dyDescent="0.25">
      <c r="A20" s="20"/>
      <c r="B20" s="20"/>
      <c r="C20" s="20"/>
      <c r="D20" s="20"/>
      <c r="E20" s="20"/>
      <c r="F20" s="20"/>
      <c r="G20" s="20"/>
      <c r="H20" s="20"/>
      <c r="I20" s="20"/>
      <c r="J20" s="20"/>
      <c r="K20" s="20"/>
      <c r="L20" s="20"/>
      <c r="M20" s="20"/>
      <c r="N20" s="20"/>
    </row>
    <row r="21" spans="1:14" x14ac:dyDescent="0.25">
      <c r="A21" s="21" t="s">
        <v>62</v>
      </c>
      <c r="B21" s="22">
        <v>43294</v>
      </c>
      <c r="C21" s="22">
        <v>43294</v>
      </c>
      <c r="D21" s="22">
        <v>43294</v>
      </c>
      <c r="E21" s="22">
        <v>43298</v>
      </c>
      <c r="F21" s="22">
        <v>43123</v>
      </c>
      <c r="G21" s="22">
        <f>F21</f>
        <v>43123</v>
      </c>
      <c r="H21" s="22">
        <f>G21</f>
        <v>43123</v>
      </c>
      <c r="I21" s="22">
        <v>43293</v>
      </c>
      <c r="J21" s="22">
        <v>43294</v>
      </c>
      <c r="K21" s="22">
        <v>43300</v>
      </c>
      <c r="L21" s="22">
        <v>43130</v>
      </c>
      <c r="M21" s="24">
        <v>43301</v>
      </c>
      <c r="N21" s="22">
        <v>43300</v>
      </c>
    </row>
    <row r="22" spans="1:14" x14ac:dyDescent="0.25">
      <c r="A22" s="26" t="s">
        <v>63</v>
      </c>
      <c r="B22" s="22">
        <v>41911</v>
      </c>
      <c r="C22" s="27">
        <v>41911</v>
      </c>
      <c r="D22" s="27">
        <v>39944</v>
      </c>
      <c r="E22" s="23">
        <v>40849</v>
      </c>
      <c r="F22" s="22">
        <v>40851</v>
      </c>
      <c r="G22" s="22">
        <v>38961</v>
      </c>
      <c r="H22" s="22">
        <v>38961</v>
      </c>
      <c r="I22" s="22">
        <v>40000</v>
      </c>
      <c r="J22" s="27">
        <v>38322</v>
      </c>
      <c r="K22" s="27">
        <v>39526</v>
      </c>
      <c r="L22" s="22">
        <v>36708</v>
      </c>
      <c r="M22" s="22">
        <v>40909</v>
      </c>
      <c r="N22" s="22">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59"/>
  <sheetViews>
    <sheetView workbookViewId="0">
      <selection activeCell="B14" sqref="B14"/>
    </sheetView>
  </sheetViews>
  <sheetFormatPr defaultRowHeight="15" x14ac:dyDescent="0.25"/>
  <cols>
    <col min="1" max="1" width="10.28515625" bestFit="1" customWidth="1"/>
    <col min="2" max="2" width="24.85546875" bestFit="1" customWidth="1"/>
    <col min="3" max="3" width="24.42578125" bestFit="1" customWidth="1"/>
    <col min="4" max="4" width="15.28515625" bestFit="1" customWidth="1"/>
  </cols>
  <sheetData>
    <row r="1" spans="1:4" x14ac:dyDescent="0.25">
      <c r="A1" t="s">
        <v>112</v>
      </c>
      <c r="B1" t="s">
        <v>113</v>
      </c>
      <c r="C1" t="s">
        <v>114</v>
      </c>
      <c r="D1" t="s">
        <v>115</v>
      </c>
    </row>
    <row r="2" spans="1:4" x14ac:dyDescent="0.25">
      <c r="A2" t="s">
        <v>7</v>
      </c>
      <c r="B2" t="s">
        <v>116</v>
      </c>
      <c r="C2" t="s">
        <v>117</v>
      </c>
      <c r="D2" t="str">
        <f>(RBC_rates!D2)</f>
        <v>1.05</v>
      </c>
    </row>
    <row r="3" spans="1:4" x14ac:dyDescent="0.25">
      <c r="B3" t="s">
        <v>118</v>
      </c>
      <c r="C3" t="str">
        <f>(RBC_rates!C4)</f>
        <v>$250,000.00 and over</v>
      </c>
      <c r="D3" t="str">
        <f>(RBC_rates!D4)</f>
        <v>0.150 P</v>
      </c>
    </row>
    <row r="4" spans="1:4" x14ac:dyDescent="0.25">
      <c r="C4" t="str">
        <f>(RBC_rates!C5)</f>
        <v>$150,000.00 to $249,999.99</v>
      </c>
      <c r="D4" t="str">
        <f>(RBC_rates!D5)</f>
        <v>0.150 P</v>
      </c>
    </row>
    <row r="5" spans="1:4" x14ac:dyDescent="0.25">
      <c r="C5" t="str">
        <f>(RBC_rates!C6)</f>
        <v>$100,000.00 to $149,999.99</v>
      </c>
      <c r="D5" t="str">
        <f>(RBC_rates!D6)</f>
        <v>0.050 P</v>
      </c>
    </row>
    <row r="6" spans="1:4" x14ac:dyDescent="0.25">
      <c r="C6" t="str">
        <f>(RBC_rates!C7)</f>
        <v>$60,000.00 to $99,999.99</v>
      </c>
      <c r="D6" t="str">
        <f>(RBC_rates!D7)</f>
        <v>0.025 P</v>
      </c>
    </row>
    <row r="7" spans="1:4" x14ac:dyDescent="0.25">
      <c r="C7" t="str">
        <f>(RBC_rates!C8)</f>
        <v>$25,000.00 to $59,999.99</v>
      </c>
      <c r="D7" t="str">
        <f>(RBC_rates!D8)</f>
        <v>0.010</v>
      </c>
    </row>
    <row r="8" spans="1:4" x14ac:dyDescent="0.25">
      <c r="C8" t="str">
        <f>(RBC_rates!C9)</f>
        <v>$10,000.00 to $24,999.99</v>
      </c>
      <c r="D8" t="str">
        <f>(RBC_rates!D9)</f>
        <v>0.005</v>
      </c>
    </row>
    <row r="9" spans="1:4" x14ac:dyDescent="0.25">
      <c r="C9" t="str">
        <f>(RBC_rates!C10)</f>
        <v>$5,000.00 to $9,999.99</v>
      </c>
      <c r="D9" t="str">
        <f>(RBC_rates!D10)</f>
        <v>0.001</v>
      </c>
    </row>
    <row r="10" spans="1:4" x14ac:dyDescent="0.25">
      <c r="C10" t="str">
        <f>(RBC_rates!C11)</f>
        <v>$0.00 to $4,999.99</v>
      </c>
      <c r="D10" t="str">
        <f>(RBC_rates!D11)</f>
        <v>0.000</v>
      </c>
    </row>
    <row r="11" spans="1:4" x14ac:dyDescent="0.25">
      <c r="B11" t="s">
        <v>119</v>
      </c>
      <c r="C11" t="str">
        <f>(RBC_rates!C13)</f>
        <v>$5,000.00 and over</v>
      </c>
      <c r="D11" t="str">
        <f>(RBC_rates!D13)</f>
        <v>0.050 P</v>
      </c>
    </row>
    <row r="12" spans="1:4" x14ac:dyDescent="0.25">
      <c r="C12" t="str">
        <f>(RBC_rates!C14)</f>
        <v>$3,000.00 to $4,999.99</v>
      </c>
      <c r="D12" t="str">
        <f>(RBC_rates!D14)</f>
        <v>0.020 P</v>
      </c>
    </row>
    <row r="13" spans="1:4" x14ac:dyDescent="0.25">
      <c r="C13" t="str">
        <f>(RBC_rates!C15)</f>
        <v>$1,000.00 to $2,999.99</v>
      </c>
      <c r="D13" t="str">
        <f>(RBC_rates!D15)</f>
        <v>0.010</v>
      </c>
    </row>
    <row r="14" spans="1:4" x14ac:dyDescent="0.25">
      <c r="B14" t="s">
        <v>120</v>
      </c>
      <c r="C14" t="str">
        <f>(RBC_rates!C16)</f>
        <v>$0.00 to $999.99</v>
      </c>
      <c r="D14" t="str">
        <f>(RBC_rates!D16)</f>
        <v>0.005</v>
      </c>
    </row>
    <row r="15" spans="1:4" x14ac:dyDescent="0.25">
      <c r="C15" t="str">
        <f>(RBC_rates!C19)</f>
        <v>$5,000.00 and over</v>
      </c>
      <c r="D15" t="str">
        <f>(RBC_rates!D19)</f>
        <v>0.010 P</v>
      </c>
    </row>
    <row r="16" spans="1:4" x14ac:dyDescent="0.25">
      <c r="C16" t="str">
        <f>(RBC_rates!C20)</f>
        <v>$3,000.00 to $4,999.99</v>
      </c>
      <c r="D16" t="str">
        <f>(RBC_rates!D20)</f>
        <v>0.010 P</v>
      </c>
    </row>
    <row r="17" spans="1:4" x14ac:dyDescent="0.25">
      <c r="C17" t="str">
        <f>(RBC_rates!C21)</f>
        <v>$1,000.00 to $2,999.99</v>
      </c>
      <c r="D17" t="str">
        <f>(RBC_rates!D21)</f>
        <v>0.010</v>
      </c>
    </row>
    <row r="18" spans="1:4" x14ac:dyDescent="0.25">
      <c r="C18" t="str">
        <f>(RBC_rates!C22)</f>
        <v>$0.00 to $999.99</v>
      </c>
      <c r="D18" t="str">
        <f>(RBC_rates!D22)</f>
        <v>0.010</v>
      </c>
    </row>
    <row r="20" spans="1:4" x14ac:dyDescent="0.25">
      <c r="A20" t="s">
        <v>121</v>
      </c>
      <c r="B20" t="str">
        <f>(TD_rates!A2)</f>
        <v>High Interest TFSA Savings Account</v>
      </c>
      <c r="C20" t="str">
        <f>(TD_rates!C3)</f>
        <v>0 to $999.99</v>
      </c>
      <c r="D20">
        <f>(TD_rates!B3)</f>
        <v>0.01</v>
      </c>
    </row>
    <row r="21" spans="1:4" x14ac:dyDescent="0.25">
      <c r="C21" t="str">
        <f>(TD_rates!C4)</f>
        <v>1,000 to $4,999.99</v>
      </c>
      <c r="D21">
        <f>(TD_rates!B4)</f>
        <v>0.01</v>
      </c>
    </row>
    <row r="22" spans="1:4" x14ac:dyDescent="0.25">
      <c r="C22" t="str">
        <f>(TD_rates!C5)</f>
        <v>5,000 to $9,999.99</v>
      </c>
      <c r="D22">
        <f>(TD_rates!B5)</f>
        <v>0.01</v>
      </c>
    </row>
    <row r="23" spans="1:4" x14ac:dyDescent="0.25">
      <c r="C23" t="str">
        <f>(TD_rates!C6)</f>
        <v>10,000 to $24,999.99</v>
      </c>
      <c r="D23">
        <f>(TD_rates!B6)</f>
        <v>0.01</v>
      </c>
    </row>
    <row r="24" spans="1:4" x14ac:dyDescent="0.25">
      <c r="C24" t="str">
        <f>(TD_rates!C7)</f>
        <v>25,000 to $59,999.99</v>
      </c>
      <c r="D24">
        <f>(TD_rates!B7)</f>
        <v>0.01</v>
      </c>
    </row>
    <row r="25" spans="1:4" x14ac:dyDescent="0.25">
      <c r="C25" t="str">
        <f>(TD_rates!C8)</f>
        <v>60,000 and over</v>
      </c>
      <c r="D25">
        <f>(TD_rates!B8)</f>
        <v>0.01</v>
      </c>
    </row>
    <row r="26" spans="1:4" x14ac:dyDescent="0.25">
      <c r="B26" t="str">
        <f>(TD_rates!A9)</f>
        <v>DAILY INTEREST SAVINGS ACCOUNT RSP/LIRA/RLSP/LRRSP</v>
      </c>
      <c r="C26" t="str">
        <f>(TD_rates!C10)</f>
        <v>0 to $4,999.99</v>
      </c>
      <c r="D26">
        <f>(TD_rates!B10)</f>
        <v>5.0000000000000001E-4</v>
      </c>
    </row>
    <row r="27" spans="1:4" x14ac:dyDescent="0.25">
      <c r="C27" t="str">
        <f>(TD_rates!C11)</f>
        <v>5,000 to $24,999.99</v>
      </c>
      <c r="D27">
        <f>(TD_rates!B11)</f>
        <v>5.0000000000000001E-4</v>
      </c>
    </row>
    <row r="28" spans="1:4" x14ac:dyDescent="0.25">
      <c r="C28" t="str">
        <f>(TD_rates!C12)</f>
        <v>25,000 to $59,999.99</v>
      </c>
      <c r="D28">
        <f>(TD_rates!B12)</f>
        <v>1.5E-3</v>
      </c>
    </row>
    <row r="29" spans="1:4" x14ac:dyDescent="0.25">
      <c r="C29" t="str">
        <f>(TD_rates!C13)</f>
        <v>60,000 and over</v>
      </c>
      <c r="D29">
        <f>(TD_rates!B13)</f>
        <v>2E-3</v>
      </c>
    </row>
    <row r="30" spans="1:4" x14ac:dyDescent="0.25">
      <c r="B30" t="str">
        <f>(TD_rates!A14)</f>
        <v>DAILY INTEREST SAVINGS ACCOUNT RIF/RESP/LIF/RLIF/LRIF/PRIF</v>
      </c>
      <c r="C30" t="str">
        <f>(TD_rates!C15)</f>
        <v>0 to $4,999.99</v>
      </c>
      <c r="D30">
        <f>(TD_rates!B15)</f>
        <v>5.0000000000000001E-4</v>
      </c>
    </row>
    <row r="31" spans="1:4" x14ac:dyDescent="0.25">
      <c r="C31" t="str">
        <f>(TD_rates!C16)</f>
        <v>5,000 to $24,999.99</v>
      </c>
      <c r="D31">
        <f>(TD_rates!B16)</f>
        <v>5.0000000000000001E-4</v>
      </c>
    </row>
    <row r="32" spans="1:4" x14ac:dyDescent="0.25">
      <c r="C32" t="str">
        <f>(TD_rates!C17)</f>
        <v>25,000 to $59,999.99</v>
      </c>
      <c r="D32">
        <f>(TD_rates!B17)</f>
        <v>1.5E-3</v>
      </c>
    </row>
    <row r="33" spans="1:4" x14ac:dyDescent="0.25">
      <c r="C33" t="str">
        <f>(TD_rates!C18)</f>
        <v>60,000 and over</v>
      </c>
      <c r="D33">
        <f>(TD_rates!B18)</f>
        <v>2E-3</v>
      </c>
    </row>
    <row r="35" spans="1:4" x14ac:dyDescent="0.25">
      <c r="A35" t="s">
        <v>122</v>
      </c>
      <c r="B35" t="s">
        <v>41</v>
      </c>
      <c r="C35" t="str">
        <f>(CT_rates!B2)</f>
        <v>High Interest Savings</v>
      </c>
      <c r="D35">
        <f>(CT_rates!A2)</f>
        <v>1.4999999999999999E-2</v>
      </c>
    </row>
    <row r="36" spans="1:4" x14ac:dyDescent="0.25">
      <c r="B36" t="s">
        <v>123</v>
      </c>
      <c r="C36" t="str">
        <f>(CT_rates!B3)</f>
        <v>1 Year</v>
      </c>
      <c r="D36">
        <f>(CT_rates!A3)</f>
        <v>1.7500000000000002E-2</v>
      </c>
    </row>
    <row r="37" spans="1:4" x14ac:dyDescent="0.25">
      <c r="C37" t="str">
        <f>(CT_rates!B4)</f>
        <v>2 Year</v>
      </c>
      <c r="D37">
        <f>(CT_rates!A4)</f>
        <v>1.9E-2</v>
      </c>
    </row>
    <row r="38" spans="1:4" x14ac:dyDescent="0.25">
      <c r="B38" t="s">
        <v>124</v>
      </c>
      <c r="C38" t="str">
        <f>(CT_rates!B5)</f>
        <v>Tax Free High Interest Savings*</v>
      </c>
      <c r="D38">
        <f>(CT_rates!A5)</f>
        <v>1.7999999999999999E-2</v>
      </c>
    </row>
    <row r="39" spans="1:4" x14ac:dyDescent="0.25">
      <c r="C39" t="str">
        <f>(CT_rates!B6)</f>
        <v>1 Year Tax Free GIC**</v>
      </c>
      <c r="D39">
        <f>(CT_rates!A6)</f>
        <v>1.7500000000000002E-2</v>
      </c>
    </row>
    <row r="40" spans="1:4" x14ac:dyDescent="0.25">
      <c r="C40" t="str">
        <f>(CT_rates!B7)</f>
        <v>2 Year Tax Free GIC**</v>
      </c>
      <c r="D40">
        <f>(CT_rates!A7)</f>
        <v>1.9E-2</v>
      </c>
    </row>
    <row r="41" spans="1:4" x14ac:dyDescent="0.25">
      <c r="C41" t="str">
        <f>(CT_rates!B8)</f>
        <v>3 Year Tax Free GIC**</v>
      </c>
      <c r="D41">
        <f>(CT_rates!A8)</f>
        <v>1.95E-2</v>
      </c>
    </row>
    <row r="42" spans="1:4" x14ac:dyDescent="0.25">
      <c r="C42" t="str">
        <f>(CT_rates!B9)</f>
        <v>4 Year Tax Free GIC**</v>
      </c>
      <c r="D42">
        <f>(CT_rates!A9)</f>
        <v>2.1499999999999998E-2</v>
      </c>
    </row>
    <row r="43" spans="1:4" x14ac:dyDescent="0.25">
      <c r="C43" t="str">
        <f>(CT_rates!B10)</f>
        <v>5 Year Tax Free GIC**</v>
      </c>
      <c r="D43">
        <f>(CT_rates!A10)</f>
        <v>2.9499999999999998E-2</v>
      </c>
    </row>
    <row r="45" spans="1:4" x14ac:dyDescent="0.25">
      <c r="A45" t="s">
        <v>9</v>
      </c>
      <c r="B45" t="str">
        <f>(Simplii_rates!A2)</f>
        <v>No Fee Chequing Account</v>
      </c>
      <c r="C45" t="str">
        <f>(Simplii_rates!B3)</f>
        <v>$0.00 - $1,000.00</v>
      </c>
      <c r="D45">
        <f>(Simplii_rates!C3)/100</f>
        <v>5.0000000000000001E-4</v>
      </c>
    </row>
    <row r="46" spans="1:4" x14ac:dyDescent="0.25">
      <c r="C46" t="str">
        <f>(Simplii_rates!B4)</f>
        <v>$1,000.01 - $5,000.00</v>
      </c>
      <c r="D46">
        <f>(Simplii_rates!C4)/100</f>
        <v>1E-3</v>
      </c>
    </row>
    <row r="47" spans="1:4" x14ac:dyDescent="0.25">
      <c r="C47" t="str">
        <f>(Simplii_rates!B5)</f>
        <v>$5,000.01 - $10,000.00</v>
      </c>
      <c r="D47">
        <f>(Simplii_rates!C5)/100</f>
        <v>1.5E-3</v>
      </c>
    </row>
    <row r="48" spans="1:4" x14ac:dyDescent="0.25">
      <c r="C48" t="str">
        <f>(Simplii_rates!B6)</f>
        <v>$10,000.01 - $25,000.00</v>
      </c>
      <c r="D48">
        <f>(Simplii_rates!C6)/100</f>
        <v>1.5E-3</v>
      </c>
    </row>
    <row r="49" spans="2:4" x14ac:dyDescent="0.25">
      <c r="C49" t="str">
        <f>(Simplii_rates!B7)</f>
        <v>$25,000.01 and up</v>
      </c>
      <c r="D49">
        <f>(Simplii_rates!C7)/100</f>
        <v>5.0000000000000001E-3</v>
      </c>
    </row>
    <row r="50" spans="2:4" x14ac:dyDescent="0.25">
      <c r="B50" t="str">
        <f>(Simplii_rates!A8)</f>
        <v>Overdraft</v>
      </c>
      <c r="C50" t="str">
        <f>(Simplii_rates!B9)</f>
        <v>On all overdraft balances</v>
      </c>
      <c r="D50">
        <f>(Simplii_rates!C9)/100</f>
        <v>0.19</v>
      </c>
    </row>
    <row r="51" spans="2:4" x14ac:dyDescent="0.25">
      <c r="B51" t="str">
        <f>(Simplii_rates!A10)</f>
        <v>High Interest Savings Account</v>
      </c>
      <c r="C51" t="str">
        <f>(Simplii_rates!B11)</f>
        <v>$0.00 and up</v>
      </c>
      <c r="D51">
        <f>(Simplii_rates!C11)/100</f>
        <v>1.1000000000000001E-2</v>
      </c>
    </row>
    <row r="52" spans="2:4" x14ac:dyDescent="0.25">
      <c r="B52" t="str">
        <f>(Simplii_rates!A41)</f>
        <v>GIC/RGIC</v>
      </c>
      <c r="C52" t="str">
        <f>(Simplii_rates!B42)</f>
        <v>1 year</v>
      </c>
      <c r="D52">
        <f>(Simplii_rates!C42)/100</f>
        <v>2.4719999999999999E-2</v>
      </c>
    </row>
    <row r="53" spans="2:4" x14ac:dyDescent="0.25">
      <c r="C53" t="str">
        <f>(Simplii_rates!B43)</f>
        <v>2 year</v>
      </c>
      <c r="D53">
        <f>(Simplii_rates!C43)/100</f>
        <v>2.1789999999999997E-2</v>
      </c>
    </row>
    <row r="54" spans="2:4" x14ac:dyDescent="0.25">
      <c r="C54" t="str">
        <f>(Simplii_rates!B44)</f>
        <v>3 year</v>
      </c>
      <c r="D54">
        <f>(Simplii_rates!C44)/100</f>
        <v>2.4719999999999999E-2</v>
      </c>
    </row>
    <row r="55" spans="2:4" x14ac:dyDescent="0.25">
      <c r="C55" t="str">
        <f>(Simplii_rates!B45)</f>
        <v>4 year</v>
      </c>
      <c r="D55">
        <f>(Simplii_rates!C45)/100</f>
        <v>2.5699999999999997E-2</v>
      </c>
    </row>
    <row r="56" spans="2:4" x14ac:dyDescent="0.25">
      <c r="C56" t="str">
        <f>(Simplii_rates!B46)</f>
        <v>5 year</v>
      </c>
      <c r="D56">
        <f>(Simplii_rates!C46)/100</f>
        <v>2.7160000000000004E-2</v>
      </c>
    </row>
    <row r="57" spans="2:4" x14ac:dyDescent="0.25">
      <c r="B57" t="str">
        <f>(Simplii_rates!A47)</f>
        <v>RRSP Savings Account</v>
      </c>
      <c r="C57" t="str">
        <f>(Simplii_rates!B48)</f>
        <v>$0.00 and up</v>
      </c>
      <c r="D57">
        <f>(Simplii_rates!C48)/100</f>
        <v>1.1000000000000001E-2</v>
      </c>
    </row>
    <row r="58" spans="2:4" x14ac:dyDescent="0.25">
      <c r="B58" t="str">
        <f>(Simplii_rates!A49)</f>
        <v>Tax-Free Savings Account</v>
      </c>
      <c r="C58" t="str">
        <f>(Simplii_rates!B50)</f>
        <v>$0.00 and up</v>
      </c>
      <c r="D58">
        <f>(Simplii_rates!C50)/100</f>
        <v>1.1000000000000001E-2</v>
      </c>
    </row>
    <row r="59" spans="2:4" x14ac:dyDescent="0.25">
      <c r="B59" t="str">
        <f>(Simplii_rates!A57)</f>
        <v>Prime Rate</v>
      </c>
      <c r="C59" t="str">
        <f>(Simplii_rates!B58)</f>
        <v>July 12, 2018</v>
      </c>
      <c r="D59">
        <f>(Simplii_rates!C58)/100</f>
        <v>3.7000000000000005E-2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8"/>
  <sheetViews>
    <sheetView workbookViewId="0">
      <selection activeCell="C28" sqref="C28"/>
    </sheetView>
  </sheetViews>
  <sheetFormatPr defaultRowHeight="15" x14ac:dyDescent="0.25"/>
  <cols>
    <col min="1" max="1" width="58.85546875" bestFit="1" customWidth="1"/>
    <col min="2" max="2" width="11.140625" bestFit="1" customWidth="1"/>
    <col min="3" max="3" width="18.7109375" bestFit="1" customWidth="1"/>
  </cols>
  <sheetData>
    <row r="1" spans="1:3" x14ac:dyDescent="0.25">
      <c r="A1" t="s">
        <v>125</v>
      </c>
      <c r="B1" t="s">
        <v>126</v>
      </c>
      <c r="C1" t="s">
        <v>127</v>
      </c>
    </row>
    <row r="2" spans="1:3" x14ac:dyDescent="0.25">
      <c r="A2" t="s">
        <v>128</v>
      </c>
      <c r="B2">
        <v>0.01</v>
      </c>
      <c r="C2">
        <v>0.01</v>
      </c>
    </row>
    <row r="3" spans="1:3" x14ac:dyDescent="0.25">
      <c r="B3">
        <v>0.01</v>
      </c>
      <c r="C3" t="s">
        <v>129</v>
      </c>
    </row>
    <row r="4" spans="1:3" x14ac:dyDescent="0.25">
      <c r="B4">
        <v>0.01</v>
      </c>
      <c r="C4" t="s">
        <v>130</v>
      </c>
    </row>
    <row r="5" spans="1:3" x14ac:dyDescent="0.25">
      <c r="B5">
        <v>0.01</v>
      </c>
      <c r="C5" t="s">
        <v>131</v>
      </c>
    </row>
    <row r="6" spans="1:3" x14ac:dyDescent="0.25">
      <c r="B6">
        <v>0.01</v>
      </c>
      <c r="C6" t="s">
        <v>132</v>
      </c>
    </row>
    <row r="7" spans="1:3" x14ac:dyDescent="0.25">
      <c r="B7">
        <v>0.01</v>
      </c>
      <c r="C7" t="s">
        <v>133</v>
      </c>
    </row>
    <row r="8" spans="1:3" x14ac:dyDescent="0.25">
      <c r="B8">
        <v>0.01</v>
      </c>
      <c r="C8" t="s">
        <v>134</v>
      </c>
    </row>
    <row r="9" spans="1:3" x14ac:dyDescent="0.25">
      <c r="A9" t="s">
        <v>135</v>
      </c>
      <c r="B9">
        <v>5.0000000000000001E-4</v>
      </c>
      <c r="C9">
        <v>5.0000000000000001E-4</v>
      </c>
    </row>
    <row r="10" spans="1:3" x14ac:dyDescent="0.25">
      <c r="B10">
        <v>5.0000000000000001E-4</v>
      </c>
      <c r="C10" t="s">
        <v>136</v>
      </c>
    </row>
    <row r="11" spans="1:3" x14ac:dyDescent="0.25">
      <c r="B11">
        <v>5.0000000000000001E-4</v>
      </c>
      <c r="C11" t="s">
        <v>137</v>
      </c>
    </row>
    <row r="12" spans="1:3" x14ac:dyDescent="0.25">
      <c r="B12">
        <v>1.5E-3</v>
      </c>
      <c r="C12" t="s">
        <v>133</v>
      </c>
    </row>
    <row r="13" spans="1:3" x14ac:dyDescent="0.25">
      <c r="B13">
        <v>2E-3</v>
      </c>
      <c r="C13" t="s">
        <v>134</v>
      </c>
    </row>
    <row r="14" spans="1:3" x14ac:dyDescent="0.25">
      <c r="A14" t="s">
        <v>138</v>
      </c>
      <c r="B14">
        <v>5.0000000000000001E-4</v>
      </c>
      <c r="C14">
        <v>5.0000000000000001E-4</v>
      </c>
    </row>
    <row r="15" spans="1:3" x14ac:dyDescent="0.25">
      <c r="B15">
        <v>5.0000000000000001E-4</v>
      </c>
      <c r="C15" t="s">
        <v>136</v>
      </c>
    </row>
    <row r="16" spans="1:3" x14ac:dyDescent="0.25">
      <c r="B16">
        <v>5.0000000000000001E-4</v>
      </c>
      <c r="C16" t="s">
        <v>137</v>
      </c>
    </row>
    <row r="17" spans="2:3" x14ac:dyDescent="0.25">
      <c r="B17">
        <v>1.5E-3</v>
      </c>
      <c r="C17" t="s">
        <v>133</v>
      </c>
    </row>
    <row r="18" spans="2:3" x14ac:dyDescent="0.25">
      <c r="B18">
        <v>2E-3</v>
      </c>
      <c r="C18" t="s">
        <v>134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1"/>
  <sheetViews>
    <sheetView workbookViewId="0">
      <selection activeCell="L15" sqref="L15"/>
    </sheetView>
  </sheetViews>
  <sheetFormatPr defaultRowHeight="15" x14ac:dyDescent="0.25"/>
  <cols>
    <col min="1" max="1" width="31.5703125" bestFit="1" customWidth="1"/>
    <col min="2" max="2" width="13.7109375" bestFit="1" customWidth="1"/>
    <col min="3" max="3" width="18.28515625" bestFit="1" customWidth="1"/>
    <col min="4" max="4" width="16.140625" bestFit="1" customWidth="1"/>
  </cols>
  <sheetData>
    <row r="1" spans="1:4" x14ac:dyDescent="0.25">
      <c r="B1" t="s">
        <v>139</v>
      </c>
      <c r="C1" t="s">
        <v>140</v>
      </c>
      <c r="D1" t="s">
        <v>141</v>
      </c>
    </row>
    <row r="2" spans="1:4" x14ac:dyDescent="0.25">
      <c r="A2" t="s">
        <v>116</v>
      </c>
      <c r="B2" t="s">
        <v>142</v>
      </c>
      <c r="D2" t="s">
        <v>143</v>
      </c>
    </row>
    <row r="3" spans="1:4" x14ac:dyDescent="0.25">
      <c r="C3" t="s">
        <v>144</v>
      </c>
      <c r="D3" t="s">
        <v>145</v>
      </c>
    </row>
    <row r="4" spans="1:4" x14ac:dyDescent="0.25">
      <c r="C4" t="s">
        <v>146</v>
      </c>
      <c r="D4" t="s">
        <v>147</v>
      </c>
    </row>
    <row r="5" spans="1:4" x14ac:dyDescent="0.25">
      <c r="C5" t="s">
        <v>148</v>
      </c>
      <c r="D5" t="s">
        <v>147</v>
      </c>
    </row>
    <row r="6" spans="1:4" x14ac:dyDescent="0.25">
      <c r="C6" t="s">
        <v>149</v>
      </c>
      <c r="D6" t="s">
        <v>150</v>
      </c>
    </row>
    <row r="7" spans="1:4" x14ac:dyDescent="0.25">
      <c r="C7" t="s">
        <v>151</v>
      </c>
      <c r="D7" t="s">
        <v>152</v>
      </c>
    </row>
    <row r="8" spans="1:4" x14ac:dyDescent="0.25">
      <c r="C8" t="s">
        <v>153</v>
      </c>
      <c r="D8" t="s">
        <v>154</v>
      </c>
    </row>
    <row r="9" spans="1:4" x14ac:dyDescent="0.25">
      <c r="C9" t="s">
        <v>155</v>
      </c>
      <c r="D9" t="s">
        <v>156</v>
      </c>
    </row>
    <row r="10" spans="1:4" x14ac:dyDescent="0.25">
      <c r="C10" t="s">
        <v>157</v>
      </c>
      <c r="D10" t="s">
        <v>158</v>
      </c>
    </row>
    <row r="11" spans="1:4" x14ac:dyDescent="0.25">
      <c r="C11" t="s">
        <v>159</v>
      </c>
      <c r="D11" t="s">
        <v>160</v>
      </c>
    </row>
    <row r="12" spans="1:4" x14ac:dyDescent="0.25">
      <c r="C12" t="s">
        <v>144</v>
      </c>
      <c r="D12" t="s">
        <v>145</v>
      </c>
    </row>
    <row r="13" spans="1:4" x14ac:dyDescent="0.25">
      <c r="A13" t="s">
        <v>119</v>
      </c>
      <c r="C13" t="s">
        <v>161</v>
      </c>
      <c r="D13" t="s">
        <v>150</v>
      </c>
    </row>
    <row r="14" spans="1:4" x14ac:dyDescent="0.25">
      <c r="C14" t="s">
        <v>162</v>
      </c>
      <c r="D14" t="s">
        <v>163</v>
      </c>
    </row>
    <row r="15" spans="1:4" x14ac:dyDescent="0.25">
      <c r="C15" t="s">
        <v>164</v>
      </c>
      <c r="D15" t="s">
        <v>154</v>
      </c>
    </row>
    <row r="16" spans="1:4" x14ac:dyDescent="0.25">
      <c r="A16" t="s">
        <v>120</v>
      </c>
      <c r="C16" t="s">
        <v>165</v>
      </c>
      <c r="D16" t="s">
        <v>156</v>
      </c>
    </row>
    <row r="17" spans="1:4" x14ac:dyDescent="0.25">
      <c r="B17" t="s">
        <v>142</v>
      </c>
      <c r="D17" t="s">
        <v>166</v>
      </c>
    </row>
    <row r="18" spans="1:4" x14ac:dyDescent="0.25">
      <c r="C18" t="s">
        <v>144</v>
      </c>
      <c r="D18" t="s">
        <v>145</v>
      </c>
    </row>
    <row r="19" spans="1:4" x14ac:dyDescent="0.25">
      <c r="C19" t="s">
        <v>161</v>
      </c>
      <c r="D19" t="s">
        <v>167</v>
      </c>
    </row>
    <row r="20" spans="1:4" x14ac:dyDescent="0.25">
      <c r="C20" t="s">
        <v>162</v>
      </c>
      <c r="D20" t="s">
        <v>167</v>
      </c>
    </row>
    <row r="21" spans="1:4" x14ac:dyDescent="0.25">
      <c r="C21" t="s">
        <v>164</v>
      </c>
      <c r="D21" t="s">
        <v>154</v>
      </c>
    </row>
    <row r="22" spans="1:4" x14ac:dyDescent="0.25">
      <c r="C22" t="s">
        <v>165</v>
      </c>
      <c r="D22" t="s">
        <v>154</v>
      </c>
    </row>
    <row r="26" spans="1:4" x14ac:dyDescent="0.25">
      <c r="A26" t="s">
        <v>488</v>
      </c>
      <c r="B26" t="s">
        <v>144</v>
      </c>
      <c r="C26" t="s">
        <v>145</v>
      </c>
    </row>
    <row r="27" spans="1:4" x14ac:dyDescent="0.25">
      <c r="B27" s="85" t="s">
        <v>142</v>
      </c>
      <c r="C27">
        <v>0.25</v>
      </c>
    </row>
    <row r="30" spans="1:4" x14ac:dyDescent="0.25">
      <c r="A30" t="s">
        <v>490</v>
      </c>
      <c r="B30" t="s">
        <v>144</v>
      </c>
      <c r="C30" t="s">
        <v>145</v>
      </c>
    </row>
    <row r="31" spans="1:4" x14ac:dyDescent="0.25">
      <c r="B31" s="85" t="s">
        <v>489</v>
      </c>
      <c r="C31">
        <v>0</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heetViews>
  <sheetFormatPr defaultRowHeight="15" x14ac:dyDescent="0.25"/>
  <cols>
    <col min="1" max="1" width="20.28515625" bestFit="1" customWidth="1"/>
    <col min="2" max="2" width="16" bestFit="1" customWidth="1"/>
  </cols>
  <sheetData>
    <row r="1" spans="1:2" x14ac:dyDescent="0.25">
      <c r="A1" t="s">
        <v>125</v>
      </c>
      <c r="B1" t="s">
        <v>126</v>
      </c>
    </row>
    <row r="2" spans="1:2" x14ac:dyDescent="0.25">
      <c r="A2" t="s">
        <v>144</v>
      </c>
      <c r="B2" t="s">
        <v>145</v>
      </c>
    </row>
    <row r="3" spans="1:2" x14ac:dyDescent="0.25">
      <c r="A3" t="s">
        <v>161</v>
      </c>
      <c r="B3" t="s">
        <v>167</v>
      </c>
    </row>
    <row r="4" spans="1:2" x14ac:dyDescent="0.25">
      <c r="A4" t="s">
        <v>162</v>
      </c>
      <c r="B4" t="s">
        <v>167</v>
      </c>
    </row>
    <row r="5" spans="1:2" x14ac:dyDescent="0.25">
      <c r="A5" t="s">
        <v>164</v>
      </c>
      <c r="B5" t="s">
        <v>154</v>
      </c>
    </row>
    <row r="6" spans="1:2" x14ac:dyDescent="0.25">
      <c r="A6" t="s">
        <v>165</v>
      </c>
      <c r="B6" t="s">
        <v>154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144</v>
      </c>
      <c r="B1" t="s">
        <v>145</v>
      </c>
    </row>
    <row r="2" spans="1:2" x14ac:dyDescent="0.25">
      <c r="A2" t="s">
        <v>142</v>
      </c>
      <c r="B2">
        <v>0.15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125</v>
      </c>
      <c r="B1" t="s">
        <v>126</v>
      </c>
    </row>
    <row r="2" spans="1:2" x14ac:dyDescent="0.25">
      <c r="A2" t="s">
        <v>144</v>
      </c>
      <c r="B2" t="s">
        <v>145</v>
      </c>
    </row>
    <row r="3" spans="1:2" x14ac:dyDescent="0.25">
      <c r="A3" t="s">
        <v>161</v>
      </c>
      <c r="B3" t="s">
        <v>150</v>
      </c>
    </row>
    <row r="4" spans="1:2" x14ac:dyDescent="0.25">
      <c r="A4" t="s">
        <v>162</v>
      </c>
      <c r="B4" t="s">
        <v>163</v>
      </c>
    </row>
    <row r="5" spans="1:2" x14ac:dyDescent="0.25">
      <c r="A5" t="s">
        <v>164</v>
      </c>
      <c r="B5" t="s">
        <v>154</v>
      </c>
    </row>
    <row r="6" spans="1:2" x14ac:dyDescent="0.25">
      <c r="A6" t="s">
        <v>165</v>
      </c>
      <c r="B6" t="s">
        <v>156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125</v>
      </c>
      <c r="B1" t="s">
        <v>126</v>
      </c>
    </row>
    <row r="2" spans="1:2" x14ac:dyDescent="0.25">
      <c r="A2" t="s">
        <v>144</v>
      </c>
      <c r="B2" t="s">
        <v>145</v>
      </c>
    </row>
    <row r="3" spans="1:2" x14ac:dyDescent="0.25">
      <c r="A3" t="s">
        <v>146</v>
      </c>
      <c r="B3" t="s">
        <v>147</v>
      </c>
    </row>
    <row r="4" spans="1:2" x14ac:dyDescent="0.25">
      <c r="A4" t="s">
        <v>148</v>
      </c>
      <c r="B4" t="s">
        <v>147</v>
      </c>
    </row>
    <row r="5" spans="1:2" x14ac:dyDescent="0.25">
      <c r="A5" t="s">
        <v>149</v>
      </c>
      <c r="B5" t="s">
        <v>150</v>
      </c>
    </row>
    <row r="6" spans="1:2" x14ac:dyDescent="0.25">
      <c r="A6" t="s">
        <v>151</v>
      </c>
      <c r="B6" t="s">
        <v>152</v>
      </c>
    </row>
    <row r="7" spans="1:2" x14ac:dyDescent="0.25">
      <c r="A7" t="s">
        <v>153</v>
      </c>
      <c r="B7" t="s">
        <v>154</v>
      </c>
    </row>
    <row r="8" spans="1:2" x14ac:dyDescent="0.25">
      <c r="A8" t="s">
        <v>155</v>
      </c>
      <c r="B8" t="s">
        <v>156</v>
      </c>
    </row>
    <row r="9" spans="1:2" x14ac:dyDescent="0.25">
      <c r="A9" t="s">
        <v>157</v>
      </c>
      <c r="B9" t="s">
        <v>158</v>
      </c>
    </row>
    <row r="10" spans="1:2" x14ac:dyDescent="0.25">
      <c r="A10" t="s">
        <v>159</v>
      </c>
      <c r="B10" t="s">
        <v>160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144</v>
      </c>
      <c r="B1" t="s">
        <v>145</v>
      </c>
    </row>
    <row r="2" spans="1:2" x14ac:dyDescent="0.25">
      <c r="A2" t="s">
        <v>142</v>
      </c>
      <c r="B2">
        <v>1.05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11"/>
  <sheetViews>
    <sheetView workbookViewId="0">
      <selection activeCell="N17" sqref="N17"/>
    </sheetView>
  </sheetViews>
  <sheetFormatPr defaultRowHeight="15" x14ac:dyDescent="0.25"/>
  <cols>
    <col min="1" max="1" width="14.85546875" bestFit="1" customWidth="1"/>
    <col min="2" max="2" width="28.85546875" bestFit="1" customWidth="1"/>
  </cols>
  <sheetData>
    <row r="1" spans="1:2" x14ac:dyDescent="0.25">
      <c r="A1" t="s">
        <v>168</v>
      </c>
      <c r="B1" t="s">
        <v>169</v>
      </c>
    </row>
    <row r="2" spans="1:2" x14ac:dyDescent="0.25">
      <c r="A2">
        <v>1.4999999999999999E-2</v>
      </c>
      <c r="B2" t="s">
        <v>41</v>
      </c>
    </row>
    <row r="3" spans="1:2" x14ac:dyDescent="0.25">
      <c r="A3">
        <v>1.7500000000000002E-2</v>
      </c>
      <c r="B3" t="s">
        <v>170</v>
      </c>
    </row>
    <row r="4" spans="1:2" x14ac:dyDescent="0.25">
      <c r="A4">
        <v>1.9E-2</v>
      </c>
      <c r="B4" t="s">
        <v>171</v>
      </c>
    </row>
    <row r="5" spans="1:2" x14ac:dyDescent="0.25">
      <c r="A5">
        <v>1.7999999999999999E-2</v>
      </c>
      <c r="B5" t="s">
        <v>172</v>
      </c>
    </row>
    <row r="6" spans="1:2" x14ac:dyDescent="0.25">
      <c r="A6">
        <v>1.7500000000000002E-2</v>
      </c>
      <c r="B6" t="s">
        <v>173</v>
      </c>
    </row>
    <row r="7" spans="1:2" x14ac:dyDescent="0.25">
      <c r="A7">
        <v>1.9E-2</v>
      </c>
      <c r="B7" t="s">
        <v>174</v>
      </c>
    </row>
    <row r="8" spans="1:2" x14ac:dyDescent="0.25">
      <c r="A8">
        <v>1.95E-2</v>
      </c>
      <c r="B8" t="s">
        <v>175</v>
      </c>
    </row>
    <row r="9" spans="1:2" x14ac:dyDescent="0.25">
      <c r="A9">
        <v>2.1499999999999998E-2</v>
      </c>
      <c r="B9" t="s">
        <v>176</v>
      </c>
    </row>
    <row r="10" spans="1:2" x14ac:dyDescent="0.25">
      <c r="A10">
        <v>2.9499999999999998E-2</v>
      </c>
      <c r="B10" t="s">
        <v>177</v>
      </c>
    </row>
    <row r="11" spans="1:2" x14ac:dyDescent="0.25">
      <c r="B11" t="s">
        <v>178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8"/>
  <sheetViews>
    <sheetView workbookViewId="0">
      <selection activeCell="A57" sqref="A57"/>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179</v>
      </c>
      <c r="B1" t="s">
        <v>180</v>
      </c>
      <c r="C1" t="s">
        <v>181</v>
      </c>
    </row>
    <row r="2" spans="1:3" x14ac:dyDescent="0.25">
      <c r="A2" t="s">
        <v>182</v>
      </c>
      <c r="B2" t="s">
        <v>183</v>
      </c>
      <c r="C2" t="s">
        <v>184</v>
      </c>
    </row>
    <row r="3" spans="1:3" x14ac:dyDescent="0.25">
      <c r="B3" t="s">
        <v>185</v>
      </c>
      <c r="C3" t="s">
        <v>186</v>
      </c>
    </row>
    <row r="4" spans="1:3" x14ac:dyDescent="0.25">
      <c r="B4" t="s">
        <v>187</v>
      </c>
      <c r="C4" t="s">
        <v>188</v>
      </c>
    </row>
    <row r="5" spans="1:3" x14ac:dyDescent="0.25">
      <c r="B5" t="s">
        <v>189</v>
      </c>
      <c r="C5" t="s">
        <v>166</v>
      </c>
    </row>
    <row r="6" spans="1:3" x14ac:dyDescent="0.25">
      <c r="B6" t="s">
        <v>190</v>
      </c>
      <c r="C6" t="s">
        <v>166</v>
      </c>
    </row>
    <row r="7" spans="1:3" x14ac:dyDescent="0.25">
      <c r="B7" t="s">
        <v>191</v>
      </c>
      <c r="C7" t="s">
        <v>192</v>
      </c>
    </row>
    <row r="8" spans="1:3" x14ac:dyDescent="0.25">
      <c r="A8" t="s">
        <v>193</v>
      </c>
      <c r="B8" t="s">
        <v>194</v>
      </c>
      <c r="C8" t="s">
        <v>184</v>
      </c>
    </row>
    <row r="9" spans="1:3" x14ac:dyDescent="0.25">
      <c r="B9" t="s">
        <v>195</v>
      </c>
      <c r="C9" t="s">
        <v>196</v>
      </c>
    </row>
    <row r="10" spans="1:3" x14ac:dyDescent="0.25">
      <c r="A10" t="s">
        <v>24</v>
      </c>
      <c r="B10" t="s">
        <v>194</v>
      </c>
      <c r="C10" t="s">
        <v>184</v>
      </c>
    </row>
    <row r="11" spans="1:3" x14ac:dyDescent="0.25">
      <c r="B11" t="s">
        <v>197</v>
      </c>
      <c r="C11" t="s">
        <v>198</v>
      </c>
    </row>
    <row r="12" spans="1:3" x14ac:dyDescent="0.25">
      <c r="A12" t="s">
        <v>199</v>
      </c>
      <c r="B12" t="s">
        <v>200</v>
      </c>
      <c r="C12" t="s">
        <v>201</v>
      </c>
    </row>
    <row r="13" spans="1:3" x14ac:dyDescent="0.25">
      <c r="B13" t="s">
        <v>202</v>
      </c>
      <c r="C13" t="s">
        <v>203</v>
      </c>
    </row>
    <row r="14" spans="1:3" x14ac:dyDescent="0.25">
      <c r="A14" t="s">
        <v>204</v>
      </c>
      <c r="B14" t="s">
        <v>200</v>
      </c>
      <c r="C14" t="s">
        <v>205</v>
      </c>
    </row>
    <row r="15" spans="1:3" x14ac:dyDescent="0.25">
      <c r="B15" t="s">
        <v>178</v>
      </c>
      <c r="C15" t="s">
        <v>206</v>
      </c>
    </row>
    <row r="16" spans="1:3" x14ac:dyDescent="0.25">
      <c r="B16" t="s">
        <v>207</v>
      </c>
      <c r="C16" t="s">
        <v>208</v>
      </c>
    </row>
    <row r="17" spans="1:3" x14ac:dyDescent="0.25">
      <c r="B17" t="s">
        <v>209</v>
      </c>
      <c r="C17" t="s">
        <v>210</v>
      </c>
    </row>
    <row r="18" spans="1:3" x14ac:dyDescent="0.25">
      <c r="B18" t="s">
        <v>211</v>
      </c>
      <c r="C18" t="s">
        <v>212</v>
      </c>
    </row>
    <row r="19" spans="1:3" x14ac:dyDescent="0.25">
      <c r="B19" t="s">
        <v>202</v>
      </c>
      <c r="C19" t="s">
        <v>213</v>
      </c>
    </row>
    <row r="20" spans="1:3" x14ac:dyDescent="0.25">
      <c r="B20" t="s">
        <v>214</v>
      </c>
      <c r="C20" t="s">
        <v>215</v>
      </c>
    </row>
    <row r="21" spans="1:3" x14ac:dyDescent="0.25">
      <c r="B21" t="s">
        <v>216</v>
      </c>
      <c r="C21" t="s">
        <v>217</v>
      </c>
    </row>
    <row r="22" spans="1:3" x14ac:dyDescent="0.25">
      <c r="A22" t="s">
        <v>218</v>
      </c>
      <c r="B22" t="s">
        <v>200</v>
      </c>
      <c r="C22" t="s">
        <v>219</v>
      </c>
    </row>
    <row r="23" spans="1:3" x14ac:dyDescent="0.25">
      <c r="B23" t="s">
        <v>202</v>
      </c>
      <c r="C23" t="s">
        <v>220</v>
      </c>
    </row>
    <row r="24" spans="1:3" x14ac:dyDescent="0.25">
      <c r="B24" t="s">
        <v>202</v>
      </c>
      <c r="C24" t="s">
        <v>221</v>
      </c>
    </row>
    <row r="25" spans="1:3" x14ac:dyDescent="0.25">
      <c r="B25" t="s">
        <v>202</v>
      </c>
      <c r="C25" t="s">
        <v>222</v>
      </c>
    </row>
    <row r="26" spans="1:3" x14ac:dyDescent="0.25">
      <c r="B26" t="s">
        <v>202</v>
      </c>
      <c r="C26" t="s">
        <v>223</v>
      </c>
    </row>
    <row r="27" spans="1:3" x14ac:dyDescent="0.25">
      <c r="B27" t="s">
        <v>214</v>
      </c>
      <c r="C27" t="s">
        <v>224</v>
      </c>
    </row>
    <row r="28" spans="1:3" x14ac:dyDescent="0.25">
      <c r="B28" t="s">
        <v>214</v>
      </c>
      <c r="C28" t="s">
        <v>223</v>
      </c>
    </row>
    <row r="29" spans="1:3" x14ac:dyDescent="0.25">
      <c r="B29" t="s">
        <v>216</v>
      </c>
      <c r="C29" t="s">
        <v>223</v>
      </c>
    </row>
    <row r="30" spans="1:3" x14ac:dyDescent="0.25">
      <c r="A30" t="s">
        <v>225</v>
      </c>
      <c r="B30" t="s">
        <v>200</v>
      </c>
      <c r="C30" t="s">
        <v>226</v>
      </c>
    </row>
    <row r="31" spans="1:3" x14ac:dyDescent="0.25">
      <c r="B31" t="s">
        <v>227</v>
      </c>
      <c r="C31" t="s">
        <v>228</v>
      </c>
    </row>
    <row r="32" spans="1:3" x14ac:dyDescent="0.25">
      <c r="B32" t="s">
        <v>229</v>
      </c>
      <c r="C32" t="s">
        <v>230</v>
      </c>
    </row>
    <row r="33" spans="1:3" x14ac:dyDescent="0.25">
      <c r="A33" t="s">
        <v>231</v>
      </c>
      <c r="B33" t="s">
        <v>200</v>
      </c>
      <c r="C33" t="s">
        <v>226</v>
      </c>
    </row>
    <row r="34" spans="1:3" x14ac:dyDescent="0.25">
      <c r="B34" t="s">
        <v>178</v>
      </c>
      <c r="C34" t="s">
        <v>232</v>
      </c>
    </row>
    <row r="35" spans="1:3" x14ac:dyDescent="0.25">
      <c r="B35" t="s">
        <v>207</v>
      </c>
      <c r="C35" t="s">
        <v>233</v>
      </c>
    </row>
    <row r="36" spans="1:3" x14ac:dyDescent="0.25">
      <c r="B36" t="s">
        <v>209</v>
      </c>
      <c r="C36" t="s">
        <v>234</v>
      </c>
    </row>
    <row r="37" spans="1:3" x14ac:dyDescent="0.25">
      <c r="B37" t="s">
        <v>211</v>
      </c>
      <c r="C37" t="s">
        <v>235</v>
      </c>
    </row>
    <row r="38" spans="1:3" x14ac:dyDescent="0.25">
      <c r="B38" t="s">
        <v>202</v>
      </c>
      <c r="C38" t="s">
        <v>236</v>
      </c>
    </row>
    <row r="39" spans="1:3" x14ac:dyDescent="0.25">
      <c r="B39" t="s">
        <v>214</v>
      </c>
      <c r="C39" t="s">
        <v>237</v>
      </c>
    </row>
    <row r="40" spans="1:3" x14ac:dyDescent="0.25">
      <c r="B40" t="s">
        <v>216</v>
      </c>
      <c r="C40" t="s">
        <v>238</v>
      </c>
    </row>
    <row r="41" spans="1:3" x14ac:dyDescent="0.25">
      <c r="A41" t="s">
        <v>239</v>
      </c>
      <c r="B41" t="s">
        <v>240</v>
      </c>
      <c r="C41" t="s">
        <v>241</v>
      </c>
    </row>
    <row r="42" spans="1:3" x14ac:dyDescent="0.25">
      <c r="B42" t="s">
        <v>242</v>
      </c>
      <c r="C42" t="s">
        <v>243</v>
      </c>
    </row>
    <row r="43" spans="1:3" x14ac:dyDescent="0.25">
      <c r="B43" t="s">
        <v>207</v>
      </c>
      <c r="C43" t="s">
        <v>244</v>
      </c>
    </row>
    <row r="44" spans="1:3" x14ac:dyDescent="0.25">
      <c r="B44" t="s">
        <v>209</v>
      </c>
      <c r="C44" t="s">
        <v>243</v>
      </c>
    </row>
    <row r="45" spans="1:3" x14ac:dyDescent="0.25">
      <c r="B45" t="s">
        <v>211</v>
      </c>
      <c r="C45" t="s">
        <v>245</v>
      </c>
    </row>
    <row r="46" spans="1:3" x14ac:dyDescent="0.25">
      <c r="B46" t="s">
        <v>202</v>
      </c>
      <c r="C46" t="s">
        <v>246</v>
      </c>
    </row>
    <row r="47" spans="1:3" x14ac:dyDescent="0.25">
      <c r="A47" t="s">
        <v>247</v>
      </c>
      <c r="B47" t="s">
        <v>194</v>
      </c>
      <c r="C47" t="s">
        <v>184</v>
      </c>
    </row>
    <row r="48" spans="1:3" x14ac:dyDescent="0.25">
      <c r="B48" t="s">
        <v>197</v>
      </c>
      <c r="C48" t="s">
        <v>198</v>
      </c>
    </row>
    <row r="49" spans="1:3" x14ac:dyDescent="0.25">
      <c r="A49" t="s">
        <v>248</v>
      </c>
      <c r="B49" t="s">
        <v>194</v>
      </c>
      <c r="C49" t="s">
        <v>184</v>
      </c>
    </row>
    <row r="50" spans="1:3" x14ac:dyDescent="0.25">
      <c r="B50" t="s">
        <v>197</v>
      </c>
      <c r="C50" t="s">
        <v>198</v>
      </c>
    </row>
    <row r="51" spans="1:3" x14ac:dyDescent="0.25">
      <c r="B51" t="s">
        <v>194</v>
      </c>
      <c r="C51" t="s">
        <v>249</v>
      </c>
    </row>
    <row r="52" spans="1:3" x14ac:dyDescent="0.25">
      <c r="B52" t="s">
        <v>250</v>
      </c>
      <c r="C52" t="s">
        <v>251</v>
      </c>
    </row>
    <row r="53" spans="1:3" x14ac:dyDescent="0.25">
      <c r="B53" t="s">
        <v>194</v>
      </c>
      <c r="C53" t="s">
        <v>184</v>
      </c>
    </row>
    <row r="54" spans="1:3" x14ac:dyDescent="0.25">
      <c r="B54" t="s">
        <v>250</v>
      </c>
      <c r="C54" t="s">
        <v>252</v>
      </c>
    </row>
    <row r="55" spans="1:3" x14ac:dyDescent="0.25">
      <c r="B55" t="s">
        <v>253</v>
      </c>
      <c r="C55" t="s">
        <v>254</v>
      </c>
    </row>
    <row r="56" spans="1:3" x14ac:dyDescent="0.25">
      <c r="B56" t="s">
        <v>250</v>
      </c>
      <c r="C56" t="s">
        <v>255</v>
      </c>
    </row>
    <row r="57" spans="1:3" x14ac:dyDescent="0.25">
      <c r="A57" t="s">
        <v>256</v>
      </c>
      <c r="B57" t="s">
        <v>257</v>
      </c>
      <c r="C57" t="s">
        <v>258</v>
      </c>
    </row>
    <row r="58" spans="1:3" x14ac:dyDescent="0.25">
      <c r="B58" t="s">
        <v>259</v>
      </c>
      <c r="C58" t="s">
        <v>203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43" workbookViewId="0">
      <selection activeCell="E41" sqref="E41"/>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260</v>
      </c>
    </row>
    <row r="2" spans="1:6" x14ac:dyDescent="0.25">
      <c r="B2" t="s">
        <v>261</v>
      </c>
      <c r="C2" t="s">
        <v>262</v>
      </c>
      <c r="D2" t="s">
        <v>263</v>
      </c>
    </row>
    <row r="3" spans="1:6" x14ac:dyDescent="0.25">
      <c r="A3" t="s">
        <v>264</v>
      </c>
      <c r="B3" t="s">
        <v>265</v>
      </c>
      <c r="C3" t="s">
        <v>266</v>
      </c>
      <c r="D3" t="s">
        <v>267</v>
      </c>
    </row>
    <row r="4" spans="1:6" x14ac:dyDescent="0.25">
      <c r="B4" t="s">
        <v>268</v>
      </c>
      <c r="C4" t="s">
        <v>268</v>
      </c>
      <c r="D4" t="s">
        <v>268</v>
      </c>
    </row>
    <row r="5" spans="1:6" x14ac:dyDescent="0.25">
      <c r="B5" t="s">
        <v>269</v>
      </c>
      <c r="C5" t="s">
        <v>269</v>
      </c>
      <c r="D5" t="s">
        <v>269</v>
      </c>
    </row>
    <row r="6" spans="1:6" x14ac:dyDescent="0.25">
      <c r="A6" t="s">
        <v>270</v>
      </c>
      <c r="B6" t="s">
        <v>271</v>
      </c>
      <c r="C6" t="s">
        <v>267</v>
      </c>
      <c r="D6" t="s">
        <v>272</v>
      </c>
    </row>
    <row r="7" spans="1:6" x14ac:dyDescent="0.25">
      <c r="B7" t="s">
        <v>268</v>
      </c>
      <c r="C7" t="s">
        <v>268</v>
      </c>
      <c r="D7" t="s">
        <v>268</v>
      </c>
    </row>
    <row r="8" spans="1:6" x14ac:dyDescent="0.25">
      <c r="B8" t="s">
        <v>269</v>
      </c>
      <c r="C8" t="s">
        <v>269</v>
      </c>
      <c r="D8" t="s">
        <v>269</v>
      </c>
    </row>
    <row r="11" spans="1:6" s="1" customFormat="1" x14ac:dyDescent="0.25">
      <c r="A11" s="1" t="s">
        <v>273</v>
      </c>
    </row>
    <row r="12" spans="1:6" x14ac:dyDescent="0.25">
      <c r="B12" t="s">
        <v>274</v>
      </c>
      <c r="C12" t="s">
        <v>275</v>
      </c>
      <c r="D12" t="s">
        <v>276</v>
      </c>
      <c r="E12" t="s">
        <v>277</v>
      </c>
      <c r="F12" t="s">
        <v>278</v>
      </c>
    </row>
    <row r="13" spans="1:6" x14ac:dyDescent="0.25">
      <c r="B13" t="s">
        <v>279</v>
      </c>
      <c r="C13" t="s">
        <v>280</v>
      </c>
      <c r="D13" t="s">
        <v>280</v>
      </c>
      <c r="E13" t="s">
        <v>64</v>
      </c>
      <c r="F13" t="s">
        <v>280</v>
      </c>
    </row>
    <row r="14" spans="1:6" x14ac:dyDescent="0.25">
      <c r="B14" t="s">
        <v>281</v>
      </c>
      <c r="C14" t="s">
        <v>280</v>
      </c>
      <c r="D14" t="s">
        <v>280</v>
      </c>
      <c r="E14" t="s">
        <v>64</v>
      </c>
      <c r="F14" t="s">
        <v>280</v>
      </c>
    </row>
    <row r="15" spans="1:6" x14ac:dyDescent="0.25">
      <c r="B15" t="s">
        <v>282</v>
      </c>
      <c r="C15" t="s">
        <v>283</v>
      </c>
      <c r="D15" t="s">
        <v>283</v>
      </c>
      <c r="E15" t="s">
        <v>64</v>
      </c>
      <c r="F15" t="s">
        <v>283</v>
      </c>
    </row>
    <row r="16" spans="1:6" x14ac:dyDescent="0.25">
      <c r="B16" t="s">
        <v>284</v>
      </c>
      <c r="C16" t="s">
        <v>285</v>
      </c>
      <c r="D16" t="s">
        <v>285</v>
      </c>
      <c r="E16" t="s">
        <v>64</v>
      </c>
      <c r="F16" t="s">
        <v>285</v>
      </c>
    </row>
    <row r="17" spans="1:6" x14ac:dyDescent="0.25">
      <c r="B17" t="s">
        <v>286</v>
      </c>
      <c r="C17" t="s">
        <v>269</v>
      </c>
      <c r="D17" t="s">
        <v>269</v>
      </c>
      <c r="E17" t="s">
        <v>64</v>
      </c>
      <c r="F17" t="s">
        <v>269</v>
      </c>
    </row>
    <row r="19" spans="1:6" s="1" customFormat="1" x14ac:dyDescent="0.25">
      <c r="A19" s="1" t="s">
        <v>123</v>
      </c>
    </row>
    <row r="20" spans="1:6" x14ac:dyDescent="0.25">
      <c r="B20" t="s">
        <v>287</v>
      </c>
      <c r="C20" t="s">
        <v>288</v>
      </c>
      <c r="D20" t="s">
        <v>289</v>
      </c>
      <c r="E20" t="s">
        <v>290</v>
      </c>
      <c r="F20" t="s">
        <v>291</v>
      </c>
    </row>
    <row r="21" spans="1:6" x14ac:dyDescent="0.25">
      <c r="B21" t="s">
        <v>170</v>
      </c>
      <c r="C21" t="s">
        <v>292</v>
      </c>
      <c r="D21" t="s">
        <v>293</v>
      </c>
    </row>
    <row r="22" spans="1:6" x14ac:dyDescent="0.25">
      <c r="B22" t="s">
        <v>294</v>
      </c>
      <c r="C22" t="s">
        <v>295</v>
      </c>
      <c r="D22" t="s">
        <v>296</v>
      </c>
    </row>
    <row r="23" spans="1:6" x14ac:dyDescent="0.25">
      <c r="B23" t="s">
        <v>297</v>
      </c>
      <c r="C23" t="s">
        <v>298</v>
      </c>
      <c r="D23" t="s">
        <v>299</v>
      </c>
    </row>
    <row r="24" spans="1:6" x14ac:dyDescent="0.25">
      <c r="B24" t="s">
        <v>300</v>
      </c>
      <c r="C24" t="s">
        <v>301</v>
      </c>
      <c r="D24" t="s">
        <v>302</v>
      </c>
    </row>
    <row r="25" spans="1:6" x14ac:dyDescent="0.25">
      <c r="B25" t="s">
        <v>303</v>
      </c>
      <c r="C25" t="s">
        <v>304</v>
      </c>
      <c r="D25" t="s">
        <v>305</v>
      </c>
    </row>
    <row r="26" spans="1:6" x14ac:dyDescent="0.25">
      <c r="B26" t="s">
        <v>306</v>
      </c>
      <c r="C26" t="s">
        <v>306</v>
      </c>
      <c r="D26" t="s">
        <v>306</v>
      </c>
    </row>
    <row r="27" spans="1:6" x14ac:dyDescent="0.25">
      <c r="E27" t="s">
        <v>170</v>
      </c>
      <c r="F27" t="s">
        <v>298</v>
      </c>
    </row>
    <row r="28" spans="1:6" x14ac:dyDescent="0.25">
      <c r="E28" t="s">
        <v>294</v>
      </c>
      <c r="F28" t="s">
        <v>307</v>
      </c>
    </row>
    <row r="29" spans="1:6" x14ac:dyDescent="0.25">
      <c r="E29" t="s">
        <v>297</v>
      </c>
      <c r="F29" t="s">
        <v>308</v>
      </c>
    </row>
    <row r="30" spans="1:6" x14ac:dyDescent="0.25">
      <c r="E30" t="s">
        <v>300</v>
      </c>
      <c r="F30" t="s">
        <v>304</v>
      </c>
    </row>
    <row r="31" spans="1:6" x14ac:dyDescent="0.25">
      <c r="E31" t="s">
        <v>303</v>
      </c>
      <c r="F31" t="s">
        <v>309</v>
      </c>
    </row>
    <row r="32" spans="1:6" x14ac:dyDescent="0.25">
      <c r="E32" t="s">
        <v>310</v>
      </c>
      <c r="F32" t="s">
        <v>310</v>
      </c>
    </row>
    <row r="35" spans="1:4" s="1" customFormat="1" x14ac:dyDescent="0.25">
      <c r="A35" s="1" t="s">
        <v>311</v>
      </c>
    </row>
    <row r="37" spans="1:4" x14ac:dyDescent="0.25">
      <c r="A37" t="s">
        <v>316</v>
      </c>
      <c r="B37" t="s">
        <v>125</v>
      </c>
      <c r="C37" t="s">
        <v>126</v>
      </c>
      <c r="D37" t="s">
        <v>127</v>
      </c>
    </row>
    <row r="38" spans="1:4" x14ac:dyDescent="0.25">
      <c r="B38" t="s">
        <v>317</v>
      </c>
      <c r="C38" t="s">
        <v>170</v>
      </c>
      <c r="D38">
        <v>2.35E-2</v>
      </c>
    </row>
    <row r="39" spans="1:4" x14ac:dyDescent="0.25">
      <c r="B39" t="s">
        <v>317</v>
      </c>
      <c r="C39" t="s">
        <v>294</v>
      </c>
      <c r="D39">
        <v>2.5999999999999999E-2</v>
      </c>
    </row>
    <row r="40" spans="1:4" x14ac:dyDescent="0.25">
      <c r="B40" t="s">
        <v>317</v>
      </c>
      <c r="C40" t="s">
        <v>297</v>
      </c>
      <c r="D40">
        <v>2.6499999999999999E-2</v>
      </c>
    </row>
    <row r="41" spans="1:4" x14ac:dyDescent="0.25">
      <c r="B41" t="s">
        <v>317</v>
      </c>
      <c r="C41" t="s">
        <v>300</v>
      </c>
      <c r="D41">
        <v>2.7E-2</v>
      </c>
    </row>
    <row r="42" spans="1:4" x14ac:dyDescent="0.25">
      <c r="B42" t="s">
        <v>317</v>
      </c>
      <c r="C42" t="s">
        <v>303</v>
      </c>
      <c r="D42">
        <v>0.03</v>
      </c>
    </row>
    <row r="44" spans="1:4" s="1" customFormat="1" x14ac:dyDescent="0.25">
      <c r="A44" s="1" t="s">
        <v>318</v>
      </c>
    </row>
    <row r="45" spans="1:4" x14ac:dyDescent="0.25">
      <c r="A45" t="s">
        <v>319</v>
      </c>
      <c r="B45" t="s">
        <v>312</v>
      </c>
      <c r="C45" t="s">
        <v>313</v>
      </c>
      <c r="D45" t="s">
        <v>314</v>
      </c>
    </row>
    <row r="46" spans="1:4" x14ac:dyDescent="0.25">
      <c r="B46" t="s">
        <v>314</v>
      </c>
      <c r="D46" t="s">
        <v>315</v>
      </c>
    </row>
    <row r="48" spans="1:4" x14ac:dyDescent="0.25">
      <c r="A48" t="s">
        <v>320</v>
      </c>
      <c r="B48" t="s">
        <v>125</v>
      </c>
      <c r="C48" t="s">
        <v>126</v>
      </c>
      <c r="D48" t="s">
        <v>127</v>
      </c>
    </row>
    <row r="49" spans="1:4" x14ac:dyDescent="0.25">
      <c r="B49" t="s">
        <v>320</v>
      </c>
      <c r="C49" t="s">
        <v>170</v>
      </c>
      <c r="D49">
        <v>2.35E-2</v>
      </c>
    </row>
    <row r="50" spans="1:4" x14ac:dyDescent="0.25">
      <c r="B50" t="s">
        <v>320</v>
      </c>
      <c r="C50" t="s">
        <v>294</v>
      </c>
      <c r="D50">
        <v>2.5999999999999999E-2</v>
      </c>
    </row>
    <row r="51" spans="1:4" x14ac:dyDescent="0.25">
      <c r="B51" t="s">
        <v>320</v>
      </c>
      <c r="C51" t="s">
        <v>297</v>
      </c>
      <c r="D51">
        <v>2.6499999999999999E-2</v>
      </c>
    </row>
    <row r="52" spans="1:4" x14ac:dyDescent="0.25">
      <c r="B52" t="s">
        <v>320</v>
      </c>
      <c r="C52" t="s">
        <v>300</v>
      </c>
      <c r="D52">
        <v>2.7E-2</v>
      </c>
    </row>
    <row r="53" spans="1:4" x14ac:dyDescent="0.25">
      <c r="B53" t="s">
        <v>320</v>
      </c>
      <c r="C53" t="s">
        <v>303</v>
      </c>
      <c r="D53">
        <v>0.03</v>
      </c>
    </row>
    <row r="55" spans="1:4" s="1" customFormat="1" x14ac:dyDescent="0.25">
      <c r="A55" s="1" t="s">
        <v>321</v>
      </c>
    </row>
    <row r="56" spans="1:4" x14ac:dyDescent="0.25">
      <c r="B56" t="s">
        <v>312</v>
      </c>
      <c r="C56" t="s">
        <v>313</v>
      </c>
      <c r="D56" t="s">
        <v>314</v>
      </c>
    </row>
    <row r="57" spans="1:4" x14ac:dyDescent="0.25">
      <c r="B57" t="s">
        <v>314</v>
      </c>
      <c r="D57" t="s">
        <v>322</v>
      </c>
    </row>
    <row r="58" spans="1:4" x14ac:dyDescent="0.25">
      <c r="B58" t="s">
        <v>323</v>
      </c>
      <c r="C58" t="s">
        <v>324</v>
      </c>
    </row>
    <row r="59" spans="1:4" x14ac:dyDescent="0.25">
      <c r="B59" t="s">
        <v>314</v>
      </c>
      <c r="D59" t="s">
        <v>325</v>
      </c>
    </row>
    <row r="60" spans="1:4" x14ac:dyDescent="0.25">
      <c r="B60" t="s">
        <v>323</v>
      </c>
      <c r="C60" t="s">
        <v>324</v>
      </c>
    </row>
    <row r="61" spans="1:4" x14ac:dyDescent="0.25">
      <c r="B61" t="s">
        <v>314</v>
      </c>
      <c r="D61" t="s">
        <v>326</v>
      </c>
    </row>
    <row r="62" spans="1:4" x14ac:dyDescent="0.25">
      <c r="B62" t="s">
        <v>323</v>
      </c>
      <c r="C62" t="s">
        <v>324</v>
      </c>
    </row>
    <row r="63" spans="1:4" x14ac:dyDescent="0.25">
      <c r="B63" t="s">
        <v>323</v>
      </c>
      <c r="C63" t="s">
        <v>324</v>
      </c>
    </row>
    <row r="64" spans="1:4" x14ac:dyDescent="0.25">
      <c r="B64" t="s">
        <v>314</v>
      </c>
      <c r="D64" t="s">
        <v>327</v>
      </c>
    </row>
    <row r="65" spans="2:3" x14ac:dyDescent="0.25">
      <c r="B65" t="s">
        <v>323</v>
      </c>
      <c r="C65" t="s">
        <v>328</v>
      </c>
    </row>
  </sheetData>
  <pageMargins left="0.7" right="0.7" top="0.75" bottom="0.75" header="0.3" footer="0.3"/>
  <tableParts count="7">
    <tablePart r:id="rId1"/>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81.140625" bestFit="1" customWidth="1"/>
  </cols>
  <sheetData>
    <row r="1" spans="1:4" x14ac:dyDescent="0.25">
      <c r="B1" t="s">
        <v>180</v>
      </c>
      <c r="C1" t="s">
        <v>181</v>
      </c>
      <c r="D1" t="s">
        <v>329</v>
      </c>
    </row>
    <row r="2" spans="1:4" x14ac:dyDescent="0.25">
      <c r="A2" t="s">
        <v>330</v>
      </c>
      <c r="B2" t="s">
        <v>115</v>
      </c>
      <c r="C2" t="s">
        <v>331</v>
      </c>
      <c r="D2" t="s">
        <v>332</v>
      </c>
    </row>
    <row r="3" spans="1:4" x14ac:dyDescent="0.25">
      <c r="B3" t="s">
        <v>115</v>
      </c>
      <c r="C3" t="s">
        <v>333</v>
      </c>
      <c r="D3" t="s">
        <v>154</v>
      </c>
    </row>
    <row r="4" spans="1:4" x14ac:dyDescent="0.25">
      <c r="B4" t="s">
        <v>115</v>
      </c>
      <c r="C4" t="s">
        <v>334</v>
      </c>
      <c r="D4" t="s">
        <v>154</v>
      </c>
    </row>
    <row r="5" spans="1:4" x14ac:dyDescent="0.25">
      <c r="B5" t="s">
        <v>115</v>
      </c>
      <c r="C5" t="s">
        <v>335</v>
      </c>
      <c r="D5" t="s">
        <v>336</v>
      </c>
    </row>
    <row r="6" spans="1:4" x14ac:dyDescent="0.25">
      <c r="B6" t="s">
        <v>115</v>
      </c>
      <c r="C6" t="s">
        <v>337</v>
      </c>
      <c r="D6" t="s">
        <v>336</v>
      </c>
    </row>
    <row r="7" spans="1:4" x14ac:dyDescent="0.25">
      <c r="A7" t="s">
        <v>338</v>
      </c>
      <c r="B7" t="s">
        <v>115</v>
      </c>
      <c r="C7" t="s">
        <v>339</v>
      </c>
      <c r="D7" t="s">
        <v>160</v>
      </c>
    </row>
    <row r="8" spans="1:4" x14ac:dyDescent="0.25">
      <c r="B8" t="s">
        <v>115</v>
      </c>
      <c r="C8" t="s">
        <v>340</v>
      </c>
      <c r="D8" t="s">
        <v>341</v>
      </c>
    </row>
    <row r="9" spans="1:4" x14ac:dyDescent="0.25">
      <c r="B9" t="s">
        <v>115</v>
      </c>
      <c r="C9" t="s">
        <v>155</v>
      </c>
      <c r="D9" t="s">
        <v>341</v>
      </c>
    </row>
    <row r="10" spans="1:4" x14ac:dyDescent="0.25">
      <c r="B10" t="s">
        <v>115</v>
      </c>
      <c r="C10" t="s">
        <v>153</v>
      </c>
      <c r="D10" t="s">
        <v>336</v>
      </c>
    </row>
    <row r="11" spans="1:4" x14ac:dyDescent="0.25">
      <c r="B11" t="s">
        <v>115</v>
      </c>
      <c r="C11" t="s">
        <v>151</v>
      </c>
      <c r="D11" t="s">
        <v>332</v>
      </c>
    </row>
    <row r="12" spans="1:4" x14ac:dyDescent="0.25">
      <c r="B12" t="s">
        <v>115</v>
      </c>
      <c r="C12" t="s">
        <v>342</v>
      </c>
      <c r="D12" t="s">
        <v>343</v>
      </c>
    </row>
    <row r="13" spans="1:4" x14ac:dyDescent="0.25">
      <c r="A13" t="s">
        <v>344</v>
      </c>
      <c r="B13" t="s">
        <v>115</v>
      </c>
      <c r="C13" t="s">
        <v>345</v>
      </c>
      <c r="D13" t="s">
        <v>160</v>
      </c>
    </row>
    <row r="14" spans="1:4" x14ac:dyDescent="0.25">
      <c r="B14" t="s">
        <v>115</v>
      </c>
      <c r="C14" t="s">
        <v>346</v>
      </c>
      <c r="D14" t="s">
        <v>539</v>
      </c>
    </row>
    <row r="15" spans="1:4" x14ac:dyDescent="0.25">
      <c r="A15" t="s">
        <v>347</v>
      </c>
      <c r="B15" t="s">
        <v>115</v>
      </c>
      <c r="C15" t="s">
        <v>348</v>
      </c>
      <c r="D15" t="s">
        <v>160</v>
      </c>
    </row>
    <row r="16" spans="1:4" x14ac:dyDescent="0.25">
      <c r="B16" t="s">
        <v>115</v>
      </c>
      <c r="C16" t="s">
        <v>349</v>
      </c>
      <c r="D16" t="s">
        <v>160</v>
      </c>
    </row>
    <row r="17" spans="1:4" x14ac:dyDescent="0.25">
      <c r="B17" t="s">
        <v>115</v>
      </c>
      <c r="C17" t="s">
        <v>350</v>
      </c>
      <c r="D17" t="s">
        <v>160</v>
      </c>
    </row>
    <row r="18" spans="1:4" x14ac:dyDescent="0.25">
      <c r="B18" t="s">
        <v>115</v>
      </c>
      <c r="C18" t="s">
        <v>346</v>
      </c>
      <c r="D18" t="s">
        <v>332</v>
      </c>
    </row>
    <row r="19" spans="1:4" x14ac:dyDescent="0.25">
      <c r="B19" t="s">
        <v>115</v>
      </c>
      <c r="C19" t="s">
        <v>351</v>
      </c>
      <c r="D19" t="s">
        <v>343</v>
      </c>
    </row>
    <row r="20" spans="1:4" x14ac:dyDescent="0.25">
      <c r="A20" t="s">
        <v>352</v>
      </c>
      <c r="B20" t="s">
        <v>115</v>
      </c>
      <c r="C20" t="s">
        <v>348</v>
      </c>
      <c r="D20" t="s">
        <v>341</v>
      </c>
    </row>
    <row r="21" spans="1:4" x14ac:dyDescent="0.25">
      <c r="B21" t="s">
        <v>115</v>
      </c>
      <c r="C21" t="s">
        <v>346</v>
      </c>
      <c r="D21" t="s">
        <v>332</v>
      </c>
    </row>
    <row r="22" spans="1:4" x14ac:dyDescent="0.25">
      <c r="B22" t="s">
        <v>115</v>
      </c>
      <c r="C22" t="s">
        <v>353</v>
      </c>
      <c r="D22" t="s">
        <v>332</v>
      </c>
    </row>
    <row r="23" spans="1:4" x14ac:dyDescent="0.25">
      <c r="B23" t="s">
        <v>115</v>
      </c>
      <c r="C23" t="s">
        <v>354</v>
      </c>
      <c r="D23" t="s">
        <v>343</v>
      </c>
    </row>
    <row r="24" spans="1:4" x14ac:dyDescent="0.25">
      <c r="B24" t="s">
        <v>115</v>
      </c>
      <c r="C24" t="s">
        <v>355</v>
      </c>
      <c r="D24" t="s">
        <v>356</v>
      </c>
    </row>
    <row r="25" spans="1:4" x14ac:dyDescent="0.25">
      <c r="A25" t="s">
        <v>357</v>
      </c>
      <c r="B25" t="s">
        <v>115</v>
      </c>
      <c r="C25" t="s">
        <v>348</v>
      </c>
      <c r="D25" t="s">
        <v>336</v>
      </c>
    </row>
    <row r="26" spans="1:4" x14ac:dyDescent="0.25">
      <c r="B26" t="s">
        <v>115</v>
      </c>
      <c r="C26" t="s">
        <v>358</v>
      </c>
      <c r="D26" t="s">
        <v>359</v>
      </c>
    </row>
    <row r="27" spans="1:4" x14ac:dyDescent="0.25">
      <c r="B27" t="s">
        <v>115</v>
      </c>
      <c r="C27" t="s">
        <v>360</v>
      </c>
      <c r="D27" t="s">
        <v>361</v>
      </c>
    </row>
    <row r="28" spans="1:4" x14ac:dyDescent="0.25">
      <c r="A28" t="s">
        <v>362</v>
      </c>
      <c r="B28" t="s">
        <v>115</v>
      </c>
      <c r="C28" t="s">
        <v>363</v>
      </c>
      <c r="D28" t="s">
        <v>364</v>
      </c>
    </row>
    <row r="29" spans="1:4" x14ac:dyDescent="0.25">
      <c r="B29" t="s">
        <v>115</v>
      </c>
      <c r="C29" t="s">
        <v>365</v>
      </c>
      <c r="D29" t="s">
        <v>364</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3"/>
  <sheetViews>
    <sheetView workbookViewId="0"/>
  </sheetViews>
  <sheetFormatPr defaultRowHeight="15" x14ac:dyDescent="0.25"/>
  <cols>
    <col min="1" max="1" width="56.7109375" bestFit="1" customWidth="1"/>
    <col min="2" max="2" width="7.28515625" bestFit="1" customWidth="1"/>
    <col min="3" max="3" width="8.5703125" bestFit="1" customWidth="1"/>
    <col min="4" max="4" width="7.28515625" bestFit="1" customWidth="1"/>
    <col min="5" max="5" width="19.85546875" bestFit="1" customWidth="1"/>
  </cols>
  <sheetData>
    <row r="1" spans="1:5" x14ac:dyDescent="0.25">
      <c r="B1" t="s">
        <v>180</v>
      </c>
      <c r="C1" t="s">
        <v>181</v>
      </c>
      <c r="D1" t="s">
        <v>329</v>
      </c>
      <c r="E1" t="s">
        <v>366</v>
      </c>
    </row>
    <row r="2" spans="1:5" x14ac:dyDescent="0.25">
      <c r="A2" t="s">
        <v>367</v>
      </c>
      <c r="B2" t="s">
        <v>367</v>
      </c>
      <c r="C2" t="s">
        <v>368</v>
      </c>
      <c r="D2" t="s">
        <v>368</v>
      </c>
      <c r="E2" t="s">
        <v>369</v>
      </c>
    </row>
    <row r="3" spans="1:5" x14ac:dyDescent="0.25">
      <c r="B3" t="s">
        <v>367</v>
      </c>
      <c r="C3" t="s">
        <v>370</v>
      </c>
      <c r="D3" t="s">
        <v>370</v>
      </c>
      <c r="E3" t="s">
        <v>369</v>
      </c>
    </row>
    <row r="4" spans="1:5" x14ac:dyDescent="0.25">
      <c r="A4" t="s">
        <v>371</v>
      </c>
      <c r="B4" t="s">
        <v>371</v>
      </c>
      <c r="C4" t="s">
        <v>39</v>
      </c>
      <c r="D4" t="s">
        <v>39</v>
      </c>
      <c r="E4" t="s">
        <v>537</v>
      </c>
    </row>
    <row r="5" spans="1:5" x14ac:dyDescent="0.25">
      <c r="B5" t="s">
        <v>371</v>
      </c>
      <c r="C5" t="s">
        <v>373</v>
      </c>
      <c r="D5" t="s">
        <v>373</v>
      </c>
      <c r="E5" t="s">
        <v>381</v>
      </c>
    </row>
    <row r="6" spans="1:5" x14ac:dyDescent="0.25">
      <c r="B6" t="s">
        <v>371</v>
      </c>
      <c r="C6" t="s">
        <v>374</v>
      </c>
      <c r="D6" t="s">
        <v>374</v>
      </c>
      <c r="E6" t="s">
        <v>537</v>
      </c>
    </row>
    <row r="7" spans="1:5" x14ac:dyDescent="0.25">
      <c r="B7" t="s">
        <v>371</v>
      </c>
      <c r="C7" t="s">
        <v>375</v>
      </c>
      <c r="D7" t="s">
        <v>375</v>
      </c>
      <c r="E7" t="s">
        <v>537</v>
      </c>
    </row>
    <row r="8" spans="1:5" x14ac:dyDescent="0.25">
      <c r="B8" t="s">
        <v>371</v>
      </c>
      <c r="C8" t="s">
        <v>376</v>
      </c>
      <c r="D8" t="s">
        <v>376</v>
      </c>
      <c r="E8" t="s">
        <v>377</v>
      </c>
    </row>
    <row r="9" spans="1:5" x14ac:dyDescent="0.25">
      <c r="B9" t="s">
        <v>371</v>
      </c>
      <c r="C9" t="s">
        <v>378</v>
      </c>
      <c r="D9" t="s">
        <v>378</v>
      </c>
      <c r="E9" t="s">
        <v>377</v>
      </c>
    </row>
    <row r="10" spans="1:5" x14ac:dyDescent="0.25">
      <c r="A10" t="s">
        <v>379</v>
      </c>
      <c r="B10" t="s">
        <v>379</v>
      </c>
      <c r="C10" t="s">
        <v>380</v>
      </c>
      <c r="D10" t="s">
        <v>380</v>
      </c>
      <c r="E10" t="s">
        <v>315</v>
      </c>
    </row>
    <row r="11" spans="1:5" x14ac:dyDescent="0.25">
      <c r="B11" t="s">
        <v>379</v>
      </c>
      <c r="C11" t="s">
        <v>382</v>
      </c>
      <c r="D11" t="s">
        <v>382</v>
      </c>
      <c r="E11" t="s">
        <v>383</v>
      </c>
    </row>
    <row r="12" spans="1:5" x14ac:dyDescent="0.25">
      <c r="A12" t="s">
        <v>384</v>
      </c>
      <c r="B12" t="s">
        <v>385</v>
      </c>
      <c r="C12" t="s">
        <v>386</v>
      </c>
      <c r="D12" t="s">
        <v>387</v>
      </c>
      <c r="E12" t="s">
        <v>388</v>
      </c>
    </row>
    <row r="13" spans="1:5" x14ac:dyDescent="0.25">
      <c r="B13" t="s">
        <v>389</v>
      </c>
      <c r="C13" t="s">
        <v>390</v>
      </c>
      <c r="D13" t="s">
        <v>390</v>
      </c>
      <c r="E13" t="s">
        <v>390</v>
      </c>
    </row>
    <row r="14" spans="1:5" x14ac:dyDescent="0.25">
      <c r="B14" t="s">
        <v>391</v>
      </c>
      <c r="C14" t="s">
        <v>293</v>
      </c>
      <c r="D14" t="s">
        <v>293</v>
      </c>
      <c r="E14" t="s">
        <v>293</v>
      </c>
    </row>
    <row r="15" spans="1:5" x14ac:dyDescent="0.25">
      <c r="B15" t="s">
        <v>392</v>
      </c>
      <c r="C15" t="s">
        <v>393</v>
      </c>
      <c r="D15" t="s">
        <v>393</v>
      </c>
      <c r="E15" t="s">
        <v>393</v>
      </c>
    </row>
    <row r="16" spans="1:5" x14ac:dyDescent="0.25">
      <c r="B16" t="s">
        <v>394</v>
      </c>
      <c r="C16" t="s">
        <v>395</v>
      </c>
      <c r="D16" t="s">
        <v>395</v>
      </c>
      <c r="E16" t="s">
        <v>395</v>
      </c>
    </row>
    <row r="17" spans="1:5" x14ac:dyDescent="0.25">
      <c r="B17" t="s">
        <v>396</v>
      </c>
      <c r="C17" t="s">
        <v>296</v>
      </c>
      <c r="D17" t="s">
        <v>296</v>
      </c>
      <c r="E17" t="s">
        <v>296</v>
      </c>
    </row>
    <row r="18" spans="1:5" x14ac:dyDescent="0.25">
      <c r="A18" t="s">
        <v>397</v>
      </c>
      <c r="B18" t="s">
        <v>200</v>
      </c>
      <c r="C18" t="s">
        <v>398</v>
      </c>
      <c r="D18" t="s">
        <v>399</v>
      </c>
      <c r="E18" t="s">
        <v>400</v>
      </c>
    </row>
    <row r="19" spans="1:5" x14ac:dyDescent="0.25">
      <c r="B19" t="s">
        <v>170</v>
      </c>
      <c r="C19" t="s">
        <v>552</v>
      </c>
      <c r="D19" t="s">
        <v>292</v>
      </c>
      <c r="E19" t="s">
        <v>401</v>
      </c>
    </row>
    <row r="20" spans="1:5" x14ac:dyDescent="0.25">
      <c r="B20" t="s">
        <v>171</v>
      </c>
      <c r="C20" t="s">
        <v>307</v>
      </c>
      <c r="D20" t="s">
        <v>553</v>
      </c>
      <c r="E20" t="s">
        <v>554</v>
      </c>
    </row>
    <row r="21" spans="1:5" x14ac:dyDescent="0.25">
      <c r="B21" t="s">
        <v>402</v>
      </c>
      <c r="C21" t="s">
        <v>405</v>
      </c>
      <c r="D21" t="s">
        <v>403</v>
      </c>
      <c r="E21" t="s">
        <v>406</v>
      </c>
    </row>
    <row r="22" spans="1:5" x14ac:dyDescent="0.25">
      <c r="B22" t="s">
        <v>404</v>
      </c>
      <c r="C22" t="s">
        <v>409</v>
      </c>
      <c r="D22" t="s">
        <v>405</v>
      </c>
      <c r="E22" t="s">
        <v>408</v>
      </c>
    </row>
    <row r="23" spans="1:5" x14ac:dyDescent="0.25">
      <c r="B23" t="s">
        <v>407</v>
      </c>
      <c r="C23" t="s">
        <v>555</v>
      </c>
      <c r="D23" t="s">
        <v>556</v>
      </c>
      <c r="E23" t="s">
        <v>557</v>
      </c>
    </row>
    <row r="24" spans="1:5" x14ac:dyDescent="0.25">
      <c r="A24" t="s">
        <v>410</v>
      </c>
      <c r="B24" t="s">
        <v>200</v>
      </c>
      <c r="C24" t="s">
        <v>398</v>
      </c>
    </row>
    <row r="25" spans="1:5" x14ac:dyDescent="0.25">
      <c r="B25" t="s">
        <v>411</v>
      </c>
      <c r="C25" t="s">
        <v>552</v>
      </c>
    </row>
    <row r="26" spans="1:5" x14ac:dyDescent="0.25">
      <c r="B26" t="s">
        <v>412</v>
      </c>
      <c r="C26" t="s">
        <v>307</v>
      </c>
    </row>
    <row r="27" spans="1:5" x14ac:dyDescent="0.25">
      <c r="B27" t="s">
        <v>413</v>
      </c>
      <c r="C27" t="s">
        <v>405</v>
      </c>
    </row>
    <row r="28" spans="1:5" x14ac:dyDescent="0.25">
      <c r="B28" t="s">
        <v>414</v>
      </c>
      <c r="C28" t="s">
        <v>409</v>
      </c>
    </row>
    <row r="29" spans="1:5" x14ac:dyDescent="0.25">
      <c r="B29" t="s">
        <v>415</v>
      </c>
      <c r="C29" t="s">
        <v>555</v>
      </c>
    </row>
    <row r="30" spans="1:5" x14ac:dyDescent="0.25">
      <c r="A30" t="s">
        <v>416</v>
      </c>
      <c r="B30" t="s">
        <v>416</v>
      </c>
      <c r="C30" t="s">
        <v>417</v>
      </c>
      <c r="D30" t="s">
        <v>418</v>
      </c>
    </row>
    <row r="31" spans="1:5" x14ac:dyDescent="0.25">
      <c r="B31" t="s">
        <v>416</v>
      </c>
      <c r="C31" t="s">
        <v>419</v>
      </c>
      <c r="D31" t="s">
        <v>537</v>
      </c>
      <c r="E31" t="s">
        <v>537</v>
      </c>
    </row>
    <row r="32" spans="1:5" x14ac:dyDescent="0.25">
      <c r="B32" t="s">
        <v>420</v>
      </c>
      <c r="C32" t="s">
        <v>421</v>
      </c>
    </row>
    <row r="33" spans="1:3" x14ac:dyDescent="0.25">
      <c r="B33" t="s">
        <v>422</v>
      </c>
      <c r="C33" t="s">
        <v>418</v>
      </c>
    </row>
    <row r="34" spans="1:3" x14ac:dyDescent="0.25">
      <c r="B34" t="s">
        <v>423</v>
      </c>
      <c r="C34" t="s">
        <v>421</v>
      </c>
    </row>
    <row r="35" spans="1:3" x14ac:dyDescent="0.25">
      <c r="B35" t="s">
        <v>424</v>
      </c>
      <c r="C35" t="s">
        <v>425</v>
      </c>
    </row>
    <row r="36" spans="1:3" x14ac:dyDescent="0.25">
      <c r="B36" t="s">
        <v>426</v>
      </c>
      <c r="C36" t="s">
        <v>418</v>
      </c>
    </row>
    <row r="37" spans="1:3" x14ac:dyDescent="0.25">
      <c r="B37" t="s">
        <v>427</v>
      </c>
      <c r="C37" t="s">
        <v>428</v>
      </c>
    </row>
    <row r="38" spans="1:3" x14ac:dyDescent="0.25">
      <c r="B38" t="s">
        <v>429</v>
      </c>
      <c r="C38" t="s">
        <v>430</v>
      </c>
    </row>
    <row r="39" spans="1:3" x14ac:dyDescent="0.25">
      <c r="B39" t="s">
        <v>431</v>
      </c>
      <c r="C39" t="s">
        <v>432</v>
      </c>
    </row>
    <row r="40" spans="1:3" x14ac:dyDescent="0.25">
      <c r="B40" t="s">
        <v>433</v>
      </c>
      <c r="C40" t="s">
        <v>434</v>
      </c>
    </row>
    <row r="41" spans="1:3" x14ac:dyDescent="0.25">
      <c r="B41" t="s">
        <v>435</v>
      </c>
      <c r="C41" t="s">
        <v>436</v>
      </c>
    </row>
    <row r="42" spans="1:3" x14ac:dyDescent="0.25">
      <c r="B42" t="s">
        <v>437</v>
      </c>
      <c r="C42" t="s">
        <v>438</v>
      </c>
    </row>
    <row r="43" spans="1:3" x14ac:dyDescent="0.25">
      <c r="B43" t="s">
        <v>439</v>
      </c>
      <c r="C43" t="s">
        <v>440</v>
      </c>
    </row>
    <row r="44" spans="1:3" x14ac:dyDescent="0.25">
      <c r="A44" t="s">
        <v>441</v>
      </c>
      <c r="B44" t="s">
        <v>442</v>
      </c>
      <c r="C44" t="s">
        <v>421</v>
      </c>
    </row>
    <row r="45" spans="1:3" x14ac:dyDescent="0.25">
      <c r="B45" t="s">
        <v>443</v>
      </c>
      <c r="C45" t="s">
        <v>444</v>
      </c>
    </row>
    <row r="46" spans="1:3" x14ac:dyDescent="0.25">
      <c r="B46" t="s">
        <v>445</v>
      </c>
      <c r="C46" t="s">
        <v>446</v>
      </c>
    </row>
    <row r="47" spans="1:3" x14ac:dyDescent="0.25">
      <c r="B47" t="s">
        <v>447</v>
      </c>
      <c r="C47" t="s">
        <v>421</v>
      </c>
    </row>
    <row r="48" spans="1:3" x14ac:dyDescent="0.25">
      <c r="B48" t="s">
        <v>448</v>
      </c>
      <c r="C48" t="s">
        <v>425</v>
      </c>
    </row>
    <row r="49" spans="1:4" x14ac:dyDescent="0.25">
      <c r="B49" t="s">
        <v>449</v>
      </c>
      <c r="C49" t="s">
        <v>418</v>
      </c>
    </row>
    <row r="50" spans="1:4" x14ac:dyDescent="0.25">
      <c r="B50" t="s">
        <v>450</v>
      </c>
      <c r="C50" t="s">
        <v>428</v>
      </c>
    </row>
    <row r="51" spans="1:4" x14ac:dyDescent="0.25">
      <c r="B51" t="s">
        <v>451</v>
      </c>
      <c r="C51" t="s">
        <v>430</v>
      </c>
    </row>
    <row r="52" spans="1:4" x14ac:dyDescent="0.25">
      <c r="B52" t="s">
        <v>452</v>
      </c>
      <c r="C52" t="s">
        <v>432</v>
      </c>
    </row>
    <row r="53" spans="1:4" x14ac:dyDescent="0.25">
      <c r="B53" t="s">
        <v>453</v>
      </c>
      <c r="C53" t="s">
        <v>434</v>
      </c>
    </row>
    <row r="54" spans="1:4" x14ac:dyDescent="0.25">
      <c r="B54" t="s">
        <v>454</v>
      </c>
      <c r="C54" t="s">
        <v>436</v>
      </c>
    </row>
    <row r="55" spans="1:4" x14ac:dyDescent="0.25">
      <c r="B55" t="s">
        <v>455</v>
      </c>
      <c r="C55" t="s">
        <v>438</v>
      </c>
    </row>
    <row r="56" spans="1:4" x14ac:dyDescent="0.25">
      <c r="B56" t="s">
        <v>456</v>
      </c>
      <c r="C56" t="s">
        <v>440</v>
      </c>
    </row>
    <row r="57" spans="1:4" x14ac:dyDescent="0.25">
      <c r="A57" t="s">
        <v>457</v>
      </c>
      <c r="B57" t="s">
        <v>457</v>
      </c>
      <c r="C57" t="s">
        <v>200</v>
      </c>
      <c r="D57" t="s">
        <v>421</v>
      </c>
    </row>
    <row r="58" spans="1:4" x14ac:dyDescent="0.25">
      <c r="B58" t="s">
        <v>457</v>
      </c>
      <c r="C58" t="s">
        <v>458</v>
      </c>
      <c r="D58" t="s">
        <v>425</v>
      </c>
    </row>
    <row r="59" spans="1:4" x14ac:dyDescent="0.25">
      <c r="B59" t="s">
        <v>457</v>
      </c>
      <c r="C59" t="s">
        <v>427</v>
      </c>
      <c r="D59" t="s">
        <v>428</v>
      </c>
    </row>
    <row r="60" spans="1:4" x14ac:dyDescent="0.25">
      <c r="B60" t="s">
        <v>457</v>
      </c>
      <c r="C60" t="s">
        <v>459</v>
      </c>
      <c r="D60" t="s">
        <v>418</v>
      </c>
    </row>
    <row r="61" spans="1:4" x14ac:dyDescent="0.25">
      <c r="B61" t="s">
        <v>457</v>
      </c>
      <c r="C61" t="s">
        <v>460</v>
      </c>
      <c r="D61" t="s">
        <v>430</v>
      </c>
    </row>
    <row r="62" spans="1:4" x14ac:dyDescent="0.25">
      <c r="B62" t="s">
        <v>457</v>
      </c>
      <c r="C62" t="s">
        <v>461</v>
      </c>
      <c r="D62" t="s">
        <v>432</v>
      </c>
    </row>
    <row r="63" spans="1:4" x14ac:dyDescent="0.25">
      <c r="B63" t="s">
        <v>457</v>
      </c>
      <c r="C63" t="s">
        <v>462</v>
      </c>
      <c r="D63" t="s">
        <v>434</v>
      </c>
    </row>
    <row r="64" spans="1:4" x14ac:dyDescent="0.25">
      <c r="B64" t="s">
        <v>457</v>
      </c>
      <c r="C64" t="s">
        <v>463</v>
      </c>
      <c r="D64" t="s">
        <v>436</v>
      </c>
    </row>
    <row r="65" spans="1:5" x14ac:dyDescent="0.25">
      <c r="B65" t="s">
        <v>457</v>
      </c>
      <c r="C65" t="s">
        <v>437</v>
      </c>
      <c r="D65" t="s">
        <v>438</v>
      </c>
    </row>
    <row r="66" spans="1:5" x14ac:dyDescent="0.25">
      <c r="B66" t="s">
        <v>457</v>
      </c>
      <c r="C66" t="s">
        <v>464</v>
      </c>
      <c r="D66" t="s">
        <v>440</v>
      </c>
    </row>
    <row r="67" spans="1:5" x14ac:dyDescent="0.25">
      <c r="A67" t="s">
        <v>465</v>
      </c>
      <c r="B67" t="s">
        <v>465</v>
      </c>
      <c r="C67" t="s">
        <v>466</v>
      </c>
      <c r="D67" t="s">
        <v>467</v>
      </c>
      <c r="E67" t="s">
        <v>468</v>
      </c>
    </row>
    <row r="68" spans="1:5" x14ac:dyDescent="0.25">
      <c r="B68" t="s">
        <v>465</v>
      </c>
      <c r="C68" t="s">
        <v>469</v>
      </c>
      <c r="D68" t="s">
        <v>470</v>
      </c>
      <c r="E68" t="s">
        <v>425</v>
      </c>
    </row>
    <row r="69" spans="1:5" x14ac:dyDescent="0.25">
      <c r="B69" t="s">
        <v>465</v>
      </c>
      <c r="C69" t="s">
        <v>471</v>
      </c>
      <c r="D69" t="s">
        <v>470</v>
      </c>
      <c r="E69" t="s">
        <v>425</v>
      </c>
    </row>
    <row r="70" spans="1:5" x14ac:dyDescent="0.25">
      <c r="A70" t="s">
        <v>472</v>
      </c>
      <c r="B70" t="s">
        <v>472</v>
      </c>
      <c r="C70" t="s">
        <v>472</v>
      </c>
    </row>
    <row r="71" spans="1:5" x14ac:dyDescent="0.25">
      <c r="B71" t="s">
        <v>473</v>
      </c>
      <c r="C71" t="s">
        <v>418</v>
      </c>
    </row>
    <row r="72" spans="1:5" x14ac:dyDescent="0.25">
      <c r="A72" t="s">
        <v>474</v>
      </c>
      <c r="B72" t="s">
        <v>474</v>
      </c>
      <c r="C72" t="s">
        <v>474</v>
      </c>
    </row>
    <row r="73" spans="1:5" x14ac:dyDescent="0.25">
      <c r="B73" t="s">
        <v>475</v>
      </c>
      <c r="C73" t="s">
        <v>470</v>
      </c>
    </row>
    <row r="74" spans="1:5" x14ac:dyDescent="0.25">
      <c r="A74" t="s">
        <v>476</v>
      </c>
      <c r="B74" t="s">
        <v>476</v>
      </c>
      <c r="C74" t="s">
        <v>476</v>
      </c>
    </row>
    <row r="75" spans="1:5" x14ac:dyDescent="0.25">
      <c r="B75" t="s">
        <v>477</v>
      </c>
      <c r="C75" t="s">
        <v>280</v>
      </c>
    </row>
    <row r="76" spans="1:5" x14ac:dyDescent="0.25">
      <c r="B76" t="s">
        <v>478</v>
      </c>
      <c r="C76" t="s">
        <v>372</v>
      </c>
    </row>
    <row r="77" spans="1:5" x14ac:dyDescent="0.25">
      <c r="B77" t="s">
        <v>479</v>
      </c>
      <c r="C77" t="s">
        <v>538</v>
      </c>
    </row>
    <row r="78" spans="1:5" x14ac:dyDescent="0.25">
      <c r="B78" t="s">
        <v>480</v>
      </c>
      <c r="C78" t="s">
        <v>315</v>
      </c>
    </row>
    <row r="79" spans="1:5" x14ac:dyDescent="0.25">
      <c r="B79" t="s">
        <v>481</v>
      </c>
      <c r="C79" t="s">
        <v>537</v>
      </c>
    </row>
    <row r="80" spans="1:5" x14ac:dyDescent="0.25">
      <c r="B80" t="s">
        <v>482</v>
      </c>
      <c r="C80" t="s">
        <v>537</v>
      </c>
    </row>
    <row r="82" spans="1:4" x14ac:dyDescent="0.25">
      <c r="A82" s="2" t="s">
        <v>483</v>
      </c>
      <c r="B82" t="s">
        <v>312</v>
      </c>
      <c r="C82" t="s">
        <v>313</v>
      </c>
      <c r="D82" t="s">
        <v>314</v>
      </c>
    </row>
    <row r="83" spans="1:4" x14ac:dyDescent="0.25">
      <c r="B83" t="s">
        <v>314</v>
      </c>
      <c r="D83" t="s">
        <v>484</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18"/>
  <sheetViews>
    <sheetView workbookViewId="0">
      <selection activeCell="D21" sqref="D21"/>
    </sheetView>
  </sheetViews>
  <sheetFormatPr defaultRowHeight="15" x14ac:dyDescent="0.25"/>
  <cols>
    <col min="1" max="1" width="43" bestFit="1" customWidth="1"/>
    <col min="2" max="2" width="72.7109375" bestFit="1" customWidth="1"/>
    <col min="3" max="3" width="9.42578125" bestFit="1" customWidth="1"/>
    <col min="4" max="4" width="9.28515625" bestFit="1" customWidth="1"/>
    <col min="5" max="5" width="26.85546875" bestFit="1" customWidth="1"/>
  </cols>
  <sheetData>
    <row r="1" spans="1:5" x14ac:dyDescent="0.25">
      <c r="B1" t="s">
        <v>139</v>
      </c>
      <c r="C1" t="s">
        <v>491</v>
      </c>
      <c r="D1" t="s">
        <v>492</v>
      </c>
      <c r="E1" t="s">
        <v>254</v>
      </c>
    </row>
    <row r="2" spans="1:5" x14ac:dyDescent="0.25">
      <c r="A2" t="s">
        <v>543</v>
      </c>
      <c r="B2" s="85" t="s">
        <v>493</v>
      </c>
      <c r="C2" s="85" t="s">
        <v>494</v>
      </c>
      <c r="D2" s="85" t="s">
        <v>495</v>
      </c>
      <c r="E2" s="85" t="s">
        <v>496</v>
      </c>
    </row>
    <row r="3" spans="1:5" x14ac:dyDescent="0.25">
      <c r="B3" s="85" t="s">
        <v>497</v>
      </c>
      <c r="C3" s="85" t="s">
        <v>498</v>
      </c>
      <c r="D3" s="85" t="s">
        <v>64</v>
      </c>
      <c r="E3" s="85" t="s">
        <v>498</v>
      </c>
    </row>
    <row r="4" spans="1:5" x14ac:dyDescent="0.25">
      <c r="B4" s="85" t="s">
        <v>499</v>
      </c>
      <c r="C4" s="85" t="s">
        <v>498</v>
      </c>
      <c r="D4" s="85" t="s">
        <v>500</v>
      </c>
      <c r="E4" s="85" t="s">
        <v>501</v>
      </c>
    </row>
    <row r="5" spans="1:5" x14ac:dyDescent="0.25">
      <c r="B5" s="85" t="s">
        <v>502</v>
      </c>
      <c r="C5" s="85" t="s">
        <v>498</v>
      </c>
      <c r="D5" s="85" t="s">
        <v>503</v>
      </c>
      <c r="E5" s="85" t="s">
        <v>504</v>
      </c>
    </row>
    <row r="6" spans="1:5" x14ac:dyDescent="0.25">
      <c r="B6" s="85" t="s">
        <v>505</v>
      </c>
      <c r="C6" s="85" t="s">
        <v>498</v>
      </c>
      <c r="D6" s="85" t="s">
        <v>506</v>
      </c>
      <c r="E6" s="85" t="s">
        <v>507</v>
      </c>
    </row>
    <row r="7" spans="1:5" x14ac:dyDescent="0.25">
      <c r="B7" s="85" t="s">
        <v>508</v>
      </c>
      <c r="C7" s="85" t="s">
        <v>498</v>
      </c>
      <c r="D7" s="85" t="s">
        <v>509</v>
      </c>
      <c r="E7" s="85" t="s">
        <v>510</v>
      </c>
    </row>
    <row r="8" spans="1:5" x14ac:dyDescent="0.25">
      <c r="A8" t="s">
        <v>544</v>
      </c>
      <c r="B8" s="85" t="s">
        <v>511</v>
      </c>
      <c r="C8" s="85"/>
      <c r="D8" s="85"/>
      <c r="E8" s="85" t="s">
        <v>512</v>
      </c>
    </row>
    <row r="9" spans="1:5" x14ac:dyDescent="0.25">
      <c r="B9" s="85" t="s">
        <v>513</v>
      </c>
      <c r="C9" s="85"/>
      <c r="D9" s="85"/>
      <c r="E9" s="85" t="s">
        <v>514</v>
      </c>
    </row>
    <row r="10" spans="1:5" x14ac:dyDescent="0.25">
      <c r="B10" s="85" t="s">
        <v>515</v>
      </c>
      <c r="C10" s="85"/>
      <c r="D10" s="85"/>
      <c r="E10" s="85" t="s">
        <v>514</v>
      </c>
    </row>
    <row r="11" spans="1:5" x14ac:dyDescent="0.25">
      <c r="A11" t="s">
        <v>545</v>
      </c>
      <c r="B11" s="85" t="s">
        <v>516</v>
      </c>
      <c r="C11" s="85"/>
      <c r="D11" s="85"/>
      <c r="E11" s="85" t="s">
        <v>512</v>
      </c>
    </row>
    <row r="12" spans="1:5" x14ac:dyDescent="0.25">
      <c r="B12" s="85" t="s">
        <v>517</v>
      </c>
      <c r="C12" s="85"/>
      <c r="D12" s="85"/>
      <c r="E12" s="85" t="s">
        <v>518</v>
      </c>
    </row>
    <row r="13" spans="1:5" x14ac:dyDescent="0.25">
      <c r="B13" s="85" t="s">
        <v>519</v>
      </c>
      <c r="C13" s="85"/>
      <c r="D13" s="85"/>
      <c r="E13" s="85" t="s">
        <v>498</v>
      </c>
    </row>
    <row r="14" spans="1:5" x14ac:dyDescent="0.25">
      <c r="B14" s="85" t="s">
        <v>520</v>
      </c>
      <c r="C14" s="85"/>
      <c r="D14" s="85"/>
      <c r="E14" s="85" t="s">
        <v>521</v>
      </c>
    </row>
    <row r="16" spans="1:5" x14ac:dyDescent="0.25">
      <c r="B16" t="s">
        <v>522</v>
      </c>
      <c r="C16" t="s">
        <v>523</v>
      </c>
      <c r="D16" t="s">
        <v>524</v>
      </c>
    </row>
    <row r="17" spans="1:4" x14ac:dyDescent="0.25">
      <c r="A17" t="s">
        <v>527</v>
      </c>
      <c r="B17" s="85" t="s">
        <v>525</v>
      </c>
      <c r="C17">
        <v>2.5000000000000001E-3</v>
      </c>
      <c r="D17">
        <v>2.5000000000000001E-3</v>
      </c>
    </row>
    <row r="18" spans="1:4" x14ac:dyDescent="0.25">
      <c r="B18" s="85" t="s">
        <v>526</v>
      </c>
      <c r="C18">
        <v>3.6999999999999998E-2</v>
      </c>
      <c r="D18">
        <v>0.05</v>
      </c>
    </row>
  </sheetData>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8"/>
  <sheetViews>
    <sheetView workbookViewId="0">
      <selection activeCell="A2" sqref="A2"/>
    </sheetView>
  </sheetViews>
  <sheetFormatPr defaultRowHeight="15" x14ac:dyDescent="0.25"/>
  <cols>
    <col min="1" max="1" width="28.7109375" bestFit="1" customWidth="1"/>
    <col min="2" max="2" width="81.140625" bestFit="1" customWidth="1"/>
    <col min="3" max="3" width="15.7109375" bestFit="1" customWidth="1"/>
  </cols>
  <sheetData>
    <row r="1" spans="1:3" x14ac:dyDescent="0.25">
      <c r="B1" t="s">
        <v>528</v>
      </c>
      <c r="C1" t="s">
        <v>529</v>
      </c>
    </row>
    <row r="2" spans="1:3" x14ac:dyDescent="0.25">
      <c r="A2" t="s">
        <v>540</v>
      </c>
      <c r="B2" s="85" t="s">
        <v>530</v>
      </c>
      <c r="C2">
        <v>2E-3</v>
      </c>
    </row>
    <row r="3" spans="1:3" x14ac:dyDescent="0.25">
      <c r="B3" s="85" t="s">
        <v>531</v>
      </c>
      <c r="C3">
        <v>1.4500000000000001E-2</v>
      </c>
    </row>
    <row r="4" spans="1:3" x14ac:dyDescent="0.25">
      <c r="B4" s="85" t="s">
        <v>532</v>
      </c>
      <c r="C4">
        <v>2E-3</v>
      </c>
    </row>
    <row r="5" spans="1:3" x14ac:dyDescent="0.25">
      <c r="A5" t="s">
        <v>541</v>
      </c>
      <c r="B5" s="85" t="s">
        <v>533</v>
      </c>
      <c r="C5">
        <v>8.0000000000000002E-3</v>
      </c>
    </row>
    <row r="6" spans="1:3" x14ac:dyDescent="0.25">
      <c r="B6" s="85" t="s">
        <v>534</v>
      </c>
      <c r="C6">
        <v>8.0000000000000002E-3</v>
      </c>
    </row>
    <row r="7" spans="1:3" x14ac:dyDescent="0.25">
      <c r="A7" t="s">
        <v>542</v>
      </c>
      <c r="B7" s="85" t="s">
        <v>535</v>
      </c>
      <c r="C7">
        <v>5.0000000000000001E-4</v>
      </c>
    </row>
    <row r="8" spans="1:3" x14ac:dyDescent="0.25">
      <c r="B8" s="85" t="s">
        <v>536</v>
      </c>
      <c r="C8">
        <v>5.0000000000000001E-4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A3" sqref="A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s>
  <sheetData>
    <row r="1" spans="1:5" x14ac:dyDescent="0.25">
      <c r="B1" t="s">
        <v>546</v>
      </c>
      <c r="C1" t="s">
        <v>547</v>
      </c>
      <c r="D1" t="s">
        <v>558</v>
      </c>
      <c r="E1" t="s">
        <v>559</v>
      </c>
    </row>
    <row r="2" spans="1:5" x14ac:dyDescent="0.25">
      <c r="A2" t="s">
        <v>548</v>
      </c>
      <c r="B2" s="85" t="s">
        <v>546</v>
      </c>
      <c r="C2" s="85" t="s">
        <v>548</v>
      </c>
      <c r="D2">
        <v>8.5000000000000006E-3</v>
      </c>
      <c r="E2" s="85"/>
    </row>
    <row r="3" spans="1:5" x14ac:dyDescent="0.25">
      <c r="A3" t="s">
        <v>549</v>
      </c>
      <c r="B3" s="85" t="s">
        <v>546</v>
      </c>
      <c r="C3" s="85" t="s">
        <v>549</v>
      </c>
      <c r="D3">
        <v>1.0999999999999999E-2</v>
      </c>
      <c r="E3" s="85"/>
    </row>
    <row r="4" spans="1:5" x14ac:dyDescent="0.25">
      <c r="A4" t="s">
        <v>550</v>
      </c>
      <c r="B4" s="85" t="s">
        <v>546</v>
      </c>
      <c r="C4" s="85" t="s">
        <v>550</v>
      </c>
      <c r="D4">
        <v>1.0999999999999999E-2</v>
      </c>
      <c r="E4" s="85"/>
    </row>
    <row r="5" spans="1:5" x14ac:dyDescent="0.25">
      <c r="A5" t="s">
        <v>551</v>
      </c>
      <c r="B5" s="85" t="s">
        <v>546</v>
      </c>
      <c r="C5" s="85" t="s">
        <v>551</v>
      </c>
      <c r="D5">
        <v>0</v>
      </c>
      <c r="E5" s="8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B7"/>
  <sheetViews>
    <sheetView workbookViewId="0"/>
  </sheetViews>
  <sheetFormatPr defaultRowHeight="15" x14ac:dyDescent="0.25"/>
  <cols>
    <col min="1" max="1" width="43.7109375" bestFit="1" customWidth="1"/>
    <col min="2" max="2" width="14.85546875" bestFit="1" customWidth="1"/>
  </cols>
  <sheetData>
    <row r="1" spans="1:2" x14ac:dyDescent="0.25">
      <c r="A1" t="s">
        <v>485</v>
      </c>
      <c r="B1" t="s">
        <v>168</v>
      </c>
    </row>
    <row r="2" spans="1:2" x14ac:dyDescent="0.25">
      <c r="A2" t="s">
        <v>172</v>
      </c>
      <c r="B2">
        <v>1.7999999999999999E-2</v>
      </c>
    </row>
    <row r="3" spans="1:2" x14ac:dyDescent="0.25">
      <c r="A3" t="s">
        <v>173</v>
      </c>
      <c r="B3">
        <v>1.7500000000000002E-2</v>
      </c>
    </row>
    <row r="4" spans="1:2" x14ac:dyDescent="0.25">
      <c r="A4" t="s">
        <v>174</v>
      </c>
      <c r="B4">
        <v>1.9E-2</v>
      </c>
    </row>
    <row r="5" spans="1:2" x14ac:dyDescent="0.25">
      <c r="A5" t="s">
        <v>175</v>
      </c>
      <c r="B5">
        <v>1.95E-2</v>
      </c>
    </row>
    <row r="6" spans="1:2" x14ac:dyDescent="0.25">
      <c r="A6" t="s">
        <v>176</v>
      </c>
      <c r="B6">
        <v>2.1499999999999998E-2</v>
      </c>
    </row>
    <row r="7" spans="1:2" x14ac:dyDescent="0.25">
      <c r="A7" t="s">
        <v>177</v>
      </c>
      <c r="B7">
        <v>2.9499999999999998E-2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B3"/>
  <sheetViews>
    <sheetView workbookViewId="0"/>
  </sheetViews>
  <sheetFormatPr defaultRowHeight="15" x14ac:dyDescent="0.25"/>
  <cols>
    <col min="1" max="1" width="35" bestFit="1" customWidth="1"/>
    <col min="2" max="2" width="14.85546875" bestFit="1" customWidth="1"/>
  </cols>
  <sheetData>
    <row r="1" spans="1:2" x14ac:dyDescent="0.25">
      <c r="A1" t="s">
        <v>486</v>
      </c>
      <c r="B1" t="s">
        <v>168</v>
      </c>
    </row>
    <row r="2" spans="1:2" x14ac:dyDescent="0.25">
      <c r="A2" t="s">
        <v>170</v>
      </c>
      <c r="B2">
        <v>1.7500000000000002E-2</v>
      </c>
    </row>
    <row r="3" spans="1:2" x14ac:dyDescent="0.25">
      <c r="A3" t="s">
        <v>171</v>
      </c>
      <c r="B3">
        <v>1.9E-2</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B2"/>
  <sheetViews>
    <sheetView workbookViewId="0"/>
  </sheetViews>
  <sheetFormatPr defaultRowHeight="15" x14ac:dyDescent="0.25"/>
  <cols>
    <col min="1" max="1" width="23" bestFit="1" customWidth="1"/>
    <col min="2" max="2" width="14.85546875" bestFit="1" customWidth="1"/>
  </cols>
  <sheetData>
    <row r="1" spans="1:2" x14ac:dyDescent="0.25">
      <c r="A1" t="s">
        <v>487</v>
      </c>
      <c r="B1" t="s">
        <v>168</v>
      </c>
    </row>
    <row r="2" spans="1:2" x14ac:dyDescent="0.25">
      <c r="A2" t="s">
        <v>41</v>
      </c>
      <c r="B2">
        <v>1.4999999999999999E-2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782324-C439-4C55-B219-E88DE9E38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Menu</vt:lpstr>
      <vt:lpstr>Retail_Report</vt:lpstr>
      <vt:lpstr>US$_Report</vt:lpstr>
      <vt:lpstr>Broker_Report</vt:lpstr>
      <vt:lpstr>Report_OLD</vt:lpstr>
      <vt:lpstr>TD_rates</vt:lpstr>
      <vt:lpstr>RBC_rates</vt:lpstr>
      <vt:lpstr>Sheet10</vt:lpstr>
      <vt:lpstr>Sheet9</vt:lpstr>
      <vt:lpstr>Sheet8</vt:lpstr>
      <vt:lpstr>Sheet7</vt:lpstr>
      <vt:lpstr>Sheet6</vt:lpstr>
      <vt:lpstr>CT_rates</vt:lpstr>
      <vt:lpstr>Simplii_rates</vt:lpstr>
      <vt:lpstr>ICICI_rates</vt:lpstr>
      <vt:lpstr>NBC_rates</vt:lpstr>
      <vt:lpstr>Manulife_rates</vt:lpstr>
      <vt:lpstr>BNS_rates</vt:lpstr>
      <vt:lpstr>BMO_rates</vt:lpstr>
      <vt:lpstr>B2B_rates</vt:lpstr>
      <vt:lpstr>Sheet4</vt:lpstr>
      <vt:lpstr>Sheet3</vt:lpstr>
      <vt:lpstr>Sheet2</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2018-07-30T18:44:00Z</dcterms:modified>
  <cp:category/>
  <cp:contentStatus/>
</cp:coreProperties>
</file>