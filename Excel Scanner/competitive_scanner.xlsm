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tables/table31.xml" ContentType="application/vnd.openxmlformats-officedocument.spreadsheetml.table+xml"/>
  <Override PartName="/xl/queryTables/queryTable30.xml" ContentType="application/vnd.openxmlformats-officedocument.spreadsheetml.queryTable+xml"/>
  <Override PartName="/xl/tables/table32.xml" ContentType="application/vnd.openxmlformats-officedocument.spreadsheetml.table+xml"/>
  <Override PartName="/xl/queryTables/queryTable31.xml" ContentType="application/vnd.openxmlformats-officedocument.spreadsheetml.queryTable+xml"/>
  <Override PartName="/xl/tables/table33.xml" ContentType="application/vnd.openxmlformats-officedocument.spreadsheetml.table+xml"/>
  <Override PartName="/xl/queryTables/queryTable32.xml" ContentType="application/vnd.openxmlformats-officedocument.spreadsheetml.queryTable+xml"/>
  <Override PartName="/xl/tables/table34.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smitsean\source\repos\Competitive-Tracker\competitive-tracker\Excel Scanner\"/>
    </mc:Choice>
  </mc:AlternateContent>
  <xr:revisionPtr revIDLastSave="0" documentId="10_ncr:100000_{A3668370-E03B-4A43-A400-8AD495CA0500}" xr6:coauthVersionLast="31" xr6:coauthVersionMax="35" xr10:uidLastSave="{00000000-0000-0000-0000-000000000000}"/>
  <bookViews>
    <workbookView xWindow="0" yWindow="0" windowWidth="22260" windowHeight="12645" tabRatio="782" activeTab="4"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18" r:id="rId9"/>
    <sheet name="RBC_rates" sheetId="11" r:id="rId10"/>
    <sheet name="Sheet10" sheetId="10" r:id="rId11"/>
    <sheet name="Sheet9" sheetId="9" r:id="rId12"/>
    <sheet name="Sheet8" sheetId="8" r:id="rId13"/>
    <sheet name="Sheet7" sheetId="7" r:id="rId14"/>
    <sheet name="Sheet6" sheetId="6" r:id="rId15"/>
    <sheet name="Simplii_rates" sheetId="20" r:id="rId16"/>
    <sheet name="ICICI_rates" sheetId="21" r:id="rId17"/>
    <sheet name="NBC_rates" sheetId="22" r:id="rId18"/>
    <sheet name="Manulife_rates" sheetId="23" r:id="rId19"/>
    <sheet name="HSBC_rates" sheetId="32" r:id="rId20"/>
    <sheet name="CT_rates" sheetId="5" r:id="rId21"/>
    <sheet name="B2B_rates" sheetId="28" r:id="rId22"/>
    <sheet name="Meridian_rates" sheetId="33" r:id="rId23"/>
    <sheet name="Altamira_rates" sheetId="37" r:id="rId24"/>
  </sheets>
  <functionGroups builtInGroupCount="19"/>
  <definedNames>
    <definedName name="ExternalData_1" localSheetId="23" hidden="1">Altamira_rates!$A$1:$F$12</definedName>
    <definedName name="ExternalData_1" localSheetId="21" hidden="1">B2B_rates!$B$1:$E$5</definedName>
    <definedName name="ExternalData_1" localSheetId="7" hidden="1">BMO_rates!$B$10:$C$12</definedName>
    <definedName name="ExternalData_1" localSheetId="8" hidden="1">BNS_rates!$B$16:$D$18</definedName>
    <definedName name="ExternalData_1" localSheetId="20" hidden="1">CT_rates!$A$1:$B$2</definedName>
    <definedName name="ExternalData_1" localSheetId="19" hidden="1">HSBC_rates!$A$1:$B$5</definedName>
    <definedName name="ExternalData_1" localSheetId="16" hidden="1">ICICI_rates!$B$2:$D$9</definedName>
    <definedName name="ExternalData_1" localSheetId="18" hidden="1">Manulife_rates!$B$1:$E$81</definedName>
    <definedName name="ExternalData_1" localSheetId="22" hidden="1">Meridian_rates!$A$1:$C$5</definedName>
    <definedName name="ExternalData_1" localSheetId="17" hidden="1">NBC_rates!$B$1:$D$30</definedName>
    <definedName name="ExternalData_1" localSheetId="15" hidden="1">Simplii_rates!$B$1:$C$58</definedName>
    <definedName name="ExternalData_1" localSheetId="6" hidden="1">TD_rates!$A$2:$B$27</definedName>
    <definedName name="ExternalData_10" localSheetId="9" hidden="1">RBC_rates!$B$1:$D$22</definedName>
    <definedName name="ExternalData_11" localSheetId="9" hidden="1">RBC_rates!$B$33:$D$39</definedName>
    <definedName name="ExternalData_12" localSheetId="6" hidden="1">TD_rates!$A$29:$E$34</definedName>
    <definedName name="ExternalData_13" localSheetId="6" hidden="1">TD_rates!$A$39:$B$57</definedName>
    <definedName name="ExternalData_2" localSheetId="8" hidden="1">BNS_rates!$B$20:$C$27</definedName>
    <definedName name="ExternalData_2" localSheetId="5" hidden="1">CIBC_rates!$B$1:$C$17</definedName>
    <definedName name="ExternalData_2" localSheetId="16" hidden="1">ICICI_rates!$B$12:$F$17</definedName>
    <definedName name="ExternalData_2" localSheetId="18" hidden="1">Manulife_rates!$B$82:$D$83</definedName>
    <definedName name="ExternalData_3" localSheetId="16" hidden="1">ICICI_rates!$B$20:$F$33</definedName>
    <definedName name="ExternalData_5" localSheetId="16" hidden="1">ICICI_rates!$B$37:$D$42</definedName>
    <definedName name="ExternalData_5" localSheetId="14" hidden="1">Sheet6!$A$1:$B$2</definedName>
    <definedName name="ExternalData_6" localSheetId="16" hidden="1">ICICI_rates!$B$45:$D$46</definedName>
    <definedName name="ExternalData_6" localSheetId="13" hidden="1">Sheet7!$A$1:$B$10</definedName>
    <definedName name="ExternalData_7" localSheetId="16" hidden="1">ICICI_rates!$B$48:$D$53</definedName>
    <definedName name="ExternalData_7" localSheetId="12" hidden="1">Sheet8!$A$1:$B$6</definedName>
    <definedName name="ExternalData_8" localSheetId="16" hidden="1">ICICI_rates!$B$56:$D$65</definedName>
    <definedName name="ExternalData_8" localSheetId="11" hidden="1">Sheet9!$A$1:$B$2</definedName>
    <definedName name="ExternalData_9" localSheetId="10" hidden="1">Sheet10!$A$1:$B$6</definedName>
    <definedName name="moneymaster" localSheetId="8">BNS_rates!$A$8</definedName>
    <definedName name="mpsa" localSheetId="8">BNS_rates!$A$2</definedName>
    <definedName name="Query___BMO___SBA_SSA_PRSA" localSheetId="7" hidden="1">BMO_rates!$B$1:$C$8</definedName>
    <definedName name="Query___BNS___MPS_MM_SA" localSheetId="8" hidden="1">BNS_rates!$B$1:$E$14</definedName>
    <definedName name="Query___RBC___US__High_Interest_eSavings™" localSheetId="9" hidden="1">RBC_rates!$B$26:$C$27</definedName>
    <definedName name="Query___RBC___US__Personal™_Account" localSheetId="9" hidden="1">RBC_rates!$B$30:$C$31</definedName>
    <definedName name="ssaa" localSheetId="8">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24" l="1"/>
  <c r="AA11" i="24" l="1"/>
  <c r="Z11" i="24"/>
  <c r="Y11" i="24"/>
  <c r="X12" i="24"/>
  <c r="X13" i="24" s="1"/>
  <c r="X14" i="24" s="1"/>
  <c r="X15" i="24" s="1"/>
  <c r="X16" i="24" s="1"/>
  <c r="X17" i="24" s="1"/>
  <c r="X18" i="24" s="1"/>
  <c r="X19" i="24" s="1"/>
  <c r="X20" i="24" s="1"/>
  <c r="X21" i="24" s="1"/>
  <c r="W13" i="24"/>
  <c r="W12" i="24" s="1"/>
  <c r="W11" i="24" s="1"/>
  <c r="W15" i="24"/>
  <c r="W14" i="24" s="1"/>
  <c r="W16" i="24"/>
  <c r="W17" i="24"/>
  <c r="W18" i="24" s="1"/>
  <c r="W19" i="24" s="1"/>
  <c r="W20" i="24" s="1"/>
  <c r="W21" i="24" s="1"/>
  <c r="V11" i="24"/>
  <c r="U18" i="24"/>
  <c r="U17" i="24" s="1"/>
  <c r="U16" i="24" s="1"/>
  <c r="U15" i="24" s="1"/>
  <c r="U14" i="24" s="1"/>
  <c r="U13" i="24" s="1"/>
  <c r="U12" i="24" s="1"/>
  <c r="U11" i="24" s="1"/>
  <c r="U21" i="24"/>
  <c r="T11" i="24"/>
  <c r="R21" i="24" l="1"/>
  <c r="R20" i="24" s="1"/>
  <c r="R19" i="24" s="1"/>
  <c r="R18" i="24" s="1"/>
  <c r="R17" i="24" s="1"/>
  <c r="R16" i="24" s="1"/>
  <c r="R15" i="24" s="1"/>
  <c r="R14" i="24" s="1"/>
  <c r="R13" i="24" s="1"/>
  <c r="R12" i="24" s="1"/>
  <c r="R11" i="24" s="1"/>
  <c r="Q21" i="24"/>
  <c r="Q20" i="24"/>
  <c r="Q12" i="24"/>
  <c r="Q13" i="24"/>
  <c r="Q14" i="24"/>
  <c r="Q15" i="24"/>
  <c r="Q16" i="24" s="1"/>
  <c r="Q17" i="24" s="1"/>
  <c r="Q18" i="24" s="1"/>
  <c r="Q19" i="24" s="1"/>
  <c r="P21" i="24"/>
  <c r="P20" i="24"/>
  <c r="P19" i="24"/>
  <c r="P18" i="24"/>
  <c r="P17" i="24" s="1"/>
  <c r="P16" i="24" s="1"/>
  <c r="P15" i="24" s="1"/>
  <c r="P14" i="24" s="1"/>
  <c r="P13" i="24" s="1"/>
  <c r="P12" i="24" s="1"/>
  <c r="P11" i="24" s="1"/>
  <c r="O11" i="24"/>
  <c r="O12" i="24"/>
  <c r="O13" i="24"/>
  <c r="O14" i="24"/>
  <c r="O16" i="24"/>
  <c r="O15" i="24" s="1"/>
  <c r="O17" i="24"/>
  <c r="O18" i="24"/>
  <c r="O19" i="24"/>
  <c r="O20" i="24" s="1"/>
  <c r="O21" i="24" s="1"/>
  <c r="M11" i="24"/>
  <c r="M18" i="24"/>
  <c r="M17" i="24" s="1"/>
  <c r="M16" i="24" s="1"/>
  <c r="M15" i="24" s="1"/>
  <c r="M14" i="24" s="1"/>
  <c r="M13" i="24" s="1"/>
  <c r="M12" i="24" s="1"/>
  <c r="M19" i="24"/>
  <c r="L18" i="24"/>
  <c r="L17" i="24" s="1"/>
  <c r="L16" i="24" s="1"/>
  <c r="L15" i="24" s="1"/>
  <c r="L14" i="24" s="1"/>
  <c r="L13" i="24" s="1"/>
  <c r="L12" i="24" s="1"/>
  <c r="L11" i="24" s="1"/>
  <c r="L19" i="24"/>
  <c r="L20" i="24" s="1"/>
  <c r="L21" i="24" s="1"/>
  <c r="K11" i="24"/>
  <c r="J14" i="24" l="1"/>
  <c r="J13" i="24" s="1"/>
  <c r="J12" i="24" s="1"/>
  <c r="J11" i="24" s="1"/>
  <c r="J15" i="24"/>
  <c r="J16" i="24" s="1"/>
  <c r="J17" i="24" s="1"/>
  <c r="J18" i="24" s="1"/>
  <c r="J19" i="24" s="1"/>
  <c r="J20" i="24" s="1"/>
  <c r="J21" i="24" s="1"/>
  <c r="I18" i="24"/>
  <c r="I21" i="24"/>
  <c r="I20" i="24" s="1"/>
  <c r="I19" i="24" s="1"/>
  <c r="H12" i="24"/>
  <c r="H11" i="24"/>
  <c r="G14" i="24"/>
  <c r="G13" i="24" s="1"/>
  <c r="G12" i="24" s="1"/>
  <c r="G11" i="24" s="1"/>
  <c r="G16" i="24"/>
  <c r="G15" i="24" s="1"/>
  <c r="G17" i="24"/>
  <c r="G18" i="24"/>
  <c r="G21" i="24"/>
  <c r="G20" i="24" s="1"/>
  <c r="G19" i="24" s="1"/>
  <c r="F14" i="24"/>
  <c r="F13" i="24" s="1"/>
  <c r="F12" i="24" s="1"/>
  <c r="F11" i="24" s="1"/>
  <c r="F16" i="24"/>
  <c r="F15" i="24" s="1"/>
  <c r="F17" i="24"/>
  <c r="F18" i="24"/>
  <c r="F21" i="24"/>
  <c r="F20" i="24" s="1"/>
  <c r="F19" i="24" s="1"/>
  <c r="E14" i="24"/>
  <c r="E13" i="24" s="1"/>
  <c r="E12" i="24" s="1"/>
  <c r="E11" i="24" s="1"/>
  <c r="E16" i="24"/>
  <c r="E15" i="24" s="1"/>
  <c r="E17" i="24"/>
  <c r="E18" i="24"/>
  <c r="E20" i="24"/>
  <c r="E19" i="24" s="1"/>
  <c r="E21" i="24"/>
  <c r="C19" i="24"/>
  <c r="C18" i="24" s="1"/>
  <c r="C17" i="24" s="1"/>
  <c r="C16" i="24" s="1"/>
  <c r="C15" i="24" s="1"/>
  <c r="C14" i="24" s="1"/>
  <c r="C13" i="24" s="1"/>
  <c r="C12" i="24" s="1"/>
  <c r="C11" i="24" s="1"/>
  <c r="B18" i="24"/>
  <c r="B17" i="24" s="1"/>
  <c r="B16" i="24" s="1"/>
  <c r="B15" i="24" s="1"/>
  <c r="B14" i="24" s="1"/>
  <c r="B13" i="24" s="1"/>
  <c r="B12" i="24" s="1"/>
  <c r="B11" i="24" s="1"/>
  <c r="I17" i="24" l="1"/>
  <c r="I16" i="24" s="1"/>
  <c r="I15" i="24" s="1"/>
  <c r="I14" i="24" s="1"/>
  <c r="I13" i="24" s="1"/>
  <c r="I12" i="24" s="1"/>
  <c r="I11" i="24" s="1"/>
  <c r="D11" i="24"/>
  <c r="C20" i="24"/>
  <c r="C21" i="24" s="1"/>
  <c r="N11" i="24" l="1"/>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s="1"/>
  <c r="U20" i="24"/>
  <c r="AB18" i="24"/>
  <c r="AB19" i="24"/>
  <c r="AB20" i="24"/>
  <c r="AB21" i="24"/>
  <c r="V14" i="24"/>
  <c r="V15" i="24" s="1"/>
  <c r="V16" i="24" s="1"/>
  <c r="V17" i="24" s="1"/>
  <c r="V18" i="24" s="1"/>
  <c r="V19" i="24" s="1"/>
  <c r="V20" i="24" s="1"/>
  <c r="V21" i="24" s="1"/>
  <c r="S14" i="24"/>
  <c r="S15" i="24"/>
  <c r="S16" i="24"/>
  <c r="S17" i="24"/>
  <c r="S18" i="24"/>
  <c r="S19" i="24"/>
  <c r="S20" i="24"/>
  <c r="S21" i="24"/>
  <c r="H13" i="24"/>
  <c r="H14" i="24" s="1"/>
  <c r="H15" i="24" s="1"/>
  <c r="H16" i="24" s="1"/>
  <c r="H17" i="24" s="1"/>
  <c r="H18" i="24" s="1"/>
  <c r="H19" i="24" s="1"/>
  <c r="H20" i="24" s="1"/>
  <c r="H21" i="24" s="1"/>
  <c r="AB12" i="24"/>
  <c r="AB13" i="24"/>
  <c r="AB14" i="24"/>
  <c r="AB15" i="24"/>
  <c r="AB16" i="24"/>
  <c r="AA12" i="24"/>
  <c r="AA13" i="24" s="1"/>
  <c r="AA14" i="24" s="1"/>
  <c r="AA15" i="24" s="1"/>
  <c r="AA16" i="24" s="1"/>
  <c r="AA17" i="24" s="1"/>
  <c r="AA18" i="24" s="1"/>
  <c r="AA19" i="24" s="1"/>
  <c r="AA20" i="24" s="1"/>
  <c r="AA21" i="24" s="1"/>
  <c r="Z12" i="24"/>
  <c r="Z13" i="24" s="1"/>
  <c r="Z14" i="24" s="1"/>
  <c r="Z15" i="24" s="1"/>
  <c r="Z16" i="24" s="1"/>
  <c r="Z17" i="24" s="1"/>
  <c r="Z18" i="24" s="1"/>
  <c r="Z19" i="24" s="1"/>
  <c r="Z20" i="24" s="1"/>
  <c r="Z21" i="24" s="1"/>
  <c r="Y12" i="24"/>
  <c r="Y13" i="24" s="1"/>
  <c r="Y14" i="24" s="1"/>
  <c r="Y15" i="24" s="1"/>
  <c r="Y16" i="24" s="1"/>
  <c r="Y17" i="24" s="1"/>
  <c r="Y18" i="24" s="1"/>
  <c r="Y19" i="24" s="1"/>
  <c r="Y20" i="24" s="1"/>
  <c r="Y21" i="24" s="1"/>
  <c r="V12" i="24"/>
  <c r="V13" i="24" s="1"/>
  <c r="T12" i="24"/>
  <c r="T13" i="24" s="1"/>
  <c r="T14" i="24" s="1"/>
  <c r="T15" i="24" s="1"/>
  <c r="T16" i="24" s="1"/>
  <c r="T17" i="24" s="1"/>
  <c r="T18" i="24" s="1"/>
  <c r="T19" i="24" s="1"/>
  <c r="T20" i="24" s="1"/>
  <c r="T21" i="24" s="1"/>
  <c r="S12" i="24"/>
  <c r="S13" i="24"/>
  <c r="N12" i="24"/>
  <c r="N13" i="24" s="1"/>
  <c r="N14" i="24" s="1"/>
  <c r="N15" i="24" s="1"/>
  <c r="N16" i="24" s="1"/>
  <c r="N17" i="24" s="1"/>
  <c r="N18" i="24" s="1"/>
  <c r="N19" i="24" s="1"/>
  <c r="N20" i="24" s="1"/>
  <c r="N21" i="24" s="1"/>
  <c r="K12" i="24"/>
  <c r="K13" i="24" s="1"/>
  <c r="K14" i="24" s="1"/>
  <c r="K15" i="24" s="1"/>
  <c r="K16" i="24" s="1"/>
  <c r="K17" i="24" s="1"/>
  <c r="K18" i="24" s="1"/>
  <c r="K19" i="24" s="1"/>
  <c r="K20" i="24" s="1"/>
  <c r="K21" i="24" s="1"/>
  <c r="D12" i="24"/>
  <c r="D13" i="24" s="1"/>
  <c r="D14" i="24" s="1"/>
  <c r="D15" i="24" s="1"/>
  <c r="D16" i="24" s="1"/>
  <c r="D17" i="24" s="1"/>
  <c r="D18" i="24" s="1"/>
  <c r="D19" i="24" s="1"/>
  <c r="D20" i="24" s="1"/>
  <c r="D2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BMO - SBA_SSA_PRSA;Extended Properties=&quot;&quot;" command="SELECT * FROM [BMO - SBA_SSA_PRSA]"/>
  </connection>
  <connection id="4" xr16:uid="{00000000-0015-0000-FFFF-FFFF03000000}" keepAlive="1" name="Query - BMO US$ Premium Rate Savings Account" description="Connection to the 'BMO US$ Premium Rate Savings Account' query in the workbook." type="5" refreshedVersion="6" background="1" saveData="1">
    <dbPr connection="Provider=Microsoft.Mashup.OleDb.1;Data Source=$Workbook$;Location=BMO US$ Premium Rate Savings Account;Extended Properties=&quot;&quot;" command="SELECT * FROM [BMO US$ Premium Rate Savings Account]"/>
  </connection>
  <connection id="5" xr16:uid="{00000000-0015-0000-FFFF-FFFF04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BNS - MPS_MM_SA;Extended Properties=&quot;&quot;" command="SELECT * FROM [BNS - MPS_MM_SA]"/>
  </connection>
  <connection id="6"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7" xr16:uid="{00000000-0015-0000-FFFF-FFFF06000000}" keepAlive="1" name="Query - CIBC Rates" description="Connection to the 'CIBC Rates' query in the workbook." type="5" refreshedVersion="6" background="1" saveData="1">
    <dbPr connection="Provider=Microsoft.Mashup.OleDb.1;Data Source=$Workbook$;Location=CIBC Rates;Extended Properties=&quot;&quot;" command="SELECT * FROM [CIBC Rates]"/>
  </connection>
  <connection id="8" xr16:uid="{00000000-0015-0000-FFFF-FFFF07000000}" keepAlive="1" name="Query - CT HISA Rates" description="Connection to the 'CT HISA Rates' query in the workbook." type="5" refreshedVersion="6" background="1" saveData="1">
    <dbPr connection="Provider=Microsoft.Mashup.OleDb.1;Data Source=$Workbook$;Location=CT HISA Rates;Extended Properties=&quot;&quot;" command="SELECT * FROM [CT HISA Rates]"/>
  </connection>
  <connection id="9" xr16:uid="{00000000-0015-0000-FFFF-FFFF08000000}" keepAlive="1" name="Query - Find &amp; Save™" description="Connection to the 'Find &amp; Save™' query in the workbook." type="5" refreshedVersion="6" background="1" saveData="1">
    <dbPr connection="Provider=Microsoft.Mashup.OleDb.1;Data Source=$Workbook$;Location=Find &amp; Save™;Extended Properties=&quot;&quot;" command="SELECT * FROM [Find &amp; Save™]"/>
  </connection>
  <connection id="10"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1" xr16:uid="{00000000-0015-0000-FFFF-FFFF0A000000}" keepAlive="1" name="Query - ICICI Checquing Accounts" description="Connection to the 'ICICI Checquing Accounts' query in the workbook." type="5" refreshedVersion="6" background="1" saveData="1">
    <dbPr connection="Provider=Microsoft.Mashup.OleDb.1;Data Source=$Workbook$;Location=ICICI Checquing Accounts;Extended Properties=&quot;&quot;" command="SELECT * FROM [ICICI Checquing Accounts]"/>
  </connection>
  <connection id="12" xr16:uid="{00000000-0015-0000-FFFF-FFFF0B000000}" keepAlive="1" name="Query - ICICI GICs" description="Connection to the 'ICICI GICs' query in the workbook." type="5" refreshedVersion="6" background="1" saveData="1">
    <dbPr connection="Provider=Microsoft.Mashup.OleDb.1;Data Source=$Workbook$;Location=ICICI GICs;Extended Properties=&quot;&quot;" command="SELECT * FROM [ICICI GICs]"/>
  </connection>
  <connection id="13" xr16:uid="{00000000-0015-0000-FFFF-FFFF0C000000}" keepAlive="1" name="Query - ICICI Prime Rate" description="Connection to the 'ICICI Prime Rate' query in the workbook." type="5" refreshedVersion="6" background="1" saveData="1">
    <dbPr connection="Provider=Microsoft.Mashup.OleDb.1;Data Source=$Workbook$;Location=ICICI Prime Rate;Extended Properties=&quot;&quot;" command="SELECT * FROM [ICICI Prime Rate]"/>
  </connection>
  <connection id="14" xr16:uid="{00000000-0015-0000-FFFF-FFFF0D000000}" keepAlive="1" name="Query - ICICI RSP GIC" description="Connection to the 'ICICI RSP GIC' query in the workbook." type="5" refreshedVersion="6" background="1" saveData="1">
    <dbPr connection="Provider=Microsoft.Mashup.OleDb.1;Data Source=$Workbook$;Location=ICICI RSP GIC;Extended Properties=&quot;&quot;" command="SELECT * FROM [ICICI RSP GIC]"/>
  </connection>
  <connection id="15" xr16:uid="{00000000-0015-0000-FFFF-FFFF0E000000}" keepAlive="1" name="Query - ICICI Tax-Free GIC" description="Connection to the 'ICICI Tax-Free GIC' query in the workbook." type="5" refreshedVersion="6" background="1" saveData="1">
    <dbPr connection="Provider=Microsoft.Mashup.OleDb.1;Data Source=$Workbook$;Location=ICICI Tax-Free GIC;Extended Properties=&quot;&quot;" command="SELECT * FROM [ICICI Tax-Free GIC]"/>
  </connection>
  <connection id="16"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7" xr16:uid="{00000000-0015-0000-FFFF-FFFF10000000}" keepAlive="1" name="Query - Manulife Rates" description="Connection to the 'Manulife Rates' query in the workbook." type="5" refreshedVersion="6" background="1" saveData="1">
    <dbPr connection="Provider=Microsoft.Mashup.OleDb.1;Data Source=$Workbook$;Location=Manulife Rates;Extended Properties=&quot;&quot;" command="SELECT * FROM [Manulife Rates]"/>
  </connection>
  <connection id="18"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19" xr16:uid="{00000000-0015-0000-FFFF-FFFF12000000}" keepAlive="1" name="Query - National Bank Rates" description="Connection to the 'National Bank Rates' query in the workbook." type="5" refreshedVersion="6" background="1" saveData="1">
    <dbPr connection="Provider=Microsoft.Mashup.OleDb.1;Data Source=$Workbook$;Location=National Bank Rates;Extended Properties=&quot;&quot;" command="SELECT * FROM [National Bank Rates]"/>
  </connection>
  <connection id="20" xr16:uid="{00000000-0015-0000-FFFF-FFFF13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21" xr16:uid="{00000000-0015-0000-FFFF-FFFF14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RBC - US$  Personal™ Account;Extended Properties=&quot;&quot;" command="SELECT * FROM [RBC - US$  Personal™ Account]"/>
  </connection>
  <connection id="22" xr16:uid="{00000000-0015-0000-FFFF-FFFF15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RBC - US$ High Interest eSavings™;Extended Properties=&quot;&quot;" command="SELECT * FROM [RBC - US$ High Interest eSavings™]"/>
  </connection>
  <connection id="23" xr16:uid="{00000000-0015-0000-FFFF-FFFF16000000}" keepAlive="1" name="Query - RBC Day to Day Savings®" description="Connection to the 'RBC Day to Day Savings®' query in the workbook." type="5" refreshedVersion="6" background="1" saveData="1">
    <dbPr connection="Provider=Microsoft.Mashup.OleDb.1;Data Source=$Workbook$;Location=RBC Day to Day Savings®;Extended Properties=&quot;&quot;" command="SELECT * FROM [RBC Day to Day Savings®]"/>
  </connection>
  <connection id="24" xr16:uid="{00000000-0015-0000-FFFF-FFFF17000000}" keepAlive="1" name="Query - RBC Enhanced Savings®" description="Connection to the 'RBC Enhanced Savings®' query in the workbook." type="5" refreshedVersion="6" background="1" saveData="1">
    <dbPr connection="Provider=Microsoft.Mashup.OleDb.1;Data Source=$Workbook$;Location=RBC Enhanced Savings®;Extended Properties=&quot;&quot;" command="SELECT * FROM [RBC Enhanced Savings®]"/>
  </connection>
  <connection id="25" xr16:uid="{00000000-0015-0000-FFFF-FFFF18000000}" keepAlive="1" name="Query - RBC High Interest eSavings®" description="Connection to the 'RBC High Interest eSavings®' query in the workbook." type="5" refreshedVersion="6" background="1" saveData="1">
    <dbPr connection="Provider=Microsoft.Mashup.OleDb.1;Data Source=$Workbook$;Location=RBC High Interest eSavings®;Extended Properties=&quot;&quot;" command="SELECT * FROM [RBC High Interest eSavings®]"/>
  </connection>
  <connection id="26" xr16:uid="{00000000-0015-0000-FFFF-FFFF19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7" xr16:uid="{00000000-0015-0000-FFFF-FFFF1A000000}" keepAlive="1" name="Query - RBC Normal Savings" description="Connection to the 'RBC Normal Savings' query in the workbook." type="5" refreshedVersion="6" background="1" saveData="1">
    <dbPr connection="Provider=Microsoft.Mashup.OleDb.1;Data Source=$Workbook$;Location=RBC Normal Savings;Extended Properties=&quot;&quot;" command="SELECT * FROM [RBC Normal Savings]"/>
  </connection>
  <connection id="28" xr16:uid="{00000000-0015-0000-FFFF-FFFF1B000000}" keepAlive="1" name="Query - RBC US$ Investment Savings Account" description="Connection to the 'RBC US$ Investment Savings Account' query in the workbook." type="5" refreshedVersion="6" background="1" saveData="1">
    <dbPr connection="Provider=Microsoft.Mashup.OleDb.1;Data Source=$Workbook$;Location=RBC US$ Investment Savings Account;Extended Properties=&quot;&quot;" command="SELECT * FROM [RBC US$ Investment Savings Account]"/>
  </connection>
  <connection id="29" xr16:uid="{00000000-0015-0000-FFFF-FFFF1C000000}" keepAlive="1" name="Query - RSP Savings Account" description="Connection to the 'RSP Savings Account' query in the workbook." type="5" refreshedVersion="6" background="1" saveData="1">
    <dbPr connection="Provider=Microsoft.Mashup.OleDb.1;Data Source=$Workbook$;Location=RSP Savings Account;Extended Properties=&quot;&quot;" command="SELECT * FROM [RSP Savings Account]"/>
  </connection>
  <connection id="30" xr16:uid="{00000000-0015-0000-FFFF-FFFF1D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31" xr16:uid="{00000000-0015-0000-FFFF-FFFF1E000000}" keepAlive="1" name="Query - Scotia US Dollar Daily Interest Account" description="Connection to the 'Scotia US Dollar Daily Interest Account' query in the workbook." type="5" refreshedVersion="6" background="1" saveData="1">
    <dbPr connection="Provider=Microsoft.Mashup.OleDb.1;Data Source=$Workbook$;Location=Scotia US Dollar Daily Interest Account;Extended Properties=&quot;&quot;" command="SELECT * FROM [Scotia US Dollar Daily Interest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3" xr16:uid="{00000000-0015-0000-FFFF-FFFF20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34" xr16:uid="{00000000-0015-0000-FFFF-FFFF21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5" xr16:uid="{00000000-0015-0000-FFFF-FFFF22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6" xr16:uid="{00000000-0015-0000-FFFF-FFFF23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7"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8" xr16:uid="{00000000-0015-0000-FFFF-FFFF25000000}" keepAlive="1" name="Query - TD Rate Retail" description="Connection to the 'TD Rate Retail' query in the workbook." type="5" refreshedVersion="6" background="1" saveData="1">
    <dbPr connection="Provider=Microsoft.Mashup.OleDb.1;Data Source=$Workbook$;Location=TD Rate Retail;Extended Properties=&quot;&quot;" command="SELECT * FROM [TD Rate Retail]"/>
  </connection>
  <connection id="39"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s>
</file>

<file path=xl/sharedStrings.xml><?xml version="1.0" encoding="utf-8"?>
<sst xmlns="http://schemas.openxmlformats.org/spreadsheetml/2006/main" count="1266" uniqueCount="658">
  <si>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</si>
  <si>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</si>
  <si>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</si>
  <si>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</si>
  <si>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</si>
  <si>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</si>
  <si>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</si>
  <si>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</si>
  <si>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</si>
  <si>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</si>
  <si>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</si>
  <si>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</si>
  <si>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</si>
  <si>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</si>
  <si>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</si>
  <si>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</si>
  <si>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</si>
  <si>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</si>
  <si>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</si>
  <si>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</si>
  <si>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</si>
  <si>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</si>
  <si>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</si>
  <si>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</si>
  <si>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</si>
  <si>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</si>
  <si>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</si>
  <si>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</si>
  <si>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</si>
  <si>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</si>
  <si>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</si>
  <si>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</si>
  <si>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</si>
  <si>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</si>
  <si>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</si>
  <si>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</si>
  <si>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</si>
  <si>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</si>
  <si>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</si>
  <si>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</si>
  <si>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</si>
  <si>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</si>
  <si>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</si>
  <si>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</si>
  <si>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</si>
  <si>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</si>
  <si>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 xml:space="preserve">150,000 - $249,999 </t>
  </si>
  <si>
    <t xml:space="preserve">100,000 - $149,999 </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</si>
  <si>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</si>
  <si>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</si>
  <si>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</si>
  <si>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</si>
  <si>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</si>
  <si>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</si>
  <si>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</si>
  <si>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</si>
  <si>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</si>
  <si>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</si>
  <si>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</si>
  <si>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</si>
  <si>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</si>
  <si>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</si>
  <si>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</si>
  <si>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</si>
  <si>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</si>
  <si>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</si>
  <si>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</si>
  <si>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</si>
  <si>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</si>
  <si>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</si>
  <si>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</si>
  <si>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</si>
  <si>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</si>
  <si>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</si>
  <si>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</si>
  <si>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</si>
  <si>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</si>
  <si>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</si>
  <si>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</si>
  <si>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</si>
  <si>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</si>
  <si>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</si>
  <si>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</si>
  <si>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</si>
  <si>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</si>
  <si>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</si>
  <si>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</si>
  <si>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</si>
  <si>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</si>
  <si>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</si>
  <si>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</si>
  <si>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</si>
  <si>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</si>
  <si>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</si>
  <si>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</si>
  <si>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</si>
  <si>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</si>
  <si>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</si>
  <si>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</si>
  <si>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</si>
  <si>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</si>
  <si>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</si>
  <si>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</si>
  <si>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</si>
  <si>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</si>
  <si>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</si>
  <si>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Rate</t>
  </si>
  <si>
    <t>RBC High Interest eSavings</t>
  </si>
  <si>
    <t>RBC Enhanced Savings</t>
  </si>
  <si>
    <t>RBC Day to Day Savings</t>
  </si>
  <si>
    <t>RBC Leo's Young Savers Account</t>
  </si>
  <si>
    <t>GICs</t>
  </si>
  <si>
    <t>Column1</t>
  </si>
  <si>
    <t>Column2</t>
  </si>
  <si>
    <t>Column3</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</si>
  <si>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</si>
  <si>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</si>
  <si>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</si>
  <si>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</si>
  <si>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</si>
  <si>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</si>
  <si>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</si>
  <si>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</si>
  <si>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</si>
  <si>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</si>
  <si>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</si>
  <si>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</si>
  <si>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</si>
  <si>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</si>
  <si>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</si>
  <si>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</si>
  <si>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</si>
  <si>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</si>
  <si>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</si>
  <si>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</si>
  <si>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</si>
  <si>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</si>
  <si>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</si>
  <si>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</si>
  <si>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</si>
  <si>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</si>
  <si>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</si>
  <si>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</si>
  <si>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</si>
  <si>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</si>
  <si>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1 Year</t>
  </si>
  <si>
    <t>2 Year</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</si>
  <si>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</si>
  <si>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</si>
  <si>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</si>
  <si>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</si>
  <si>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</si>
  <si>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</si>
  <si>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</si>
  <si>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</si>
  <si>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</si>
  <si>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</si>
  <si>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</si>
  <si>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</si>
  <si>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</si>
  <si>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</si>
  <si>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</si>
  <si>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</si>
  <si>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</si>
  <si>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</si>
  <si>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</si>
  <si>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</si>
  <si>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Variable Rate Mortgages</t>
  </si>
  <si>
    <t>Term</t>
  </si>
  <si>
    <t>Posted Rate %</t>
  </si>
  <si>
    <t>5 year</t>
  </si>
  <si>
    <t>3.70</t>
  </si>
  <si>
    <t>Fixed Rate Mortgages</t>
  </si>
  <si>
    <t>2 year</t>
  </si>
  <si>
    <t>3 year</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</si>
  <si>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</si>
  <si>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</si>
  <si>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</si>
  <si>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</si>
  <si>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</si>
  <si>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</si>
  <si>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</si>
  <si>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</si>
  <si>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</si>
  <si>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</si>
  <si>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</si>
  <si>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</si>
  <si>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</si>
  <si>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</si>
  <si>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</si>
  <si>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</si>
  <si>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</si>
  <si>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</si>
  <si>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</si>
  <si>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</si>
  <si>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</si>
  <si>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</si>
  <si>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</si>
  <si>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</si>
  <si>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</si>
  <si>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</si>
  <si>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</si>
  <si>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</si>
  <si>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</si>
  <si>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</si>
  <si>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</si>
  <si>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</si>
  <si>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</si>
  <si>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</si>
  <si>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</si>
  <si>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</si>
  <si>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</si>
  <si>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</si>
  <si>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</si>
  <si>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</si>
  <si>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</si>
  <si>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</si>
  <si>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</si>
  <si>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</si>
  <si>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</si>
  <si>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</si>
  <si>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</si>
  <si>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</si>
  <si>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</si>
  <si>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</si>
  <si>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</si>
  <si>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</si>
  <si>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</si>
  <si>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</si>
  <si>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</si>
  <si>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</si>
  <si>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</si>
  <si>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</si>
  <si>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</si>
  <si>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</si>
  <si>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</si>
  <si>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</si>
  <si>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</si>
  <si>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</si>
  <si>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</si>
  <si>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</si>
  <si>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</si>
  <si>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</si>
  <si>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</si>
  <si>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</si>
  <si>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</si>
  <si>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</si>
  <si>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</si>
  <si>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</si>
  <si>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</si>
  <si>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</si>
  <si>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</si>
  <si>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</si>
  <si>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</si>
  <si>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</si>
  <si>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</si>
  <si>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</si>
  <si>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</si>
  <si>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</si>
  <si>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</si>
  <si>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</si>
  <si>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</si>
  <si>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</si>
  <si>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</si>
  <si>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</si>
  <si>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</si>
  <si>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</si>
  <si>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</si>
  <si>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</si>
  <si>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</si>
  <si>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</si>
  <si>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</si>
  <si>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</si>
  <si>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</si>
  <si>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</si>
  <si>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</si>
  <si>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</si>
  <si>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</si>
  <si>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</si>
  <si>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</si>
  <si>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</si>
  <si>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</si>
  <si>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</si>
  <si>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</si>
  <si>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</si>
  <si>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</si>
  <si>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</si>
  <si>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</si>
  <si>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</si>
  <si>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</si>
  <si>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</si>
  <si>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</si>
  <si>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</si>
  <si>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</si>
  <si>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</si>
  <si>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</si>
  <si>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</si>
  <si>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</si>
  <si>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</si>
  <si>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</si>
  <si>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</si>
  <si>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</si>
  <si>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</si>
  <si>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</si>
  <si>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</si>
  <si>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</si>
  <si>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</si>
  <si>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</si>
  <si>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</si>
  <si>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</si>
  <si>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</si>
  <si>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</si>
  <si>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</si>
  <si>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</si>
  <si>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</si>
  <si>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</si>
  <si>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</si>
  <si>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</si>
  <si>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</si>
  <si>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</si>
  <si>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</si>
  <si>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</si>
  <si>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</si>
  <si>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</si>
  <si>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</si>
  <si>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</si>
  <si>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</si>
  <si>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</si>
  <si>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</si>
  <si>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</si>
  <si>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</si>
  <si>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</si>
  <si>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</si>
  <si>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</si>
  <si>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</si>
  <si>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</si>
  <si>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</si>
  <si>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</si>
  <si>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</si>
  <si>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</si>
  <si>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</si>
  <si>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</si>
  <si>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</si>
  <si>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</si>
  <si>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</si>
  <si>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</si>
  <si>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</si>
  <si>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</si>
  <si>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</si>
  <si>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</si>
  <si>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</si>
  <si>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</si>
  <si>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60 - 89 days</t>
  </si>
  <si>
    <t>90 - 179 days</t>
  </si>
  <si>
    <t>180 - 269 days</t>
  </si>
  <si>
    <t>270 - 364 days</t>
  </si>
  <si>
    <t>Guaranteed Investment Certificates (RSP and non-registered)</t>
  </si>
  <si>
    <t>Annual interest</t>
  </si>
  <si>
    <t>Monthly interest</t>
  </si>
  <si>
    <t>Semi-annual interest</t>
  </si>
  <si>
    <t>2.10%</t>
  </si>
  <si>
    <t>3 Year</t>
  </si>
  <si>
    <t>2.75%</t>
  </si>
  <si>
    <t>4 Year</t>
  </si>
  <si>
    <t>2.85%</t>
  </si>
  <si>
    <t>2.80%</t>
  </si>
  <si>
    <t>5 Year</t>
  </si>
  <si>
    <t>2.90%</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</si>
  <si>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</si>
  <si>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</si>
  <si>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</si>
  <si>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</si>
  <si>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</si>
  <si>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</si>
  <si>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</si>
  <si>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</si>
  <si>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</si>
  <si>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</si>
  <si>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</si>
  <si>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</si>
  <si>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</si>
  <si>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</si>
  <si>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</si>
  <si>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</si>
  <si>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</si>
  <si>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</si>
  <si>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</si>
  <si>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</si>
  <si>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</si>
  <si>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</si>
  <si>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</si>
  <si>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</si>
  <si>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</si>
  <si>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</si>
  <si>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</si>
  <si>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</si>
  <si>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</si>
  <si>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</si>
  <si>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</si>
  <si>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</si>
  <si>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</si>
  <si>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</si>
  <si>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</si>
  <si>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</si>
  <si>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</si>
  <si>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</si>
  <si>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</si>
  <si>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</si>
  <si>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</si>
  <si>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</si>
  <si>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</si>
  <si>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</si>
  <si>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</si>
  <si>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</si>
  <si>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</si>
  <si>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</si>
  <si>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</si>
  <si>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</si>
  <si>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</si>
  <si>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</si>
  <si>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</si>
  <si>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</si>
  <si>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</si>
  <si>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</si>
  <si>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</si>
  <si>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</si>
  <si>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</si>
  <si>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</si>
  <si>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</si>
  <si>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</si>
  <si>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</si>
  <si>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</si>
  <si>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</si>
  <si>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</si>
  <si>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</si>
  <si>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</si>
  <si>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</si>
  <si>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</si>
  <si>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</si>
  <si>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</si>
  <si>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</si>
  <si>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</si>
  <si>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</si>
  <si>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</si>
  <si>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</si>
  <si>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</si>
  <si>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</si>
  <si>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</si>
  <si>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</si>
  <si>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</si>
  <si>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</si>
  <si>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</si>
  <si>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</si>
  <si>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</si>
  <si>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</si>
  <si>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</si>
  <si>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</si>
  <si>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</si>
  <si>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</si>
  <si>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</si>
  <si>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</si>
  <si>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</si>
  <si>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</si>
  <si>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</si>
  <si>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</si>
  <si>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</si>
  <si>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</si>
  <si>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</si>
  <si>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</si>
  <si>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</si>
  <si>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</si>
  <si>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</si>
  <si>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</si>
  <si>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</si>
  <si>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</si>
  <si>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</si>
  <si>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</si>
  <si>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</si>
  <si>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</si>
  <si>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</si>
  <si>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</si>
  <si>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</si>
  <si>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</si>
  <si>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</si>
  <si>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</si>
  <si>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</si>
  <si>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</si>
  <si>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</si>
  <si>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</si>
  <si>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</si>
  <si>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</si>
  <si>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</si>
  <si>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</si>
  <si>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</si>
  <si>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</si>
  <si>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</si>
  <si>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</si>
  <si>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</si>
  <si>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</si>
  <si>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</si>
  <si>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</si>
  <si>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</si>
  <si>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</si>
  <si>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</si>
  <si>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</si>
  <si>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</si>
  <si>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</si>
  <si>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</si>
  <si>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3.05%</t>
  </si>
  <si>
    <t>3.10%</t>
  </si>
  <si>
    <t>1.25</t>
  </si>
  <si>
    <t>1.35% A Series_x000D_
BTB 100</t>
  </si>
  <si>
    <t>1.60% F Series²_x000D_
BTB 101</t>
  </si>
  <si>
    <t>0.85%</t>
  </si>
  <si>
    <t>Data.Daily Closing Balance</t>
  </si>
  <si>
    <t>Data.Rate</t>
  </si>
  <si>
    <t>Balance $5,000 or more</t>
  </si>
  <si>
    <t>1.05%</t>
  </si>
  <si>
    <t>Balance up to $2,999,99</t>
  </si>
  <si>
    <t>0.05%</t>
  </si>
  <si>
    <t>Balance $3,000 or more</t>
  </si>
  <si>
    <t>0.10%</t>
  </si>
  <si>
    <t>Portion up to $999.99</t>
  </si>
  <si>
    <t>Portion $1,000 to $4,999.99</t>
  </si>
  <si>
    <t>Portion $5,000 to $24,999.99</t>
  </si>
  <si>
    <t>Portion $25,000 to $59,999.99</t>
  </si>
  <si>
    <t>Portion $60,000 and over</t>
  </si>
  <si>
    <t>0.40%</t>
  </si>
  <si>
    <t>Balance up to $2,999.99</t>
  </si>
  <si>
    <t>Balance $3,000 to $9,999.99</t>
  </si>
  <si>
    <t>Balance $10,000 to $24,999.99</t>
  </si>
  <si>
    <t>Balance $25,000 to $59,999.99</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</si>
  <si>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</si>
  <si>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</si>
  <si>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</si>
  <si>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</si>
  <si>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</si>
  <si>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</si>
  <si>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</si>
  <si>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</si>
  <si>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</si>
  <si>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</si>
  <si>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</si>
  <si>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</si>
  <si>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</si>
  <si>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</si>
  <si>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</si>
  <si>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0.50%</t>
  </si>
  <si>
    <t>$60,000 to $5,000,000.00</t>
  </si>
  <si>
    <t>$5,000,000.01 and over</t>
  </si>
  <si>
    <t>TD ePremium Savings Account2</t>
  </si>
  <si>
    <t>Youth Account3,4</t>
  </si>
  <si>
    <t>$5,000 and over</t>
  </si>
  <si>
    <t>CAD High Rate Savings</t>
  </si>
  <si>
    <t>on the entire balance when your daily closing balance is up to $24,999.99</t>
  </si>
  <si>
    <t>on the entire balance when your daily closing balance is between $25,000 and $49,999.99</t>
  </si>
  <si>
    <t>on the entire balance when your daily closing balance is between $50,000 and $99,999.99</t>
  </si>
  <si>
    <t>On the entire balance when your daily closing balance is $100,000.00 and over</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</si>
  <si>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</si>
  <si>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</si>
  <si>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</si>
  <si>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</si>
  <si>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</si>
  <si>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</si>
  <si>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</si>
  <si>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</si>
  <si>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</si>
  <si>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</si>
  <si>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Competitive Review Webscraper</t>
  </si>
  <si>
    <t>Interest Rates(3)</t>
  </si>
  <si>
    <t>CAD</t>
  </si>
  <si>
    <t>USD</t>
  </si>
  <si>
    <t>Series A</t>
  </si>
  <si>
    <t>1.350% [QA]</t>
  </si>
  <si>
    <t>1.200% [QA]</t>
  </si>
  <si>
    <t>Series F</t>
  </si>
  <si>
    <t>1.600% [QA]</t>
  </si>
  <si>
    <t>1.450% [QA]</t>
  </si>
  <si>
    <t>Corporate Series A</t>
  </si>
  <si>
    <t>Corporate Series F</t>
  </si>
  <si>
    <t>1.300% [QA]</t>
  </si>
  <si>
    <t>Notice Period Series A</t>
  </si>
  <si>
    <t>Notice Period Series F</t>
  </si>
  <si>
    <t>RBC - US$  Investment Savings Account</t>
  </si>
  <si>
    <t>US$ Premium Rate Savings Account</t>
  </si>
  <si>
    <t>Paid on the portion of the balance  within each tier</t>
  </si>
  <si>
    <t>Paid on the portion of the balance _x000D_
within each tier</t>
  </si>
  <si>
    <t>$60,000 or more</t>
  </si>
  <si>
    <t>0.150%</t>
  </si>
  <si>
    <t>0.100%</t>
  </si>
  <si>
    <t>0.025%</t>
  </si>
  <si>
    <t>$1,000 - $4,999</t>
  </si>
  <si>
    <t>0.010%</t>
  </si>
  <si>
    <t>Under $1,000</t>
  </si>
  <si>
    <t>0.000%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</si>
  <si>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</si>
  <si>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</si>
  <si>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</si>
  <si>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</si>
  <si>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</si>
  <si>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</si>
  <si>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</si>
  <si>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</si>
  <si>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</si>
  <si>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</si>
  <si>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</si>
  <si>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</si>
  <si>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</si>
  <si>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</si>
  <si>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</si>
  <si>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</si>
  <si>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</si>
  <si>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</si>
  <si>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</si>
  <si>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</si>
  <si>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</si>
  <si>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</si>
  <si>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</si>
  <si>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</si>
  <si>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</si>
  <si>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</si>
  <si>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</si>
  <si>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</si>
  <si>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</si>
  <si>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1.15%</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</si>
  <si>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</si>
  <si>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</si>
  <si>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</si>
  <si>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</si>
  <si>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</si>
  <si>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</si>
  <si>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</si>
  <si>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</si>
  <si>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</si>
  <si>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</si>
  <si>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</si>
  <si>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</si>
  <si>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</si>
  <si>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</si>
  <si>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1.00%</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</si>
  <si>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</si>
  <si>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</si>
  <si>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</si>
  <si>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</si>
  <si>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</si>
  <si>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</si>
  <si>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</si>
  <si>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</si>
  <si>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</si>
  <si>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</si>
  <si>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</si>
  <si>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</si>
  <si>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</si>
  <si>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3.44</t>
  </si>
  <si>
    <t>3.69</t>
  </si>
  <si>
    <t>2.619</t>
  </si>
  <si>
    <t>2.668</t>
  </si>
  <si>
    <t>3.057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</si>
</sst>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2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1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14" fillId="6" borderId="1" xfId="0" applyFont="1" applyFill="1" applyBorder="1" applyAlignment="1">
      <alignment horizontal="center"/>
    </xf>
    <xf numFmtId="0" fontId="0" fillId="9" borderId="1" xfId="0" applyFill="1" applyBorder="1"/>
    <xf numFmtId="0" fontId="0" fillId="8" borderId="1" xfId="0" applyFill="1" applyBorder="1"/>
    <xf numFmtId="0" fontId="0" fillId="7"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23" xfId="0" applyNumberFormat="1" applyFont="1" applyFill="1" applyBorder="1" applyAlignment="1">
      <alignment horizontal="center"/>
    </xf>
    <xf numFmtId="0" fontId="7" fillId="0" borderId="11" xfId="0" applyFont="1" applyFill="1" applyBorder="1"/>
    <xf numFmtId="0" fontId="9" fillId="0" borderId="11" xfId="0" applyFont="1" applyFill="1" applyBorder="1"/>
    <xf numFmtId="166" fontId="9" fillId="0" borderId="21" xfId="0" applyNumberFormat="1" applyFont="1" applyFill="1" applyBorder="1" applyAlignment="1">
      <alignment horizontal="center"/>
    </xf>
    <xf numFmtId="0" fontId="3" fillId="0" borderId="0" xfId="0" applyFont="1" applyFill="1" applyAlignment="1">
      <alignment horizontal="center"/>
    </xf>
    <xf numFmtId="0" fontId="3" fillId="0" borderId="1" xfId="0" applyFont="1" applyFill="1" applyBorder="1" applyAlignment="1">
      <alignment horizontal="center"/>
    </xf>
    <xf numFmtId="1" fontId="7" fillId="0" borderId="2" xfId="0" applyNumberFormat="1" applyFont="1" applyFill="1" applyBorder="1" applyAlignment="1">
      <alignment horizontal="center"/>
    </xf>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15"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6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8</xdr:row>
          <xdr:rowOff>209550</xdr:rowOff>
        </xdr:from>
        <xdr:to>
          <xdr:col>1</xdr:col>
          <xdr:colOff>1714500</xdr:colOff>
          <xdr:row>8</xdr:row>
          <xdr:rowOff>581025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8</xdr:row>
          <xdr:rowOff>209550</xdr:rowOff>
        </xdr:from>
        <xdr:to>
          <xdr:col>1</xdr:col>
          <xdr:colOff>3390900</xdr:colOff>
          <xdr:row>8</xdr:row>
          <xdr:rowOff>581025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3657600</xdr:colOff>
          <xdr:row>8</xdr:row>
          <xdr:rowOff>209550</xdr:rowOff>
        </xdr:from>
        <xdr:to>
          <xdr:col>1</xdr:col>
          <xdr:colOff>5048250</xdr:colOff>
          <xdr:row>8</xdr:row>
          <xdr:rowOff>581025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2114550</xdr:colOff>
          <xdr:row>5</xdr:row>
          <xdr:rowOff>76200</xdr:rowOff>
        </xdr:from>
        <xdr:to>
          <xdr:col>1</xdr:col>
          <xdr:colOff>3228975</xdr:colOff>
          <xdr:row>5</xdr:row>
          <xdr:rowOff>361950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Scans all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8</xdr:row>
          <xdr:rowOff>781050</xdr:rowOff>
        </xdr:from>
        <xdr:to>
          <xdr:col>1</xdr:col>
          <xdr:colOff>3952875</xdr:colOff>
          <xdr:row>8</xdr:row>
          <xdr:rowOff>1162050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11</xdr:row>
          <xdr:rowOff>161925</xdr:rowOff>
        </xdr:from>
        <xdr:to>
          <xdr:col>1</xdr:col>
          <xdr:colOff>3952875</xdr:colOff>
          <xdr:row>11</xdr:row>
          <xdr:rowOff>771525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4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8" xr16:uid="{00000000-0016-0000-0500-000001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connectionId="37" xr16:uid="{00000000-0016-0000-05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3" connectionId="39" xr16:uid="{00000000-0016-0000-05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600-000004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600-000005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NS - MPS_MM_SA" connectionId="5" xr16:uid="{00000000-0016-0000-0700-000006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700-000007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1" xr16:uid="{00000000-0016-0000-0700-000008000000}"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0000000-0016-0000-0800-000009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22" xr16:uid="{00000000-0016-0000-0800-00000A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21" xr16:uid="{00000000-0016-0000-0800-00000B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28" xr16:uid="{00000000-0016-0000-0800-00000C000000}"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26" xr16:uid="{00000000-0016-0000-0900-00000D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A00-00000E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7" connectionId="23" xr16:uid="{00000000-0016-0000-0B00-00000F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 connectionId="24" xr16:uid="{00000000-0016-0000-0C00-000010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25" xr16:uid="{00000000-0016-0000-0D00-000011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E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0F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connectionId="11" xr16:uid="{00000000-0016-0000-0F00-000014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connectionId="12" xr16:uid="{00000000-0016-0000-0F00-000015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15" xr16:uid="{00000000-0016-0000-0F00-000016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29" xr16:uid="{00000000-0016-0000-0F00-000017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connectionId="14" xr16:uid="{00000000-0016-0000-0F00-000018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0F00-000019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000-00001A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100-00001B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1200-00001C000000}" autoFormatId="16" applyNumberFormats="0" applyBorderFormats="0" applyFontFormats="0" applyPatternFormats="0" applyAlignmentFormats="0" applyWidthHeightFormats="0">
  <queryTableRefresh nextId="3">
    <queryTableFields count="2">
      <queryTableField id="1" name="Amount" tableColumnId="1"/>
      <queryTableField id="2" name="CAD High Rate Savings"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13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400-00001E000000}" autoFormatId="16" applyNumberFormats="0" applyBorderFormats="0" applyFontFormats="0" applyPatternFormats="0" applyAlignmentFormats="0" applyWidthHeightFormats="0">
  <queryTableRefresh nextId="7">
    <queryTableFields count="4">
      <queryTableField id="1" name="Banking Services" tableColumnId="1"/>
      <queryTableField id="2" name="High Interest Investment Account (HIIA)" tableColumnId="2"/>
      <queryTableField id="5" name="1.35% A Series_x000d__x000a__x000a_BTB 100" tableColumnId="3"/>
      <queryTableField id="6" name="1.60% F Series²_x000d__x000a__x000a_BTB 101" tableColumnId="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5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6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36" dataDxfId="35">
  <autoFilter ref="A3:D6" xr:uid="{3B004F2E-6CE8-48E1-A8CC-1DA6CD38B36C}"/>
  <tableColumns count="4">
    <tableColumn id="1" xr3:uid="{19A4ADB4-65C8-405B-8D69-E238ABA928F0}" name="Date" dataDxfId="40"/>
    <tableColumn id="2" xr3:uid="{F6FEA65B-FF28-42C9-8CC9-61F4CED1B86F}" name="Summary of changes" dataDxfId="39"/>
    <tableColumn id="3" xr3:uid="{B7F57500-225B-47B0-ACC8-DA347AD03334}" name="Change Author" dataDxfId="38"/>
    <tableColumn id="4" xr3:uid="{F323205A-8543-43A5-8E3B-3D09061A12DB}" name="Author AD ID" dataDxfId="3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Rates" displayName="CIBC_Rates" ref="B1:C17" tableType="queryTable" totalsRowShown="0">
  <autoFilter ref="B1:C17" xr:uid="{78EB5C95-1C87-4C77-AD3C-94514783811B}"/>
  <tableColumns count="2">
    <tableColumn id="1" xr3:uid="{1805A14F-5D6B-441E-8BC4-691BAF9B7B84}" uniqueName="1" name="Data.Daily Closing Balance" queryTableFieldId="1"/>
    <tableColumn id="2" xr3:uid="{DD1044A9-F59B-46D0-8718-6C3BDE63183C}" uniqueName="2" name="Data.Rat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Rate_Retail" displayName="TD_Rate_Retail" ref="A2:B27" tableType="queryTable" totalsRowShown="0">
  <autoFilter ref="A2:B27" xr:uid="{E85EAF5E-63B2-4399-A916-F370715F6655}"/>
  <tableColumns count="2">
    <tableColumn id="1" xr3:uid="{499B5814-0FBA-48B2-A5EF-D49DD7208A17}" uniqueName="1" name="Column1" queryTableFieldId="1" dataDxfId="34"/>
    <tableColumn id="2" xr3:uid="{199647BA-970A-4531-97DE-0F6B4CE818D0}" uniqueName="2" name="Column2" queryTableFieldId="2"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A29:E34" tableType="queryTable" totalsRowShown="0">
  <autoFilter ref="A29:E34" xr:uid="{444F1D8B-39D1-4A95-A72C-3A111B214915}"/>
  <tableColumns count="5">
    <tableColumn id="1" xr3:uid="{CA448CAE-AEDE-4476-A37A-80F3676BE0D5}" uniqueName="1" name="Account Name" queryTableFieldId="1" dataDxfId="32"/>
    <tableColumn id="2" xr3:uid="{5B7C4811-4C53-41A6-96BF-5389107C4D47}" uniqueName="2" name="Currency" queryTableFieldId="2" dataDxfId="31"/>
    <tableColumn id="3" xr3:uid="{734665F7-5DB2-40AD-BD3B-98FD29CBE168}" uniqueName="3" name="Minimum1" queryTableFieldId="3"/>
    <tableColumn id="4" xr3:uid="{BDB4B9A1-7155-498E-B2E8-661728BDEEFB}" uniqueName="4" name="Maximum" queryTableFieldId="4" dataDxfId="30"/>
    <tableColumn id="5" xr3:uid="{EAF93AB2-FE49-4E47-8DDA-D993804F05B9}" uniqueName="5" name="Current Rate2"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A39:B57" tableType="queryTable" totalsRowShown="0">
  <autoFilter ref="A39:B57" xr:uid="{3ADD0D14-F355-4459-9089-D96A5357280D}"/>
  <tableColumns count="2">
    <tableColumn id="1" xr3:uid="{3A7F1B7E-1FD3-45E8-A895-8D70EACE1A5B}" uniqueName="1" name="Column1" queryTableFieldId="1" dataDxfId="29"/>
    <tableColumn id="2" xr3:uid="{F49E277B-9897-44FE-A3C8-A0BA1BD10B59}" uniqueName="2" name="Column2" queryTableFieldId="2" dataDxfId="2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68DC766F-4E6C-4F85-87F3-9DCA2D33FF70}"/>
  <tableColumns count="2">
    <tableColumn id="1" xr3:uid="{29E6FC5F-C395-4ED8-AB61-B1C0535FA499}" uniqueName="1" name="Amount" queryTableFieldId="1" dataDxfId="27"/>
    <tableColumn id="2" xr3:uid="{C372CCBE-8818-4E43-8CA0-725C6FCE3B7A}" uniqueName="2" name="Interest Rates"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02DF4E-6783-422B-9DFF-D79F98E83D0B}" name="BMO_US__Premium_Rate_Savings_Account" displayName="BMO_US__Premium_Rate_Savings_Account" ref="B10:C12" tableType="queryTable" totalsRowShown="0">
  <autoFilter ref="B10:C12" xr:uid="{9CCC542C-E4E8-46C3-BF35-E04F78B5D5A3}"/>
  <tableColumns count="2">
    <tableColumn id="1" xr3:uid="{AA99A617-E719-47E6-A224-83FA5CD4E9B1}" uniqueName="1" name="Amount" queryTableFieldId="1" dataDxfId="26"/>
    <tableColumn id="2" xr3:uid="{7565BDCC-E3A2-4DAC-8B9A-E68D81BDD872}" uniqueName="2" name="Interest Rates"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37271CC5-D5B8-430F-8011-17D4CD39CE1F}"/>
  <tableColumns count="4">
    <tableColumn id="1" xr3:uid="{5FE45E18-67A4-4E2B-ADAD-B2873B51C187}" uniqueName="1" name="Description" queryTableFieldId="1" dataDxfId="25"/>
    <tableColumn id="2" xr3:uid="{E15D80D6-A17A-4487-B6C9-97A4B15E12AA}" uniqueName="2" name="Regular Interest Rate*" queryTableFieldId="2" dataDxfId="24"/>
    <tableColumn id="3" xr3:uid="{3407D02B-7CB1-466E-86C9-DEC17B953A52}" uniqueName="3" name="Premium Interest Rate▾" queryTableFieldId="3" dataDxfId="23"/>
    <tableColumn id="4" xr3:uid="{177F3CE0-60F9-4977-8BC2-F6E736C44655}" uniqueName="4" name="Annual Rate" queryTableFieldId="4" dataDxfId="2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C307930C-5D6D-4F72-8DB4-DAB111796004}"/>
  <tableColumns count="3">
    <tableColumn id="1" xr3:uid="{22152E8D-8B8D-4A04-A39A-CBB4FF0BD462}" uniqueName="1" name="Accounts" queryTableFieldId="1" dataDxfId="21"/>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260B4-5621-48A1-8361-4BE36E348FD1}" name="Scotia_US_Dollar_Daily_Interest_Account" displayName="Scotia_US_Dollar_Daily_Interest_Account" ref="B20:C27" tableType="queryTable" totalsRowShown="0">
  <autoFilter ref="B20:C27" xr:uid="{EC9C2641-8DCE-4A66-8966-B047AFD1AC24}"/>
  <tableColumns count="2">
    <tableColumn id="1" xr3:uid="{5BD6AD3B-FD28-4E4F-B8E6-3DED9B7BB96B}" uniqueName="1" name="Paid on the portion of the balance  within each tier" queryTableFieldId="1" dataDxfId="20"/>
    <tableColumn id="2" xr3:uid="{B3C93A99-EDD1-4C60-BDDF-72E163D07A3D}" uniqueName="2" name="Annual Interest Rate*" queryTableFieldId="2" dataDxfId="19"/>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0693CFA0-8957-4BDD-9FEE-FD7786F11970}"/>
  <tableColumns count="3">
    <tableColumn id="1" xr3:uid="{00000000-0010-0000-0200-000001000000}" uniqueName="1" name="Description" queryTableFieldId="1" dataDxfId="66"/>
    <tableColumn id="2" xr3:uid="{00000000-0010-0000-0200-000002000000}" uniqueName="2" name="Categories" queryTableFieldId="2" dataDxfId="65"/>
    <tableColumn id="3" xr3:uid="{00000000-0010-0000-0200-000003000000}" uniqueName="3" name="Interest Rate" queryTableFieldId="3" dataDxfId="6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9971E45F-8E2A-4321-A6F6-2F7B9BF24E91}"/>
  <tableColumns count="2">
    <tableColumn id="1" xr3:uid="{43A3FFFA-7914-4E2D-8884-930AFA116061}" uniqueName="1" name="If balance is" queryTableFieldId="1" dataDxfId="18"/>
    <tableColumn id="2" xr3:uid="{926AAFFF-81C9-4102-92A6-BD7ADD3F60D5}"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28B7A163-12E5-4907-94C4-AE6FC875C94F}"/>
  <tableColumns count="2">
    <tableColumn id="1" xr3:uid="{D22B4E0A-BDC0-4A14-B128-038B6061B10F}" uniqueName="1" name="If balance is" queryTableFieldId="1" dataDxfId="17"/>
    <tableColumn id="2" xr3:uid="{121E3B99-621B-4509-8976-09F32B66A2CA}" uniqueName="2" name="Interest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A57A47-67C2-4AFD-8DB8-8B55ACF68E62}" name="RBC_US__Investment_Savings_Account" displayName="RBC_US__Investment_Savings_Account" ref="B33:D39" tableType="queryTable" totalsRowShown="0">
  <autoFilter ref="B33:D39" xr:uid="{98F13C39-A8AD-42E5-B5A9-410AFC31426B}"/>
  <tableColumns count="3">
    <tableColumn id="1" xr3:uid="{635D282D-AB84-43A5-AC9D-A6C5ED53DE7D}" uniqueName="1" name="Interest Rates(3)" queryTableFieldId="1" dataDxfId="16"/>
    <tableColumn id="2" xr3:uid="{4AE896BD-D381-467D-8176-419D3E689BE8}" uniqueName="2" name="CAD" queryTableFieldId="2" dataDxfId="15"/>
    <tableColumn id="3" xr3:uid="{2D925FE1-9A86-40DB-8436-A34CDA33E76F}" uniqueName="3" name="USD" queryTableFieldId="3" dataDxfId="1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FFA5C606-6CCE-4746-AE59-E991666FFD2C}"/>
  <tableColumns count="2">
    <tableColumn id="1" xr3:uid="{00000000-0010-0000-0300-000001000000}" uniqueName="1" name="Column1" queryTableFieldId="1" dataDxfId="63"/>
    <tableColumn id="2" xr3:uid="{00000000-0010-0000-0300-000002000000}" uniqueName="2" name="Column2" queryTableFieldId="2" dataDxfId="6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D9B0C820-89B7-40F5-ACD5-33D8E983DEED}"/>
  <tableColumns count="2">
    <tableColumn id="1" xr3:uid="{00000000-0010-0000-0400-000001000000}" uniqueName="1" name="If balance is" queryTableFieldId="1" dataDxfId="61"/>
    <tableColumn id="2" xr3:uid="{00000000-0010-0000-0400-000002000000}" uniqueName="2" name="Interest Rate [%]"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DF0463D1-5297-469B-BBFB-5BB1DBAF8C43}"/>
  <tableColumns count="2">
    <tableColumn id="1" xr3:uid="{00000000-0010-0000-0500-000001000000}" uniqueName="1" name="Column1" queryTableFieldId="1" dataDxfId="60"/>
    <tableColumn id="2" xr3:uid="{00000000-0010-0000-0500-000002000000}" uniqueName="2" name="Column2" queryTableFieldId="2" dataDxfId="59"/>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9D639999-82A5-414B-969A-F105491C5AB0}"/>
  <tableColumns count="2">
    <tableColumn id="1" xr3:uid="{00000000-0010-0000-0600-000001000000}" uniqueName="1" name="Column1" queryTableFieldId="1" dataDxfId="58"/>
    <tableColumn id="2" xr3:uid="{00000000-0010-0000-0600-000002000000}" uniqueName="2" name="Column2" queryTableFieldId="2" dataDxfId="57"/>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7C60992D-12FA-47BB-B8E9-0B8FBF00D1FC}"/>
  <tableColumns count="2">
    <tableColumn id="1" xr3:uid="{00000000-0010-0000-0700-000001000000}" uniqueName="1" name="If balance is" queryTableFieldId="1" dataDxfId="56"/>
    <tableColumn id="2" xr3:uid="{00000000-0010-0000-0700-000002000000}" uniqueName="2" name="Interest Rate [%]"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EE694B2F-42CD-4D21-9C1D-BE5C7B18B6A9}"/>
  <tableColumns count="5">
    <tableColumn id="1" xr3:uid="{3776E89B-6171-4B17-9C9D-F65B54025418}" uniqueName="1" name="INTEREST RATES" queryTableFieldId="1" dataDxfId="55"/>
    <tableColumn id="2" xr3:uid="{B292EAB2-BF2C-4CAD-8A14-7BBBF76C1211}" uniqueName="2" name="Canadian Dollar HiVALUE® PLUS Chequing Account Effective June 4, 2018" queryTableFieldId="2" dataDxfId="54"/>
    <tableColumn id="3" xr3:uid="{11EB0BC9-9511-408B-A44D-773F37D6DEF3}" uniqueName="3" name="Canadian Dollar HiVALUE® Chequing Account Effective June 4, 2018" queryTableFieldId="3" dataDxfId="53"/>
    <tableColumn id="4" xr3:uid="{81249BCC-D7D7-40B4-AA76-CA1AEA2E0F90}" uniqueName="4" name="US Dollar HiVALUE® Chequing Account Effective September 22, 2009" queryTableFieldId="4" dataDxfId="52"/>
    <tableColumn id="5" xr3:uid="{36D8C5DA-FD84-45A9-A62E-22D762459272}" uniqueName="5" name="Canadian Dollar Basic Chequing Account Effective June 4, 2018" queryTableFieldId="5" dataDxfId="51"/>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97265558-D915-44DD-AA0C-DD6DE465C14D}"/>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C130B058-1DE6-4C4A-A94E-64039C6A37B5}"/>
  <tableColumns count="3">
    <tableColumn id="1" xr3:uid="{9835C19A-D0A6-4D4F-A5AF-78C2D7AE7B55}" uniqueName="1" name="Column1" queryTableFieldId="1" dataDxfId="50"/>
    <tableColumn id="2" xr3:uid="{E4B5B519-0F63-40ED-AE52-90FE779D465A}" uniqueName="2" name="Column2" queryTableFieldId="2" dataDxfId="49"/>
    <tableColumn id="3" xr3:uid="{3F6772DD-D99A-4D36-8413-0B83087FB492}" uniqueName="3" name="Column3" queryTableField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84181174-9B82-4612-9337-6FF87DA256A3}"/>
  <tableColumns count="3">
    <tableColumn id="1" xr3:uid="{2155D78D-F63D-49B5-9BD4-E499DAF30C13}" uniqueName="1" name="Kind" queryTableFieldId="1" dataDxfId="48"/>
    <tableColumn id="2" xr3:uid="{5F71F85E-75C1-404B-952A-75585A79DD9C}" uniqueName="2" name="Name" queryTableFieldId="2" dataDxfId="47"/>
    <tableColumn id="3" xr3:uid="{D0F30998-3EDC-42AD-B003-81C09B65D7F9}" uniqueName="3" name="Text" queryTableFieldId="3" dataDxfId="4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8386D38C-9506-4401-951F-7A96C06617CE}"/>
  <tableColumns count="3">
    <tableColumn id="1" xr3:uid="{ECF83604-61A0-429F-BB90-2F9F9F832176}" uniqueName="1" name="Column1" queryTableFieldId="1" dataDxfId="45"/>
    <tableColumn id="2" xr3:uid="{4D4AF05A-4DAE-4CAF-8659-22E4E6D65CF7}" uniqueName="2" name="Column2" queryTableFieldId="2" dataDxfId="44"/>
    <tableColumn id="3" xr3:uid="{360D6923-09FF-46C3-9364-AA733AE82EE8}" uniqueName="3" name="Column3" queryTableFieldId="3"/>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ACC43226-32AD-4393-9363-A5D155E7233C}"/>
  <tableColumns count="3">
    <tableColumn id="1" xr3:uid="{3B12D208-ABED-4F15-B48A-E8CFCD3E8147}" uniqueName="1" name="Kind" queryTableFieldId="1" dataDxfId="43"/>
    <tableColumn id="2" xr3:uid="{0D03D0C8-1A79-4267-B4F1-57C43FDED7C2}" uniqueName="2" name="Name" queryTableFieldId="2" dataDxfId="42"/>
    <tableColumn id="3" xr3:uid="{7F467352-1B85-4BAC-B96A-BEB06F432488}" uniqueName="3" name="Text" queryTableFieldId="3" dataDxfId="41"/>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DF09CF4E-3744-4A04-8A36-01B6B51FF504}"/>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9FB8B646-2B68-480C-A145-28BD52AC02FA}"/>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1FD6E7F4-54B3-41C4-8507-338DC40DD81E}" uniqueName="1" name="Amount" queryTableFieldId="1" dataDxfId="13"/>
    <tableColumn id="2" xr3:uid="{C5FFA56D-7123-4FD4-98A8-7D3A57DF978E}" uniqueName="2" name="CAD High Rate Savings" queryTableFieldId="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_Rates" displayName="CT_HISA_Rates" ref="A1:B2" tableType="queryTable" totalsRowShown="0">
  <autoFilter ref="A1:B2" xr:uid="{5602733F-865F-4885-87FA-1BA021E8D78B}"/>
  <tableColumns count="2">
    <tableColumn id="1" xr3:uid="{E2734CB1-96F3-4F39-A09A-9ADAB223E264}" uniqueName="1" name="High Interest Savings*" queryTableFieldId="1" dataDxfId="12"/>
    <tableColumn id="2" xr3:uid="{A70E9728-B118-48A1-BC57-D92BEEC7A685}" uniqueName="2" name="Annual Rates" queryTableFieldId="2"/>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424FCAA5-D1D1-4929-8643-CC965FD32A7B}"/>
  <tableColumns count="4">
    <tableColumn id="1" xr3:uid="{2AC47192-B811-491E-975F-46A92490B0E3}" uniqueName="1" name="Banking Services" queryTableFieldId="1" dataDxfId="11"/>
    <tableColumn id="2" xr3:uid="{CDADAB3F-45F0-4E6C-872C-117C5F25F50C}" uniqueName="2" name="High Interest Investment Account (HIIA)" queryTableFieldId="2" dataDxfId="10"/>
    <tableColumn id="3" xr3:uid="{F35A3D97-07EA-400E-8783-CEB44508EBDD}" uniqueName="3" name="1.35% A Series_x000d__x000a__x000a_BTB 100" queryTableFieldId="5" dataDxfId="9"/>
    <tableColumn id="4" xr3:uid="{7EF41075-142B-40B4-B5BB-64E86994F9FE}" uniqueName="4" name="1.60% F Series²_x000d__x000a__x000a_BTB 101" queryTableFieldId="6" dataDxfId="8"/>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7"/>
    <tableColumn id="3" xr3:uid="{D2622B16-D1C8-4760-8BD0-953D9FAFA8F1}" uniqueName="3" name="Get Started" queryTableFieldId="3" dataDxfId="6"/>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5"/>
    <tableColumn id="2" xr3:uid="{E833CA69-9186-43DA-874F-48DEFE4DA80F}" uniqueName="2" name="Column2" queryTableFieldId="2" dataDxfId="4"/>
    <tableColumn id="3" xr3:uid="{B093F79F-8E4B-49FF-A371-4731884C2E1B}" uniqueName="3" name="Column3" queryTableFieldId="3" dataDxfId="3"/>
    <tableColumn id="4" xr3:uid="{785FF59B-0966-4865-9D07-9033DADA44AF}" uniqueName="4" name="Column4" queryTableFieldId="4" dataDxfId="2"/>
    <tableColumn id="5" xr3:uid="{C61AE777-3A15-4C02-9B1F-136299A5FAC7}" uniqueName="5" name="Column5" queryTableFieldId="5" dataDxfId="1"/>
    <tableColumn id="6" xr3:uid="{FC09C788-CCE1-4C6F-81DC-01AAACC99B7F}" uniqueName="6" name="Column6"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3.bin"/><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table" Target="../tables/table22.xml"/><Relationship Id="rId1" Type="http://schemas.openxmlformats.org/officeDocument/2006/relationships/table" Target="../tables/table21.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B13"/>
  <sheetViews>
    <sheetView topLeftCell="A4" workbookViewId="0">
      <selection activeCell="H12" sqref="H12"/>
    </sheetView>
  </sheetViews>
  <sheetFormatPr defaultRowHeight="15" x14ac:dyDescent="0.25"/>
  <cols>
    <col min="1" max="1" width="9.140625" style="81"/>
    <col min="2" max="2" width="80.85546875" style="81" customWidth="1"/>
    <col min="3" max="16384" width="9.140625" style="81"/>
  </cols>
  <sheetData>
    <row r="3" spans="2:2" ht="42" customHeight="1" x14ac:dyDescent="0.25">
      <c r="B3" s="82" t="s">
        <v>568</v>
      </c>
    </row>
    <row r="4" spans="2:2" x14ac:dyDescent="0.25">
      <c r="B4" s="84"/>
    </row>
    <row r="5" spans="2:2" x14ac:dyDescent="0.25">
      <c r="B5" s="83" t="s">
        <v>565</v>
      </c>
    </row>
    <row r="6" spans="2:2" ht="34.5" customHeight="1" x14ac:dyDescent="0.25">
      <c r="B6" s="85"/>
    </row>
    <row r="7" spans="2:2" x14ac:dyDescent="0.25">
      <c r="B7" s="84"/>
    </row>
    <row r="8" spans="2:2" x14ac:dyDescent="0.25">
      <c r="B8" s="83" t="s">
        <v>566</v>
      </c>
    </row>
    <row r="9" spans="2:2" ht="109.5" customHeight="1" x14ac:dyDescent="0.25">
      <c r="B9" s="85"/>
    </row>
    <row r="10" spans="2:2" x14ac:dyDescent="0.25">
      <c r="B10" s="84"/>
    </row>
    <row r="11" spans="2:2" x14ac:dyDescent="0.25">
      <c r="B11" s="83" t="s">
        <v>567</v>
      </c>
    </row>
    <row r="12" spans="2:2" ht="73.5" customHeight="1" x14ac:dyDescent="0.25">
      <c r="B12" s="85"/>
    </row>
    <row r="13" spans="2:2" x14ac:dyDescent="0.25">
      <c r="B13" s="8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323850</xdr:colOff>
                    <xdr:row>8</xdr:row>
                    <xdr:rowOff>209550</xdr:rowOff>
                  </from>
                  <to>
                    <xdr:col>1</xdr:col>
                    <xdr:colOff>1714500</xdr:colOff>
                    <xdr:row>8</xdr:row>
                    <xdr:rowOff>581025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2000250</xdr:colOff>
                    <xdr:row>8</xdr:row>
                    <xdr:rowOff>209550</xdr:rowOff>
                  </from>
                  <to>
                    <xdr:col>1</xdr:col>
                    <xdr:colOff>3390900</xdr:colOff>
                    <xdr:row>8</xdr:row>
                    <xdr:rowOff>581025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1</xdr:col>
                    <xdr:colOff>3657600</xdr:colOff>
                    <xdr:row>8</xdr:row>
                    <xdr:rowOff>209550</xdr:rowOff>
                  </from>
                  <to>
                    <xdr:col>1</xdr:col>
                    <xdr:colOff>5048250</xdr:colOff>
                    <xdr:row>8</xdr:row>
                    <xdr:rowOff>581025</xdr:rowOff>
                  </to>
                </anchor>
              </controlPr>
            </control>
          </mc:Choice>
        </mc:AlternateContent>
        <mc:AlternateContent xmlns:mc="http://schemas.openxmlformats.org/markup-compatibility/2006">
          <mc:Choice Requires="x14">
            <control shapeId="23556" r:id="rId7" name="Button 4">
              <controlPr defaultSize="0" print="0" autoFill="0" autoPict="0" macro="[0]!RefreshAll_Click">
                <anchor moveWithCells="1" sizeWithCells="1">
                  <from>
                    <xdr:col>1</xdr:col>
                    <xdr:colOff>2114550</xdr:colOff>
                    <xdr:row>5</xdr:row>
                    <xdr:rowOff>76200</xdr:rowOff>
                  </from>
                  <to>
                    <xdr:col>1</xdr:col>
                    <xdr:colOff>3228975</xdr:colOff>
                    <xdr:row>5</xdr:row>
                    <xdr:rowOff>361950</xdr:rowOff>
                  </to>
                </anchor>
              </controlPr>
            </control>
          </mc:Choice>
        </mc:AlternateContent>
        <mc:AlternateContent xmlns:mc="http://schemas.openxmlformats.org/markup-compatibility/2006">
          <mc:Choice Requires="x14">
            <control shapeId="23557" r:id="rId8" name="Button 5">
              <controlPr defaultSize="0" print="0" autoFill="0" autoPict="0" macro="[0]!ArchiveAll_Click">
                <anchor moveWithCells="1" sizeWithCells="1">
                  <from>
                    <xdr:col>1</xdr:col>
                    <xdr:colOff>1428750</xdr:colOff>
                    <xdr:row>8</xdr:row>
                    <xdr:rowOff>781050</xdr:rowOff>
                  </from>
                  <to>
                    <xdr:col>1</xdr:col>
                    <xdr:colOff>3952875</xdr:colOff>
                    <xdr:row>8</xdr:row>
                    <xdr:rowOff>1162050</xdr:rowOff>
                  </to>
                </anchor>
              </controlPr>
            </control>
          </mc:Choice>
        </mc:AlternateContent>
        <mc:AlternateContent xmlns:mc="http://schemas.openxmlformats.org/markup-compatibility/2006">
          <mc:Choice Requires="x14">
            <control shapeId="23558" r:id="rId9" name="Button 6">
              <controlPr defaultSize="0" print="0" autoFill="0" autoPict="0" macro="[0]!RefreshArchive_Click">
                <anchor moveWithCells="1" sizeWithCells="1">
                  <from>
                    <xdr:col>1</xdr:col>
                    <xdr:colOff>1428750</xdr:colOff>
                    <xdr:row>11</xdr:row>
                    <xdr:rowOff>161925</xdr:rowOff>
                  </from>
                  <to>
                    <xdr:col>1</xdr:col>
                    <xdr:colOff>3952875</xdr:colOff>
                    <xdr:row>11</xdr:row>
                    <xdr:rowOff>771525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7" workbookViewId="0">
      <selection activeCell="H26" sqref="H26"/>
    </sheetView>
  </sheetViews>
  <sheetFormatPr defaultRowHeight="15" x14ac:dyDescent="0.25"/>
  <cols>
    <col min="1" max="1" width="28.42578125" bestFit="1" customWidth="1"/>
    <col min="2" max="2" width="9.85546875" bestFit="1" customWidth="1"/>
  </cols>
  <sheetData>
    <row r="1" spans="1:28" ht="25.5" x14ac:dyDescent="0.35">
      <c r="A1" s="97"/>
      <c r="B1" s="97"/>
      <c r="C1" s="97"/>
      <c r="D1" s="97"/>
      <c r="E1" s="97"/>
      <c r="F1" s="97"/>
      <c r="G1" s="97"/>
      <c r="H1" s="97"/>
      <c r="I1" s="97"/>
      <c r="J1" s="97"/>
      <c r="K1" s="97"/>
      <c r="L1" s="97"/>
      <c r="M1" s="97"/>
      <c r="N1" s="97"/>
      <c r="O1" s="97"/>
      <c r="P1" s="97"/>
      <c r="Q1" s="97"/>
      <c r="R1" s="97"/>
      <c r="S1" s="97"/>
      <c r="T1" s="97"/>
      <c r="U1" s="97"/>
      <c r="V1" s="97"/>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f t="shared" ref="B11:B16" si="0">B12</f>
        <v>105</v>
      </c>
      <c r="C11" s="16">
        <f t="shared" ref="C11:C17" si="1">C12</f>
        <v>10</v>
      </c>
      <c r="D11" s="16">
        <f>(CIBC_rates!C5)*10000</f>
        <v>5</v>
      </c>
      <c r="E11" s="16">
        <f t="shared" ref="E11:E12" si="2">E12</f>
        <v>5</v>
      </c>
      <c r="F11" s="15">
        <f t="shared" ref="F11:F12" si="3">F12</f>
        <v>50</v>
      </c>
      <c r="G11" s="15">
        <f t="shared" ref="G11:G12" si="4">G12</f>
        <v>105</v>
      </c>
      <c r="H11" s="15">
        <f>(BMO_rates!C4)*10000</f>
        <v>20</v>
      </c>
      <c r="I11" s="95">
        <f t="shared" ref="I11:I16" si="5">I12</f>
        <v>80</v>
      </c>
      <c r="J11" s="15" t="str">
        <f t="shared" ref="J11:J12" si="6">J12</f>
        <v>5 (p)</v>
      </c>
      <c r="K11" s="15" t="str">
        <f>(BNS_rates!C3)*10000 &amp; " + " &amp; (BNS_rates!D4)*10000 &amp; ", "&amp; (BNS_rates!D5)*10000 &amp; ", "&amp; (BNS_rates!D6)*10000 &amp; ", "&amp; (BNS_rates!D7)*10000</f>
        <v>105 + 75, 80, 85, 90</v>
      </c>
      <c r="L11" s="15">
        <f t="shared" ref="L11:L16" si="7">L12</f>
        <v>2</v>
      </c>
      <c r="M11" s="15">
        <f>(BNS_rates!E12)*10000</f>
        <v>115</v>
      </c>
      <c r="N11" s="15">
        <f>(RBC_rates!D2)*100</f>
        <v>105</v>
      </c>
      <c r="O11" s="15" t="str">
        <f>LEFT((RBC_rates!D4),5)*100 &amp; " (p)"</f>
        <v>15 (p)</v>
      </c>
      <c r="P11" s="16" t="str">
        <f t="shared" ref="P11:P16" si="8">P12</f>
        <v>5 (p)</v>
      </c>
      <c r="Q11" s="15">
        <v>110</v>
      </c>
      <c r="R11" s="95">
        <f t="shared" ref="R11:R19" si="9">R12</f>
        <v>125</v>
      </c>
      <c r="S11" s="15">
        <v>80</v>
      </c>
      <c r="T11" s="16">
        <f>LEFT((ICICI_rates!B3),5)*10000</f>
        <v>135</v>
      </c>
      <c r="U11" s="96">
        <f t="shared" ref="U11:U16" si="10">U12</f>
        <v>105</v>
      </c>
      <c r="V11" s="87">
        <f>(Manulife_rates!E4)*10000</f>
        <v>140</v>
      </c>
      <c r="W11" s="15">
        <f>W12</f>
        <v>115</v>
      </c>
      <c r="X11" s="15">
        <f>(CT_rates!B2)*10000</f>
        <v>150</v>
      </c>
      <c r="Y11" s="15">
        <f>(B2B_rates!D2)*10000</f>
        <v>85</v>
      </c>
      <c r="Z11" s="15">
        <f>(BNS_rates!C17)*10000</f>
        <v>25</v>
      </c>
      <c r="AA11" s="95">
        <f>(Meridian_rates!A2)*10000</f>
        <v>0</v>
      </c>
      <c r="AB11" s="18">
        <v>230</v>
      </c>
    </row>
    <row r="12" spans="1:28" x14ac:dyDescent="0.25">
      <c r="A12" s="15" t="s">
        <v>46</v>
      </c>
      <c r="B12" s="15">
        <f t="shared" si="0"/>
        <v>105</v>
      </c>
      <c r="C12" s="16">
        <f t="shared" si="1"/>
        <v>10</v>
      </c>
      <c r="D12" s="16">
        <f t="shared" ref="D12" si="11">D11</f>
        <v>5</v>
      </c>
      <c r="E12" s="16">
        <f t="shared" si="2"/>
        <v>5</v>
      </c>
      <c r="F12" s="15">
        <f t="shared" si="3"/>
        <v>50</v>
      </c>
      <c r="G12" s="15">
        <f t="shared" si="4"/>
        <v>105</v>
      </c>
      <c r="H12" s="95" t="str">
        <f>(BMO_rates!C2)*10000 &amp; "+" &amp; (BMO_rates!C3)*10000</f>
        <v>20+145</v>
      </c>
      <c r="I12" s="95">
        <f t="shared" si="5"/>
        <v>80</v>
      </c>
      <c r="J12" s="15" t="str">
        <f t="shared" si="6"/>
        <v>5 (p)</v>
      </c>
      <c r="K12" s="15" t="str">
        <f>K11</f>
        <v>105 + 75, 80, 85, 90</v>
      </c>
      <c r="L12" s="15">
        <f t="shared" si="7"/>
        <v>2</v>
      </c>
      <c r="M12" s="15">
        <f t="shared" ref="M12:M16" si="12">M13</f>
        <v>105</v>
      </c>
      <c r="N12" s="15">
        <f>N11</f>
        <v>105</v>
      </c>
      <c r="O12" s="15" t="str">
        <f>LEFT((RBC_rates!D5),5)*100 &amp; " (p)"</f>
        <v>15 (p)</v>
      </c>
      <c r="P12" s="16" t="str">
        <f t="shared" si="8"/>
        <v>5 (p)</v>
      </c>
      <c r="Q12" s="15">
        <f t="shared" ref="Q12:V21" si="13">Q11</f>
        <v>110</v>
      </c>
      <c r="R12" s="95">
        <f t="shared" si="9"/>
        <v>125</v>
      </c>
      <c r="S12" s="15">
        <f t="shared" si="13"/>
        <v>80</v>
      </c>
      <c r="T12" s="16">
        <f t="shared" si="13"/>
        <v>135</v>
      </c>
      <c r="U12" s="96">
        <f t="shared" si="10"/>
        <v>105</v>
      </c>
      <c r="V12" s="87">
        <f t="shared" si="13"/>
        <v>140</v>
      </c>
      <c r="W12" s="15">
        <f>W13</f>
        <v>115</v>
      </c>
      <c r="X12" s="15">
        <f>X11</f>
        <v>150</v>
      </c>
      <c r="Y12" s="15">
        <f>Y11</f>
        <v>85</v>
      </c>
      <c r="Z12" s="15">
        <f>Z11</f>
        <v>25</v>
      </c>
      <c r="AA12" s="95">
        <f t="shared" ref="AA12:AB21" si="14">AA11</f>
        <v>0</v>
      </c>
      <c r="AB12" s="18">
        <f>AB11</f>
        <v>230</v>
      </c>
    </row>
    <row r="13" spans="1:28" x14ac:dyDescent="0.25">
      <c r="A13" s="15" t="s">
        <v>47</v>
      </c>
      <c r="B13" s="15">
        <f t="shared" si="0"/>
        <v>105</v>
      </c>
      <c r="C13" s="16">
        <f t="shared" si="1"/>
        <v>10</v>
      </c>
      <c r="D13" s="16">
        <f t="shared" ref="D13:D19" si="15">D12</f>
        <v>5</v>
      </c>
      <c r="E13" s="16">
        <f>E14</f>
        <v>5</v>
      </c>
      <c r="F13" s="15">
        <f>F14</f>
        <v>50</v>
      </c>
      <c r="G13" s="15">
        <f>G14</f>
        <v>105</v>
      </c>
      <c r="H13" s="95" t="str">
        <f>H12</f>
        <v>20+145</v>
      </c>
      <c r="I13" s="95">
        <f t="shared" si="5"/>
        <v>80</v>
      </c>
      <c r="J13" s="15" t="str">
        <f>J14</f>
        <v>5 (p)</v>
      </c>
      <c r="K13" s="15" t="str">
        <f t="shared" ref="K13:K21" si="16">K12</f>
        <v>105 + 75, 80, 85, 90</v>
      </c>
      <c r="L13" s="15">
        <f t="shared" si="7"/>
        <v>2</v>
      </c>
      <c r="M13" s="15">
        <f t="shared" si="12"/>
        <v>105</v>
      </c>
      <c r="N13" s="15">
        <f t="shared" ref="N13:N21" si="17">N12</f>
        <v>105</v>
      </c>
      <c r="O13" s="15" t="str">
        <f>LEFT((RBC_rates!D6),5)*100 &amp; " (p)"</f>
        <v>5 (p)</v>
      </c>
      <c r="P13" s="16" t="str">
        <f t="shared" si="8"/>
        <v>5 (p)</v>
      </c>
      <c r="Q13" s="15">
        <f>Q12</f>
        <v>110</v>
      </c>
      <c r="R13" s="95">
        <f t="shared" si="9"/>
        <v>125</v>
      </c>
      <c r="S13" s="15">
        <f>S12</f>
        <v>80</v>
      </c>
      <c r="T13" s="16">
        <f>T12</f>
        <v>135</v>
      </c>
      <c r="U13" s="96">
        <f t="shared" si="10"/>
        <v>105</v>
      </c>
      <c r="V13" s="87">
        <f>V12</f>
        <v>140</v>
      </c>
      <c r="W13" s="15">
        <f>(HSBC_rates!B5)*10000</f>
        <v>115</v>
      </c>
      <c r="X13" s="15">
        <f t="shared" ref="X13:X21" si="18">X12</f>
        <v>150</v>
      </c>
      <c r="Y13" s="15">
        <f t="shared" ref="Y13:Y21" si="19">Y12</f>
        <v>85</v>
      </c>
      <c r="Z13" s="15">
        <f t="shared" ref="Z13:AA21" si="20">Z12</f>
        <v>25</v>
      </c>
      <c r="AA13" s="95">
        <f t="shared" si="20"/>
        <v>0</v>
      </c>
      <c r="AB13" s="18">
        <f t="shared" si="14"/>
        <v>230</v>
      </c>
    </row>
    <row r="14" spans="1:28" x14ac:dyDescent="0.25">
      <c r="A14" s="15" t="s">
        <v>48</v>
      </c>
      <c r="B14" s="15">
        <f t="shared" si="0"/>
        <v>105</v>
      </c>
      <c r="C14" s="16">
        <f t="shared" si="1"/>
        <v>10</v>
      </c>
      <c r="D14" s="16">
        <f t="shared" si="15"/>
        <v>5</v>
      </c>
      <c r="E14" s="16">
        <f>(TD_rates!B10)*10000</f>
        <v>5</v>
      </c>
      <c r="F14" s="15">
        <f>(TD_rates!B16)*10000</f>
        <v>50</v>
      </c>
      <c r="G14" s="15">
        <f>(TD_rates!B23)*10000</f>
        <v>105</v>
      </c>
      <c r="H14" s="95" t="str">
        <f t="shared" ref="H14:H21" si="21">H13</f>
        <v>20+145</v>
      </c>
      <c r="I14" s="95">
        <f t="shared" si="5"/>
        <v>80</v>
      </c>
      <c r="J14" s="15" t="str">
        <f>(BMO_rates!C8)*10000 &amp; " (p)"</f>
        <v>5 (p)</v>
      </c>
      <c r="K14" s="15" t="str">
        <f t="shared" si="16"/>
        <v>105 + 75, 80, 85, 90</v>
      </c>
      <c r="L14" s="15">
        <f t="shared" si="7"/>
        <v>2</v>
      </c>
      <c r="M14" s="15">
        <f t="shared" si="12"/>
        <v>105</v>
      </c>
      <c r="N14" s="15">
        <f t="shared" si="17"/>
        <v>105</v>
      </c>
      <c r="O14" s="15" t="str">
        <f>LEFT((RBC_rates!D7),5)*100 &amp; " (p)"</f>
        <v>2.5 (p)</v>
      </c>
      <c r="P14" s="16" t="str">
        <f t="shared" si="8"/>
        <v>5 (p)</v>
      </c>
      <c r="Q14" s="15">
        <f>Q11</f>
        <v>110</v>
      </c>
      <c r="R14" s="95">
        <f t="shared" si="9"/>
        <v>125</v>
      </c>
      <c r="S14" s="15">
        <f>S11</f>
        <v>80</v>
      </c>
      <c r="T14" s="16">
        <f t="shared" ref="T14:T21" si="22">T13</f>
        <v>135</v>
      </c>
      <c r="U14" s="96">
        <f t="shared" si="10"/>
        <v>105</v>
      </c>
      <c r="V14" s="87">
        <f>V11</f>
        <v>140</v>
      </c>
      <c r="W14" s="15">
        <f>W15</f>
        <v>105</v>
      </c>
      <c r="X14" s="15">
        <f t="shared" si="18"/>
        <v>150</v>
      </c>
      <c r="Y14" s="15">
        <f t="shared" si="19"/>
        <v>85</v>
      </c>
      <c r="Z14" s="15">
        <f t="shared" si="20"/>
        <v>25</v>
      </c>
      <c r="AA14" s="95">
        <f t="shared" si="20"/>
        <v>0</v>
      </c>
      <c r="AB14" s="18">
        <f>AB13</f>
        <v>230</v>
      </c>
    </row>
    <row r="15" spans="1:28" x14ac:dyDescent="0.25">
      <c r="A15" s="15" t="s">
        <v>49</v>
      </c>
      <c r="B15" s="15">
        <f t="shared" si="0"/>
        <v>105</v>
      </c>
      <c r="C15" s="16">
        <f t="shared" si="1"/>
        <v>10</v>
      </c>
      <c r="D15" s="16">
        <f t="shared" si="15"/>
        <v>5</v>
      </c>
      <c r="E15" s="16">
        <f>E16</f>
        <v>5</v>
      </c>
      <c r="F15" s="15">
        <f>F16</f>
        <v>50</v>
      </c>
      <c r="G15" s="15">
        <f>G16</f>
        <v>105</v>
      </c>
      <c r="H15" s="95" t="str">
        <f t="shared" si="21"/>
        <v>20+145</v>
      </c>
      <c r="I15" s="95">
        <f t="shared" si="5"/>
        <v>80</v>
      </c>
      <c r="J15" s="15" t="str">
        <f>(BMO_rates!C7)*10000 &amp; " (p)"</f>
        <v>5 (p)</v>
      </c>
      <c r="K15" s="15" t="str">
        <f t="shared" si="16"/>
        <v>105 + 75, 80, 85, 90</v>
      </c>
      <c r="L15" s="15">
        <f t="shared" si="7"/>
        <v>2</v>
      </c>
      <c r="M15" s="15">
        <f t="shared" si="12"/>
        <v>105</v>
      </c>
      <c r="N15" s="15">
        <f t="shared" si="17"/>
        <v>105</v>
      </c>
      <c r="O15" s="15">
        <f>O16</f>
        <v>1</v>
      </c>
      <c r="P15" s="16" t="str">
        <f t="shared" si="8"/>
        <v>5 (p)</v>
      </c>
      <c r="Q15" s="15">
        <f t="shared" ref="Q15:Q21" si="23">Q14</f>
        <v>110</v>
      </c>
      <c r="R15" s="95">
        <f t="shared" si="9"/>
        <v>125</v>
      </c>
      <c r="S15" s="15">
        <f t="shared" si="13"/>
        <v>80</v>
      </c>
      <c r="T15" s="16">
        <f t="shared" si="22"/>
        <v>135</v>
      </c>
      <c r="U15" s="96">
        <f t="shared" si="10"/>
        <v>105</v>
      </c>
      <c r="V15" s="87">
        <f>V14</f>
        <v>140</v>
      </c>
      <c r="W15" s="15">
        <f>(HSBC_rates!B4)*10000</f>
        <v>105</v>
      </c>
      <c r="X15" s="15">
        <f t="shared" si="18"/>
        <v>150</v>
      </c>
      <c r="Y15" s="15">
        <f t="shared" si="19"/>
        <v>85</v>
      </c>
      <c r="Z15" s="15">
        <f t="shared" si="20"/>
        <v>25</v>
      </c>
      <c r="AA15" s="95">
        <f t="shared" si="20"/>
        <v>0</v>
      </c>
      <c r="AB15" s="18">
        <f t="shared" si="14"/>
        <v>230</v>
      </c>
    </row>
    <row r="16" spans="1:28" x14ac:dyDescent="0.25">
      <c r="A16" s="15" t="s">
        <v>50</v>
      </c>
      <c r="B16" s="15">
        <f t="shared" si="0"/>
        <v>105</v>
      </c>
      <c r="C16" s="16">
        <f t="shared" si="1"/>
        <v>10</v>
      </c>
      <c r="D16" s="16">
        <f t="shared" si="15"/>
        <v>5</v>
      </c>
      <c r="E16" s="16">
        <f>(TD_rates!B9)*10000</f>
        <v>5</v>
      </c>
      <c r="F16" s="15">
        <f>(TD_rates!B15)*10000</f>
        <v>50</v>
      </c>
      <c r="G16" s="15">
        <f>(TD_rates!B22)*10000</f>
        <v>105</v>
      </c>
      <c r="H16" s="95" t="str">
        <f t="shared" si="21"/>
        <v>20+145</v>
      </c>
      <c r="I16" s="95">
        <f t="shared" si="5"/>
        <v>80</v>
      </c>
      <c r="J16" s="15" t="str">
        <f>J15</f>
        <v>5 (p)</v>
      </c>
      <c r="K16" s="15" t="str">
        <f t="shared" si="16"/>
        <v>105 + 75, 80, 85, 90</v>
      </c>
      <c r="L16" s="15">
        <f t="shared" si="7"/>
        <v>2</v>
      </c>
      <c r="M16" s="15">
        <f t="shared" si="12"/>
        <v>105</v>
      </c>
      <c r="N16" s="15">
        <f t="shared" si="17"/>
        <v>105</v>
      </c>
      <c r="O16" s="15">
        <f>(RBC_rates!D8)*100</f>
        <v>1</v>
      </c>
      <c r="P16" s="16" t="str">
        <f t="shared" si="8"/>
        <v>5 (p)</v>
      </c>
      <c r="Q16" s="15">
        <f t="shared" si="23"/>
        <v>110</v>
      </c>
      <c r="R16" s="95">
        <f t="shared" si="9"/>
        <v>125</v>
      </c>
      <c r="S16" s="15">
        <f t="shared" si="13"/>
        <v>80</v>
      </c>
      <c r="T16" s="16">
        <f t="shared" si="22"/>
        <v>135</v>
      </c>
      <c r="U16" s="96">
        <f t="shared" si="10"/>
        <v>105</v>
      </c>
      <c r="V16" s="87">
        <f t="shared" si="13"/>
        <v>140</v>
      </c>
      <c r="W16" s="15">
        <f>(HSBC_rates!B3)*10000</f>
        <v>100</v>
      </c>
      <c r="X16" s="15">
        <f t="shared" si="18"/>
        <v>150</v>
      </c>
      <c r="Y16" s="15">
        <f t="shared" si="19"/>
        <v>85</v>
      </c>
      <c r="Z16" s="15">
        <f t="shared" si="20"/>
        <v>25</v>
      </c>
      <c r="AA16" s="95">
        <f t="shared" si="20"/>
        <v>0</v>
      </c>
      <c r="AB16" s="18">
        <f t="shared" si="14"/>
        <v>230</v>
      </c>
    </row>
    <row r="17" spans="1:28" x14ac:dyDescent="0.25">
      <c r="A17" s="15" t="s">
        <v>51</v>
      </c>
      <c r="B17" s="15">
        <f>B18</f>
        <v>105</v>
      </c>
      <c r="C17" s="16">
        <f t="shared" si="1"/>
        <v>10</v>
      </c>
      <c r="D17" s="16">
        <f t="shared" si="15"/>
        <v>5</v>
      </c>
      <c r="E17" s="16">
        <f>(TD_rates!B8)*10000</f>
        <v>5</v>
      </c>
      <c r="F17" s="15">
        <f>(TD_rates!B14)*10000</f>
        <v>50</v>
      </c>
      <c r="G17" s="15">
        <f>(TD_rates!B21)*10000</f>
        <v>105</v>
      </c>
      <c r="H17" s="95" t="str">
        <f t="shared" si="21"/>
        <v>20+145</v>
      </c>
      <c r="I17" s="95">
        <f>I18</f>
        <v>80</v>
      </c>
      <c r="J17" s="15" t="str">
        <f t="shared" ref="J17:J21" si="24">J16</f>
        <v>5 (p)</v>
      </c>
      <c r="K17" s="15" t="str">
        <f t="shared" si="16"/>
        <v>105 + 75, 80, 85, 90</v>
      </c>
      <c r="L17" s="15">
        <f>L18</f>
        <v>2</v>
      </c>
      <c r="M17" s="15">
        <f>M18</f>
        <v>105</v>
      </c>
      <c r="N17" s="15">
        <f t="shared" si="17"/>
        <v>105</v>
      </c>
      <c r="O17" s="15">
        <f>(RBC_rates!D9)*100</f>
        <v>0.5</v>
      </c>
      <c r="P17" s="16" t="str">
        <f>P18</f>
        <v>5 (p)</v>
      </c>
      <c r="Q17" s="15">
        <f t="shared" si="23"/>
        <v>110</v>
      </c>
      <c r="R17" s="95">
        <f t="shared" si="9"/>
        <v>125</v>
      </c>
      <c r="S17" s="15">
        <f t="shared" si="13"/>
        <v>80</v>
      </c>
      <c r="T17" s="16">
        <f t="shared" si="22"/>
        <v>135</v>
      </c>
      <c r="U17" s="96">
        <f>U18</f>
        <v>105</v>
      </c>
      <c r="V17" s="87">
        <f t="shared" si="13"/>
        <v>140</v>
      </c>
      <c r="W17" s="15">
        <f>(HSBC_rates!B2)*10000</f>
        <v>45</v>
      </c>
      <c r="X17" s="15">
        <f t="shared" si="18"/>
        <v>150</v>
      </c>
      <c r="Y17" s="15">
        <f t="shared" si="19"/>
        <v>85</v>
      </c>
      <c r="Z17" s="15">
        <f t="shared" si="20"/>
        <v>25</v>
      </c>
      <c r="AA17" s="95">
        <f t="shared" si="20"/>
        <v>0</v>
      </c>
      <c r="AB17" s="18">
        <v>230</v>
      </c>
    </row>
    <row r="18" spans="1:28" x14ac:dyDescent="0.25">
      <c r="A18" s="15" t="s">
        <v>52</v>
      </c>
      <c r="B18" s="15">
        <f>(CIBC_rates!C2)*10000</f>
        <v>105</v>
      </c>
      <c r="C18" s="16">
        <f>C19</f>
        <v>10</v>
      </c>
      <c r="D18" s="16">
        <f t="shared" si="15"/>
        <v>5</v>
      </c>
      <c r="E18" s="16">
        <f>(TD_rates!B7)*10000</f>
        <v>5</v>
      </c>
      <c r="F18" s="15">
        <f>(TD_rates!B13)*10000</f>
        <v>50</v>
      </c>
      <c r="G18" s="15">
        <f>(TD_rates!B20)*10000</f>
        <v>0</v>
      </c>
      <c r="H18" s="95" t="str">
        <f t="shared" si="21"/>
        <v>20+145</v>
      </c>
      <c r="I18" s="95">
        <f>(BMO_rates!C6)*10000</f>
        <v>80</v>
      </c>
      <c r="J18" s="15" t="str">
        <f t="shared" si="24"/>
        <v>5 (p)</v>
      </c>
      <c r="K18" s="15" t="str">
        <f t="shared" si="16"/>
        <v>105 + 75, 80, 85, 90</v>
      </c>
      <c r="L18" s="15">
        <f>(BNS_rates!E9)*10000</f>
        <v>2</v>
      </c>
      <c r="M18" s="15">
        <f>(BNS_rates!E13)*10000</f>
        <v>105</v>
      </c>
      <c r="N18" s="15">
        <f t="shared" si="17"/>
        <v>105</v>
      </c>
      <c r="O18" s="15">
        <f>(RBC_rates!D10)*100</f>
        <v>0.1</v>
      </c>
      <c r="P18" s="16" t="str">
        <f>LEFT((RBC_rates!D13),5)*100 &amp; " (p)"</f>
        <v>5 (p)</v>
      </c>
      <c r="Q18" s="15">
        <f t="shared" si="23"/>
        <v>110</v>
      </c>
      <c r="R18" s="95">
        <f t="shared" si="9"/>
        <v>125</v>
      </c>
      <c r="S18" s="15">
        <f t="shared" si="13"/>
        <v>80</v>
      </c>
      <c r="T18" s="16">
        <f t="shared" si="22"/>
        <v>135</v>
      </c>
      <c r="U18" s="96">
        <f>LEFT((NBC_rates!D14),5)*100</f>
        <v>105</v>
      </c>
      <c r="V18" s="87">
        <f t="shared" si="13"/>
        <v>140</v>
      </c>
      <c r="W18" s="15">
        <f>W17</f>
        <v>45</v>
      </c>
      <c r="X18" s="15">
        <f t="shared" si="18"/>
        <v>150</v>
      </c>
      <c r="Y18" s="15">
        <f t="shared" si="19"/>
        <v>85</v>
      </c>
      <c r="Z18" s="15">
        <f t="shared" si="20"/>
        <v>25</v>
      </c>
      <c r="AA18" s="95">
        <f t="shared" si="20"/>
        <v>0</v>
      </c>
      <c r="AB18" s="18">
        <f t="shared" si="14"/>
        <v>230</v>
      </c>
    </row>
    <row r="19" spans="1:28" x14ac:dyDescent="0.25">
      <c r="A19" s="15" t="s">
        <v>53</v>
      </c>
      <c r="B19" s="15">
        <v>0</v>
      </c>
      <c r="C19" s="16">
        <f>(CIBC_rates!C4)*10000</f>
        <v>10</v>
      </c>
      <c r="D19" s="16">
        <f t="shared" si="15"/>
        <v>5</v>
      </c>
      <c r="E19" s="16">
        <f>E20</f>
        <v>5</v>
      </c>
      <c r="F19" s="15">
        <f>F20</f>
        <v>0</v>
      </c>
      <c r="G19" s="15">
        <f>G20</f>
        <v>0</v>
      </c>
      <c r="H19" s="95" t="str">
        <f t="shared" si="21"/>
        <v>20+145</v>
      </c>
      <c r="I19" s="95">
        <f>I20</f>
        <v>80</v>
      </c>
      <c r="J19" s="15" t="str">
        <f t="shared" si="24"/>
        <v>5 (p)</v>
      </c>
      <c r="K19" s="15" t="str">
        <f t="shared" si="16"/>
        <v>105 + 75, 80, 85, 90</v>
      </c>
      <c r="L19" s="15">
        <f>(BNS_rates!E10)*10000</f>
        <v>2</v>
      </c>
      <c r="M19" s="15">
        <f>(BNS_rates!E14)*10000</f>
        <v>5</v>
      </c>
      <c r="N19" s="15">
        <f t="shared" si="17"/>
        <v>105</v>
      </c>
      <c r="O19" s="15">
        <f>(RBC_rates!D11)*100</f>
        <v>0</v>
      </c>
      <c r="P19" s="16" t="str">
        <f>LEFT((RBC_rates!D14),5)*100 &amp; " (p)"</f>
        <v>2 (p)</v>
      </c>
      <c r="Q19" s="15">
        <f t="shared" si="23"/>
        <v>110</v>
      </c>
      <c r="R19" s="95">
        <f t="shared" si="9"/>
        <v>125</v>
      </c>
      <c r="S19" s="15">
        <f t="shared" si="13"/>
        <v>80</v>
      </c>
      <c r="T19" s="16">
        <f t="shared" si="22"/>
        <v>135</v>
      </c>
      <c r="U19" s="17">
        <v>0</v>
      </c>
      <c r="V19" s="87">
        <f>V18</f>
        <v>140</v>
      </c>
      <c r="W19" s="15">
        <f t="shared" ref="W19:W21" si="25">W18</f>
        <v>45</v>
      </c>
      <c r="X19" s="15">
        <f t="shared" si="18"/>
        <v>150</v>
      </c>
      <c r="Y19" s="15">
        <f t="shared" si="19"/>
        <v>85</v>
      </c>
      <c r="Z19" s="15">
        <f t="shared" si="20"/>
        <v>25</v>
      </c>
      <c r="AA19" s="95">
        <f t="shared" si="20"/>
        <v>0</v>
      </c>
      <c r="AB19" s="18">
        <f t="shared" si="14"/>
        <v>230</v>
      </c>
    </row>
    <row r="20" spans="1:28" x14ac:dyDescent="0.25">
      <c r="A20" s="15" t="s">
        <v>54</v>
      </c>
      <c r="B20" s="15">
        <v>0</v>
      </c>
      <c r="C20" s="16">
        <f>(CIBC_rates!C3)*10000</f>
        <v>5</v>
      </c>
      <c r="D20" s="16">
        <f t="shared" ref="D20" si="26">D19</f>
        <v>5</v>
      </c>
      <c r="E20" s="16">
        <f>(TD_rates!B6)*10000</f>
        <v>5</v>
      </c>
      <c r="F20" s="15">
        <f>F21</f>
        <v>0</v>
      </c>
      <c r="G20" s="15">
        <f>G21</f>
        <v>0</v>
      </c>
      <c r="H20" s="95" t="str">
        <f t="shared" si="21"/>
        <v>20+145</v>
      </c>
      <c r="I20" s="95">
        <f>I21</f>
        <v>80</v>
      </c>
      <c r="J20" s="15" t="str">
        <f t="shared" si="24"/>
        <v>5 (p)</v>
      </c>
      <c r="K20" s="15" t="str">
        <f t="shared" si="16"/>
        <v>105 + 75, 80, 85, 90</v>
      </c>
      <c r="L20" s="15">
        <f>L19</f>
        <v>2</v>
      </c>
      <c r="M20" s="15">
        <f t="shared" ref="M20:M21" si="27">M19</f>
        <v>5</v>
      </c>
      <c r="N20" s="15">
        <f t="shared" si="17"/>
        <v>105</v>
      </c>
      <c r="O20" s="15">
        <f>O19</f>
        <v>0</v>
      </c>
      <c r="P20" s="16">
        <f>(RBC_rates!D15)*100</f>
        <v>1</v>
      </c>
      <c r="Q20" s="15">
        <f t="shared" si="23"/>
        <v>110</v>
      </c>
      <c r="R20" s="95">
        <f>R21</f>
        <v>125</v>
      </c>
      <c r="S20" s="15">
        <f t="shared" si="13"/>
        <v>80</v>
      </c>
      <c r="T20" s="16">
        <f t="shared" si="22"/>
        <v>135</v>
      </c>
      <c r="U20" s="17">
        <f>U19</f>
        <v>0</v>
      </c>
      <c r="V20" s="87">
        <f>V19</f>
        <v>140</v>
      </c>
      <c r="W20" s="15">
        <f t="shared" si="25"/>
        <v>45</v>
      </c>
      <c r="X20" s="15">
        <f t="shared" si="18"/>
        <v>150</v>
      </c>
      <c r="Y20" s="15">
        <f t="shared" si="19"/>
        <v>85</v>
      </c>
      <c r="Z20" s="15">
        <f t="shared" si="20"/>
        <v>25</v>
      </c>
      <c r="AA20" s="95">
        <f t="shared" si="20"/>
        <v>0</v>
      </c>
      <c r="AB20" s="18">
        <f t="shared" si="14"/>
        <v>230</v>
      </c>
    </row>
    <row r="21" spans="1:28" x14ac:dyDescent="0.25">
      <c r="A21" s="15" t="s">
        <v>55</v>
      </c>
      <c r="B21" s="15">
        <v>0</v>
      </c>
      <c r="C21" s="16">
        <f>C20</f>
        <v>5</v>
      </c>
      <c r="D21" s="16">
        <f t="shared" ref="D21" si="28">D20</f>
        <v>5</v>
      </c>
      <c r="E21" s="16">
        <f>(TD_rates!B5)*10000</f>
        <v>5</v>
      </c>
      <c r="F21" s="15">
        <f>(TD_rates!B12)*10000</f>
        <v>0</v>
      </c>
      <c r="G21" s="15">
        <f>(TD_rates!B19)*10000</f>
        <v>0</v>
      </c>
      <c r="H21" s="95" t="str">
        <f t="shared" si="21"/>
        <v>20+145</v>
      </c>
      <c r="I21" s="95">
        <f>(BMO_rates!C5)*10000</f>
        <v>80</v>
      </c>
      <c r="J21" s="15" t="str">
        <f t="shared" si="24"/>
        <v>5 (p)</v>
      </c>
      <c r="K21" s="15" t="str">
        <f t="shared" si="16"/>
        <v>105 + 75, 80, 85, 90</v>
      </c>
      <c r="L21" s="15">
        <f>L20</f>
        <v>2</v>
      </c>
      <c r="M21" s="15">
        <f t="shared" si="27"/>
        <v>5</v>
      </c>
      <c r="N21" s="15">
        <f t="shared" si="17"/>
        <v>105</v>
      </c>
      <c r="O21" s="15">
        <f>O20</f>
        <v>0</v>
      </c>
      <c r="P21" s="16">
        <f>(RBC_rates!D16)*100</f>
        <v>0.5</v>
      </c>
      <c r="Q21" s="15">
        <f t="shared" si="23"/>
        <v>110</v>
      </c>
      <c r="R21" s="95">
        <f>(Simplii_rates!C11)*100</f>
        <v>125</v>
      </c>
      <c r="S21" s="15">
        <f t="shared" si="13"/>
        <v>80</v>
      </c>
      <c r="T21" s="16">
        <f t="shared" si="22"/>
        <v>135</v>
      </c>
      <c r="U21" s="17">
        <f>(NBC_rates!D13)*100</f>
        <v>0</v>
      </c>
      <c r="V21" s="87">
        <f>V20</f>
        <v>140</v>
      </c>
      <c r="W21" s="15">
        <f t="shared" si="25"/>
        <v>45</v>
      </c>
      <c r="X21" s="15">
        <f t="shared" si="18"/>
        <v>150</v>
      </c>
      <c r="Y21" s="15">
        <f t="shared" si="19"/>
        <v>85</v>
      </c>
      <c r="Z21" s="15">
        <f t="shared" si="20"/>
        <v>25</v>
      </c>
      <c r="AA21" s="95">
        <f t="shared" si="20"/>
        <v>0</v>
      </c>
      <c r="AB21" s="18">
        <f t="shared" si="14"/>
        <v>230</v>
      </c>
    </row>
    <row r="22" spans="1:28" x14ac:dyDescent="0.25">
      <c r="A22" s="19"/>
      <c r="B22" s="19"/>
      <c r="C22" s="6"/>
      <c r="D22" s="6"/>
      <c r="E22" s="6"/>
      <c r="F22" s="19"/>
      <c r="G22" s="19"/>
      <c r="H22" s="19"/>
      <c r="I22" s="19"/>
      <c r="J22" s="3"/>
      <c r="K22" s="3"/>
      <c r="L22" s="3"/>
      <c r="M22" s="3"/>
      <c r="N22" s="3"/>
      <c r="O22" s="3"/>
      <c r="P22" s="6"/>
      <c r="Q22" s="19"/>
      <c r="R22" s="19"/>
      <c r="S22" s="19"/>
      <c r="T22" s="6"/>
      <c r="U22" s="19"/>
      <c r="V22" s="19"/>
      <c r="W22" s="19"/>
      <c r="X22" s="19"/>
      <c r="Y22" s="19"/>
      <c r="Z22" s="19"/>
      <c r="AA22" s="19"/>
      <c r="AB22" s="3"/>
    </row>
    <row r="23" spans="1:28" x14ac:dyDescent="0.25">
      <c r="A23" s="20" t="s">
        <v>56</v>
      </c>
      <c r="B23" s="21">
        <v>43299</v>
      </c>
      <c r="C23" s="22">
        <v>42202</v>
      </c>
      <c r="D23" s="22">
        <v>42202</v>
      </c>
      <c r="E23" s="22">
        <v>42202</v>
      </c>
      <c r="F23" s="21">
        <v>42688</v>
      </c>
      <c r="G23" s="21">
        <v>43298</v>
      </c>
      <c r="H23" s="21">
        <v>43125</v>
      </c>
      <c r="I23" s="21">
        <v>43125</v>
      </c>
      <c r="J23" s="21">
        <v>42207</v>
      </c>
      <c r="K23" s="21">
        <v>43294</v>
      </c>
      <c r="L23" s="21">
        <v>42920</v>
      </c>
      <c r="M23" s="21">
        <v>42986</v>
      </c>
      <c r="N23" s="21">
        <v>43118</v>
      </c>
      <c r="O23" s="21">
        <v>42205</v>
      </c>
      <c r="P23" s="22">
        <v>42205</v>
      </c>
      <c r="Q23" s="21">
        <v>43123</v>
      </c>
      <c r="R23" s="21">
        <v>43130</v>
      </c>
      <c r="S23" s="21">
        <v>42213</v>
      </c>
      <c r="T23" s="22">
        <v>42039</v>
      </c>
      <c r="U23" s="21">
        <v>43129</v>
      </c>
      <c r="V23" s="88">
        <v>43304</v>
      </c>
      <c r="W23" s="21">
        <v>43181</v>
      </c>
      <c r="X23" s="21">
        <v>43040</v>
      </c>
      <c r="Y23" s="21">
        <v>43122</v>
      </c>
      <c r="Z23" s="21">
        <v>42207</v>
      </c>
      <c r="AA23" s="23">
        <v>42921</v>
      </c>
      <c r="AB23" s="21">
        <v>42859</v>
      </c>
    </row>
    <row r="24" spans="1:28" x14ac:dyDescent="0.25">
      <c r="A24" s="24" t="s">
        <v>57</v>
      </c>
      <c r="B24" s="25">
        <v>40140</v>
      </c>
      <c r="C24" s="26">
        <v>37775</v>
      </c>
      <c r="D24" s="26">
        <v>36982</v>
      </c>
      <c r="E24" s="25">
        <v>36039</v>
      </c>
      <c r="F24" s="25">
        <v>40385</v>
      </c>
      <c r="G24" s="25">
        <v>40385</v>
      </c>
      <c r="H24" s="25">
        <v>42095</v>
      </c>
      <c r="I24" s="25">
        <v>39790</v>
      </c>
      <c r="J24" s="25">
        <v>37043</v>
      </c>
      <c r="K24" s="21">
        <v>42940</v>
      </c>
      <c r="L24" s="25">
        <v>37196</v>
      </c>
      <c r="M24" s="25">
        <v>41989</v>
      </c>
      <c r="N24" s="25">
        <v>39173</v>
      </c>
      <c r="O24" s="25" t="s">
        <v>58</v>
      </c>
      <c r="P24" s="25"/>
      <c r="Q24" s="21">
        <v>35521</v>
      </c>
      <c r="R24" s="25">
        <v>38902</v>
      </c>
      <c r="S24" s="25">
        <v>38902</v>
      </c>
      <c r="T24" s="25">
        <v>38322</v>
      </c>
      <c r="U24" s="25" t="s">
        <v>58</v>
      </c>
      <c r="V24" s="22">
        <v>41367</v>
      </c>
      <c r="W24" s="25">
        <v>38169</v>
      </c>
      <c r="X24" s="25">
        <v>38808</v>
      </c>
      <c r="Y24" s="22">
        <v>38991</v>
      </c>
      <c r="Z24" s="22">
        <v>36708</v>
      </c>
      <c r="AA24" s="21">
        <v>39022</v>
      </c>
      <c r="AB24" s="21">
        <v>42235</v>
      </c>
    </row>
    <row r="27" spans="1:28" x14ac:dyDescent="0.25">
      <c r="B27" s="78"/>
    </row>
  </sheetData>
  <mergeCells count="1">
    <mergeCell ref="A1:V1"/>
  </mergeCells>
  <pageMargins left="0.7" right="0.7" top="0.75" bottom="0.75" header="0.3" footer="0.3"/>
  <ignoredErrors>
    <ignoredError sqref="C20" 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W21"/>
  <sheetViews>
    <sheetView workbookViewId="0">
      <selection activeCell="I18" sqref="I18"/>
    </sheetView>
  </sheetViews>
  <sheetFormatPr defaultRowHeight="15" x14ac:dyDescent="0.25"/>
  <cols>
    <col min="5" max="5" width="9.140625" customWidth="1"/>
    <col min="7" max="10" width="9.140625" customWidth="1"/>
  </cols>
  <sheetData>
    <row r="1" spans="1:23" x14ac:dyDescent="0.25">
      <c r="A1" s="27"/>
      <c r="B1" s="27"/>
      <c r="C1" s="27"/>
      <c r="D1" s="27"/>
      <c r="E1" s="27"/>
      <c r="F1" s="27"/>
      <c r="G1" s="27"/>
      <c r="H1" s="27"/>
      <c r="I1" s="27"/>
      <c r="J1" s="27"/>
      <c r="K1" s="27"/>
      <c r="L1" s="27"/>
      <c r="M1" s="27"/>
      <c r="N1" s="27"/>
      <c r="O1" s="27"/>
      <c r="P1" s="27"/>
      <c r="Q1" s="27"/>
      <c r="R1" s="27"/>
      <c r="S1" s="27"/>
      <c r="T1" s="27"/>
      <c r="U1" s="27"/>
      <c r="V1" s="27"/>
      <c r="W1" s="27"/>
    </row>
    <row r="2" spans="1:23" x14ac:dyDescent="0.25">
      <c r="A2" s="27"/>
      <c r="B2" s="27"/>
      <c r="C2" s="27"/>
      <c r="D2" s="27"/>
      <c r="E2" s="27"/>
      <c r="F2" s="27"/>
      <c r="G2" s="27"/>
      <c r="H2" s="27"/>
      <c r="I2" s="27"/>
      <c r="J2" s="27"/>
      <c r="K2" s="27"/>
      <c r="L2" s="27"/>
      <c r="M2" s="27"/>
      <c r="N2" s="27"/>
      <c r="O2" s="27"/>
      <c r="P2" s="27"/>
      <c r="Q2" s="27"/>
      <c r="R2" s="27"/>
      <c r="S2" s="27"/>
      <c r="T2" s="27"/>
      <c r="U2" s="27"/>
      <c r="V2" s="27"/>
      <c r="W2" s="27"/>
    </row>
    <row r="3" spans="1:23" x14ac:dyDescent="0.25">
      <c r="A3" s="27"/>
      <c r="B3" s="27"/>
      <c r="C3" s="27"/>
      <c r="D3" s="27"/>
      <c r="E3" s="27"/>
      <c r="F3" s="27"/>
      <c r="G3" s="27"/>
      <c r="H3" s="27"/>
      <c r="I3" s="27"/>
      <c r="J3" s="27"/>
      <c r="K3" s="27"/>
      <c r="L3" s="27"/>
      <c r="M3" s="27"/>
      <c r="N3" s="27"/>
      <c r="O3" s="27"/>
      <c r="P3" s="27"/>
      <c r="Q3" s="27"/>
      <c r="R3" s="27"/>
      <c r="S3" s="27"/>
      <c r="T3" s="27"/>
      <c r="U3" s="27"/>
      <c r="V3" s="27"/>
      <c r="W3" s="27"/>
    </row>
    <row r="4" spans="1:23" ht="25.5" x14ac:dyDescent="0.35">
      <c r="A4" s="102" t="s">
        <v>59</v>
      </c>
      <c r="B4" s="102"/>
      <c r="C4" s="102"/>
      <c r="D4" s="102"/>
      <c r="E4" s="102"/>
      <c r="F4" s="102"/>
      <c r="G4" s="102"/>
      <c r="H4" s="102"/>
      <c r="I4" s="102"/>
      <c r="J4" s="102"/>
      <c r="K4" s="102"/>
      <c r="L4" s="102"/>
      <c r="M4" s="102"/>
      <c r="N4" s="102"/>
      <c r="O4" s="102"/>
      <c r="P4" s="102"/>
      <c r="Q4" s="102"/>
      <c r="R4" s="102"/>
      <c r="S4" s="102"/>
      <c r="T4" s="28"/>
      <c r="U4" s="28"/>
      <c r="V4" s="28"/>
      <c r="W4" s="28"/>
    </row>
    <row r="5" spans="1:23" x14ac:dyDescent="0.25">
      <c r="A5" s="27"/>
      <c r="B5" s="27"/>
      <c r="C5" s="27"/>
      <c r="D5" s="27"/>
      <c r="E5" s="27"/>
      <c r="F5" s="27"/>
      <c r="G5" s="27"/>
      <c r="H5" s="27"/>
      <c r="I5" s="27"/>
      <c r="J5" s="27"/>
      <c r="K5" s="27"/>
      <c r="L5" s="27"/>
      <c r="M5" s="27"/>
      <c r="N5" s="27"/>
      <c r="O5" s="27"/>
      <c r="P5" s="27"/>
      <c r="Q5" s="27"/>
      <c r="R5" s="27"/>
      <c r="S5" s="27"/>
      <c r="T5" s="27"/>
      <c r="U5" s="27"/>
      <c r="V5" s="27"/>
      <c r="W5" s="27"/>
    </row>
    <row r="6" spans="1:23" x14ac:dyDescent="0.25">
      <c r="A6" s="27"/>
      <c r="B6" s="27"/>
      <c r="C6" s="27"/>
      <c r="D6" s="27"/>
      <c r="E6" s="27"/>
      <c r="F6" s="27"/>
      <c r="G6" s="27"/>
      <c r="H6" s="27"/>
      <c r="I6" s="27"/>
      <c r="J6" s="27"/>
      <c r="K6" s="27"/>
      <c r="L6" s="27"/>
      <c r="M6" s="27"/>
      <c r="N6" s="27"/>
      <c r="O6" s="27"/>
      <c r="P6" s="27"/>
      <c r="Q6" s="27"/>
      <c r="R6" s="27"/>
      <c r="S6" s="27"/>
      <c r="T6" s="27"/>
      <c r="U6" s="27"/>
      <c r="V6" s="27"/>
      <c r="W6" s="27"/>
    </row>
    <row r="7" spans="1:23" x14ac:dyDescent="0.25">
      <c r="A7" s="29" t="s">
        <v>60</v>
      </c>
      <c r="B7" s="27"/>
      <c r="C7" s="27"/>
      <c r="D7" s="27"/>
      <c r="E7" s="27"/>
      <c r="F7" s="27"/>
      <c r="G7" s="27"/>
      <c r="H7" s="27"/>
      <c r="I7" s="27"/>
      <c r="J7" s="27"/>
      <c r="K7" s="27"/>
      <c r="L7" s="27"/>
      <c r="M7" s="27"/>
      <c r="N7" s="27"/>
      <c r="O7" s="27"/>
      <c r="P7" s="27"/>
      <c r="Q7" s="27"/>
      <c r="R7" s="27"/>
      <c r="S7" s="27"/>
      <c r="T7" s="27"/>
      <c r="U7" s="27"/>
      <c r="V7" s="27"/>
      <c r="W7" s="27"/>
    </row>
    <row r="8" spans="1:23" x14ac:dyDescent="0.25">
      <c r="A8" s="29"/>
      <c r="B8" s="27"/>
      <c r="C8" s="27"/>
      <c r="D8" s="27"/>
      <c r="E8" s="27"/>
      <c r="F8" s="27"/>
      <c r="G8" s="27"/>
      <c r="H8" s="27"/>
      <c r="I8" s="27"/>
      <c r="J8" s="27"/>
      <c r="K8" s="27"/>
      <c r="L8" s="27"/>
      <c r="M8" s="27"/>
      <c r="N8" s="27"/>
      <c r="O8" s="27"/>
      <c r="P8" s="27"/>
      <c r="Q8" s="27"/>
      <c r="R8" s="27"/>
      <c r="S8" s="27"/>
      <c r="T8" s="27"/>
      <c r="U8" s="27"/>
      <c r="V8" s="27"/>
      <c r="W8" s="27"/>
    </row>
    <row r="9" spans="1:23" ht="15.75" thickBot="1" x14ac:dyDescent="0.3">
      <c r="A9" s="27"/>
      <c r="B9" s="27"/>
      <c r="C9" s="27"/>
      <c r="D9" s="27"/>
      <c r="E9" s="27"/>
      <c r="F9" s="27"/>
      <c r="G9" s="27"/>
      <c r="H9" s="27"/>
      <c r="I9" s="27"/>
      <c r="J9" s="27"/>
      <c r="K9" s="27"/>
      <c r="L9" s="27"/>
      <c r="M9" s="27"/>
      <c r="N9" s="27"/>
      <c r="O9" s="27"/>
      <c r="P9" s="27"/>
      <c r="Q9" s="27"/>
      <c r="R9" s="27"/>
      <c r="S9" s="27"/>
      <c r="T9" s="27"/>
      <c r="U9" s="27"/>
      <c r="V9" s="27"/>
      <c r="W9" s="27"/>
    </row>
    <row r="10" spans="1:23" ht="103.5" thickBot="1" x14ac:dyDescent="0.3">
      <c r="A10" s="30"/>
      <c r="B10" s="31"/>
      <c r="C10" s="103" t="s">
        <v>61</v>
      </c>
      <c r="D10" s="104"/>
      <c r="E10" s="32" t="s">
        <v>62</v>
      </c>
      <c r="F10" s="103" t="s">
        <v>63</v>
      </c>
      <c r="G10" s="104"/>
      <c r="H10" s="34" t="s">
        <v>64</v>
      </c>
      <c r="I10" s="34" t="s">
        <v>65</v>
      </c>
      <c r="J10" s="34" t="s">
        <v>66</v>
      </c>
      <c r="K10" s="34" t="s">
        <v>67</v>
      </c>
      <c r="L10" s="34" t="s">
        <v>68</v>
      </c>
      <c r="M10" s="34" t="s">
        <v>69</v>
      </c>
      <c r="N10" s="34" t="s">
        <v>70</v>
      </c>
      <c r="O10" s="34" t="s">
        <v>71</v>
      </c>
      <c r="P10" s="103" t="s">
        <v>72</v>
      </c>
      <c r="Q10" s="104"/>
      <c r="R10" s="34" t="s">
        <v>73</v>
      </c>
      <c r="S10" s="34" t="s">
        <v>74</v>
      </c>
      <c r="T10" s="34" t="s">
        <v>75</v>
      </c>
      <c r="U10" s="33" t="s">
        <v>76</v>
      </c>
      <c r="V10" s="34" t="s">
        <v>77</v>
      </c>
      <c r="W10" s="34" t="s">
        <v>78</v>
      </c>
    </row>
    <row r="11" spans="1:23" x14ac:dyDescent="0.25">
      <c r="A11" s="35"/>
      <c r="B11" s="27"/>
      <c r="C11" s="36"/>
      <c r="D11" s="37"/>
      <c r="E11" s="38"/>
      <c r="F11" s="36"/>
      <c r="G11" s="37"/>
      <c r="H11" s="39"/>
      <c r="I11" s="39"/>
      <c r="J11" s="39"/>
      <c r="K11" s="40"/>
      <c r="L11" s="41"/>
      <c r="M11" s="39"/>
      <c r="N11" s="39"/>
      <c r="O11" s="39"/>
      <c r="P11" s="36"/>
      <c r="Q11" s="37"/>
      <c r="R11" s="39"/>
      <c r="S11" s="40"/>
      <c r="T11" s="39"/>
      <c r="U11" s="42"/>
      <c r="V11" s="40"/>
      <c r="W11" s="39"/>
    </row>
    <row r="12" spans="1:23" x14ac:dyDescent="0.25">
      <c r="A12" s="43" t="s">
        <v>79</v>
      </c>
      <c r="B12" s="44"/>
      <c r="C12" s="45">
        <v>25</v>
      </c>
      <c r="D12" s="46" t="s">
        <v>80</v>
      </c>
      <c r="E12" s="17">
        <v>120</v>
      </c>
      <c r="F12" s="47">
        <v>10</v>
      </c>
      <c r="G12" s="48" t="s">
        <v>80</v>
      </c>
      <c r="H12" s="49">
        <v>120</v>
      </c>
      <c r="I12" s="49">
        <v>25</v>
      </c>
      <c r="J12" s="49">
        <v>0</v>
      </c>
      <c r="K12" s="17">
        <v>120</v>
      </c>
      <c r="L12" s="50">
        <v>5</v>
      </c>
      <c r="M12" s="89">
        <v>95</v>
      </c>
      <c r="N12" s="89">
        <v>95</v>
      </c>
      <c r="O12" s="89">
        <v>120</v>
      </c>
      <c r="P12" s="47">
        <v>15</v>
      </c>
      <c r="Q12" s="48" t="s">
        <v>80</v>
      </c>
      <c r="R12" s="17">
        <v>40</v>
      </c>
      <c r="S12" s="51">
        <v>30</v>
      </c>
      <c r="T12" s="46">
        <v>25</v>
      </c>
      <c r="U12" s="17">
        <v>120</v>
      </c>
      <c r="V12" s="17">
        <v>115</v>
      </c>
      <c r="W12" s="51">
        <v>25</v>
      </c>
    </row>
    <row r="13" spans="1:23" x14ac:dyDescent="0.25">
      <c r="A13" s="43" t="s">
        <v>81</v>
      </c>
      <c r="B13" s="44"/>
      <c r="C13" s="45">
        <f>C12</f>
        <v>25</v>
      </c>
      <c r="D13" s="46"/>
      <c r="E13" s="17">
        <f t="shared" ref="E13:E18" si="0">E12</f>
        <v>120</v>
      </c>
      <c r="F13" s="47">
        <v>10</v>
      </c>
      <c r="G13" s="48" t="s">
        <v>80</v>
      </c>
      <c r="H13" s="49">
        <f t="shared" ref="H13:I18" si="1">H12</f>
        <v>120</v>
      </c>
      <c r="I13" s="49">
        <f t="shared" si="1"/>
        <v>25</v>
      </c>
      <c r="J13" s="49">
        <v>0</v>
      </c>
      <c r="K13" s="17">
        <f t="shared" ref="K13:K18" si="2">K12</f>
        <v>120</v>
      </c>
      <c r="L13" s="50">
        <v>5</v>
      </c>
      <c r="M13" s="89">
        <f t="shared" ref="M13:O18" si="3">M12</f>
        <v>95</v>
      </c>
      <c r="N13" s="89">
        <f t="shared" si="3"/>
        <v>95</v>
      </c>
      <c r="O13" s="89">
        <f t="shared" si="3"/>
        <v>120</v>
      </c>
      <c r="P13" s="47">
        <v>10</v>
      </c>
      <c r="Q13" s="48" t="s">
        <v>80</v>
      </c>
      <c r="R13" s="17">
        <f t="shared" ref="R13:W18" si="4">R12</f>
        <v>40</v>
      </c>
      <c r="S13" s="17">
        <f t="shared" si="4"/>
        <v>30</v>
      </c>
      <c r="T13" s="46">
        <f t="shared" si="4"/>
        <v>25</v>
      </c>
      <c r="U13" s="17">
        <f t="shared" si="4"/>
        <v>120</v>
      </c>
      <c r="V13" s="17">
        <f t="shared" si="4"/>
        <v>115</v>
      </c>
      <c r="W13" s="51">
        <f t="shared" si="4"/>
        <v>25</v>
      </c>
    </row>
    <row r="14" spans="1:23" x14ac:dyDescent="0.25">
      <c r="A14" s="43" t="s">
        <v>82</v>
      </c>
      <c r="B14" s="44"/>
      <c r="C14" s="45">
        <v>20</v>
      </c>
      <c r="D14" s="46"/>
      <c r="E14" s="17">
        <f t="shared" si="0"/>
        <v>120</v>
      </c>
      <c r="F14" s="47">
        <v>5</v>
      </c>
      <c r="G14" s="48" t="s">
        <v>80</v>
      </c>
      <c r="H14" s="49">
        <f t="shared" si="1"/>
        <v>120</v>
      </c>
      <c r="I14" s="49">
        <f t="shared" si="1"/>
        <v>25</v>
      </c>
      <c r="J14" s="49">
        <v>0</v>
      </c>
      <c r="K14" s="17">
        <f t="shared" si="2"/>
        <v>120</v>
      </c>
      <c r="L14" s="50">
        <v>5</v>
      </c>
      <c r="M14" s="89">
        <f t="shared" si="3"/>
        <v>95</v>
      </c>
      <c r="N14" s="89">
        <f t="shared" si="3"/>
        <v>95</v>
      </c>
      <c r="O14" s="89">
        <f t="shared" si="3"/>
        <v>120</v>
      </c>
      <c r="P14" s="47">
        <v>5</v>
      </c>
      <c r="Q14" s="48" t="s">
        <v>80</v>
      </c>
      <c r="R14" s="17">
        <f t="shared" si="4"/>
        <v>40</v>
      </c>
      <c r="S14" s="17">
        <f t="shared" si="4"/>
        <v>30</v>
      </c>
      <c r="T14" s="46">
        <f t="shared" si="4"/>
        <v>25</v>
      </c>
      <c r="U14" s="17">
        <f t="shared" si="4"/>
        <v>120</v>
      </c>
      <c r="V14" s="17">
        <f t="shared" si="4"/>
        <v>115</v>
      </c>
      <c r="W14" s="51">
        <f t="shared" si="4"/>
        <v>25</v>
      </c>
    </row>
    <row r="15" spans="1:23" x14ac:dyDescent="0.25">
      <c r="A15" s="43" t="s">
        <v>83</v>
      </c>
      <c r="B15" s="44"/>
      <c r="C15" s="45">
        <v>10</v>
      </c>
      <c r="D15" s="46"/>
      <c r="E15" s="17">
        <f t="shared" si="0"/>
        <v>120</v>
      </c>
      <c r="F15" s="52">
        <v>2.5</v>
      </c>
      <c r="G15" s="48" t="s">
        <v>80</v>
      </c>
      <c r="H15" s="49">
        <f t="shared" si="1"/>
        <v>120</v>
      </c>
      <c r="I15" s="49">
        <f t="shared" si="1"/>
        <v>25</v>
      </c>
      <c r="J15" s="49">
        <v>0</v>
      </c>
      <c r="K15" s="17">
        <f t="shared" si="2"/>
        <v>120</v>
      </c>
      <c r="L15" s="50">
        <v>5</v>
      </c>
      <c r="M15" s="89">
        <f t="shared" si="3"/>
        <v>95</v>
      </c>
      <c r="N15" s="89">
        <f t="shared" si="3"/>
        <v>95</v>
      </c>
      <c r="O15" s="89">
        <f t="shared" si="3"/>
        <v>120</v>
      </c>
      <c r="P15" s="52">
        <v>2.5</v>
      </c>
      <c r="Q15" s="48" t="s">
        <v>80</v>
      </c>
      <c r="R15" s="17">
        <f t="shared" si="4"/>
        <v>40</v>
      </c>
      <c r="S15" s="17">
        <f t="shared" si="4"/>
        <v>30</v>
      </c>
      <c r="T15" s="46">
        <f t="shared" si="4"/>
        <v>25</v>
      </c>
      <c r="U15" s="17">
        <f t="shared" si="4"/>
        <v>120</v>
      </c>
      <c r="V15" s="17">
        <f t="shared" si="4"/>
        <v>115</v>
      </c>
      <c r="W15" s="51">
        <f t="shared" si="4"/>
        <v>25</v>
      </c>
    </row>
    <row r="16" spans="1:23" x14ac:dyDescent="0.25">
      <c r="A16" s="43" t="s">
        <v>84</v>
      </c>
      <c r="B16" s="44"/>
      <c r="C16" s="45">
        <f>C15</f>
        <v>10</v>
      </c>
      <c r="D16" s="46"/>
      <c r="E16" s="17">
        <f t="shared" si="0"/>
        <v>120</v>
      </c>
      <c r="F16" s="47">
        <v>1</v>
      </c>
      <c r="G16" s="48" t="s">
        <v>80</v>
      </c>
      <c r="H16" s="49">
        <f t="shared" si="1"/>
        <v>120</v>
      </c>
      <c r="I16" s="49">
        <f t="shared" si="1"/>
        <v>25</v>
      </c>
      <c r="J16" s="49">
        <v>0</v>
      </c>
      <c r="K16" s="17">
        <f t="shared" si="2"/>
        <v>120</v>
      </c>
      <c r="L16" s="50">
        <v>5</v>
      </c>
      <c r="M16" s="89">
        <f t="shared" si="3"/>
        <v>95</v>
      </c>
      <c r="N16" s="89">
        <f t="shared" si="3"/>
        <v>95</v>
      </c>
      <c r="O16" s="89">
        <f t="shared" si="3"/>
        <v>120</v>
      </c>
      <c r="P16" s="47">
        <v>1</v>
      </c>
      <c r="Q16" s="48" t="s">
        <v>80</v>
      </c>
      <c r="R16" s="17">
        <f t="shared" si="4"/>
        <v>40</v>
      </c>
      <c r="S16" s="17">
        <f t="shared" si="4"/>
        <v>30</v>
      </c>
      <c r="T16" s="46">
        <f t="shared" si="4"/>
        <v>25</v>
      </c>
      <c r="U16" s="17">
        <f t="shared" si="4"/>
        <v>120</v>
      </c>
      <c r="V16" s="17">
        <f t="shared" si="4"/>
        <v>115</v>
      </c>
      <c r="W16" s="51">
        <f t="shared" si="4"/>
        <v>25</v>
      </c>
    </row>
    <row r="17" spans="1:23" x14ac:dyDescent="0.25">
      <c r="A17" s="43" t="s">
        <v>85</v>
      </c>
      <c r="B17" s="44"/>
      <c r="C17" s="45">
        <v>5</v>
      </c>
      <c r="D17" s="46"/>
      <c r="E17" s="17">
        <f t="shared" si="0"/>
        <v>120</v>
      </c>
      <c r="F17" s="47">
        <v>1</v>
      </c>
      <c r="G17" s="48" t="s">
        <v>80</v>
      </c>
      <c r="H17" s="49">
        <f t="shared" si="1"/>
        <v>120</v>
      </c>
      <c r="I17" s="49">
        <f t="shared" si="1"/>
        <v>25</v>
      </c>
      <c r="J17" s="49">
        <v>0</v>
      </c>
      <c r="K17" s="17">
        <f t="shared" si="2"/>
        <v>120</v>
      </c>
      <c r="L17" s="50">
        <v>5</v>
      </c>
      <c r="M17" s="89">
        <f t="shared" si="3"/>
        <v>95</v>
      </c>
      <c r="N17" s="89">
        <f t="shared" si="3"/>
        <v>95</v>
      </c>
      <c r="O17" s="89">
        <f t="shared" si="3"/>
        <v>120</v>
      </c>
      <c r="P17" s="47">
        <v>1</v>
      </c>
      <c r="Q17" s="48" t="s">
        <v>80</v>
      </c>
      <c r="R17" s="17">
        <f t="shared" si="4"/>
        <v>40</v>
      </c>
      <c r="S17" s="17">
        <f t="shared" si="4"/>
        <v>30</v>
      </c>
      <c r="T17" s="46">
        <f t="shared" si="4"/>
        <v>25</v>
      </c>
      <c r="U17" s="17">
        <f t="shared" si="4"/>
        <v>120</v>
      </c>
      <c r="V17" s="17">
        <f t="shared" si="4"/>
        <v>115</v>
      </c>
      <c r="W17" s="51">
        <f t="shared" si="4"/>
        <v>25</v>
      </c>
    </row>
    <row r="18" spans="1:23" ht="15.75" thickBot="1" x14ac:dyDescent="0.3">
      <c r="A18" s="53" t="s">
        <v>86</v>
      </c>
      <c r="B18" s="54"/>
      <c r="C18" s="55">
        <f>C17</f>
        <v>5</v>
      </c>
      <c r="D18" s="56"/>
      <c r="E18" s="57">
        <f t="shared" si="0"/>
        <v>120</v>
      </c>
      <c r="F18" s="58">
        <v>0</v>
      </c>
      <c r="G18" s="59" t="s">
        <v>80</v>
      </c>
      <c r="H18" s="60">
        <f t="shared" si="1"/>
        <v>120</v>
      </c>
      <c r="I18" s="60">
        <f t="shared" si="1"/>
        <v>25</v>
      </c>
      <c r="J18" s="60">
        <v>0</v>
      </c>
      <c r="K18" s="57">
        <f t="shared" si="2"/>
        <v>120</v>
      </c>
      <c r="L18" s="61">
        <v>5</v>
      </c>
      <c r="M18" s="90">
        <f t="shared" si="3"/>
        <v>95</v>
      </c>
      <c r="N18" s="90">
        <f t="shared" si="3"/>
        <v>95</v>
      </c>
      <c r="O18" s="90">
        <f t="shared" si="3"/>
        <v>120</v>
      </c>
      <c r="P18" s="58">
        <v>0</v>
      </c>
      <c r="Q18" s="59" t="s">
        <v>80</v>
      </c>
      <c r="R18" s="62">
        <f t="shared" si="4"/>
        <v>40</v>
      </c>
      <c r="S18" s="62">
        <f t="shared" si="4"/>
        <v>30</v>
      </c>
      <c r="T18" s="56">
        <f t="shared" si="4"/>
        <v>25</v>
      </c>
      <c r="U18" s="57">
        <f t="shared" si="4"/>
        <v>120</v>
      </c>
      <c r="V18" s="57">
        <f t="shared" si="4"/>
        <v>115</v>
      </c>
      <c r="W18" s="63">
        <f t="shared" si="4"/>
        <v>25</v>
      </c>
    </row>
    <row r="19" spans="1:23" x14ac:dyDescent="0.25">
      <c r="A19" s="35"/>
      <c r="B19" s="27"/>
      <c r="C19" s="64"/>
      <c r="D19" s="65"/>
      <c r="E19" s="40"/>
      <c r="F19" s="66"/>
      <c r="G19" s="67"/>
      <c r="H19" s="68"/>
      <c r="I19" s="68"/>
      <c r="J19" s="68"/>
      <c r="K19" s="40"/>
      <c r="L19" s="41"/>
      <c r="M19" s="91"/>
      <c r="N19" s="91"/>
      <c r="O19" s="92"/>
      <c r="P19" s="66"/>
      <c r="Q19" s="67"/>
      <c r="R19" s="40"/>
      <c r="S19" s="69"/>
      <c r="T19" s="40"/>
      <c r="U19" s="40"/>
      <c r="V19" s="40"/>
      <c r="W19" s="39"/>
    </row>
    <row r="20" spans="1:23" ht="15.75" thickBot="1" x14ac:dyDescent="0.3">
      <c r="A20" s="53" t="s">
        <v>56</v>
      </c>
      <c r="B20" s="54"/>
      <c r="C20" s="105">
        <v>43090</v>
      </c>
      <c r="D20" s="106"/>
      <c r="E20" s="70">
        <v>43277</v>
      </c>
      <c r="F20" s="107">
        <v>42122</v>
      </c>
      <c r="G20" s="108"/>
      <c r="H20" s="71">
        <v>43273</v>
      </c>
      <c r="I20" s="71">
        <v>43088</v>
      </c>
      <c r="J20" s="71">
        <v>39569</v>
      </c>
      <c r="K20" s="70">
        <v>43272</v>
      </c>
      <c r="L20" s="72">
        <v>42234</v>
      </c>
      <c r="M20" s="93">
        <v>43188</v>
      </c>
      <c r="N20" s="93">
        <v>43188</v>
      </c>
      <c r="O20" s="93">
        <v>43285</v>
      </c>
      <c r="P20" s="100">
        <v>39940</v>
      </c>
      <c r="Q20" s="101"/>
      <c r="R20" s="70">
        <v>43248</v>
      </c>
      <c r="S20" s="73">
        <v>42039</v>
      </c>
      <c r="T20" s="73">
        <v>42044</v>
      </c>
      <c r="U20" s="70">
        <v>43280</v>
      </c>
      <c r="V20" s="70">
        <v>43269</v>
      </c>
      <c r="W20" s="73">
        <v>40116</v>
      </c>
    </row>
    <row r="21" spans="1:23" ht="15.75" thickBot="1" x14ac:dyDescent="0.3">
      <c r="A21" s="53" t="s">
        <v>87</v>
      </c>
      <c r="B21" s="54"/>
      <c r="C21" s="98" t="s">
        <v>88</v>
      </c>
      <c r="D21" s="99"/>
      <c r="E21" s="75" t="s">
        <v>89</v>
      </c>
      <c r="F21" s="98" t="s">
        <v>88</v>
      </c>
      <c r="G21" s="99"/>
      <c r="H21" s="71" t="s">
        <v>89</v>
      </c>
      <c r="I21" s="70" t="s">
        <v>88</v>
      </c>
      <c r="J21" s="71" t="s">
        <v>88</v>
      </c>
      <c r="K21" s="73" t="s">
        <v>89</v>
      </c>
      <c r="L21" s="73" t="s">
        <v>88</v>
      </c>
      <c r="M21" s="70" t="s">
        <v>89</v>
      </c>
      <c r="N21" s="70" t="s">
        <v>89</v>
      </c>
      <c r="O21" s="70" t="s">
        <v>89</v>
      </c>
      <c r="P21" s="100" t="s">
        <v>88</v>
      </c>
      <c r="Q21" s="101"/>
      <c r="R21" s="72" t="s">
        <v>88</v>
      </c>
      <c r="S21" s="70" t="s">
        <v>88</v>
      </c>
      <c r="T21" s="74" t="s">
        <v>88</v>
      </c>
      <c r="U21" s="70" t="s">
        <v>89</v>
      </c>
      <c r="V21" s="73" t="s">
        <v>89</v>
      </c>
      <c r="W21" s="73" t="s">
        <v>89</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workbookViewId="0">
      <selection activeCell="I18" sqref="I18"/>
    </sheetView>
  </sheetViews>
  <sheetFormatPr defaultRowHeight="15" x14ac:dyDescent="0.25"/>
  <cols>
    <col min="1" max="1" width="28.42578125" bestFit="1" customWidth="1"/>
  </cols>
  <sheetData>
    <row r="1" spans="1:14" ht="25.5" x14ac:dyDescent="0.35">
      <c r="A1" s="97"/>
      <c r="B1" s="97"/>
      <c r="C1" s="97"/>
      <c r="D1" s="97"/>
      <c r="E1" s="97"/>
      <c r="F1" s="97"/>
      <c r="G1" s="97"/>
      <c r="H1" s="97"/>
      <c r="I1" s="97"/>
      <c r="J1" s="97"/>
      <c r="K1" s="97"/>
      <c r="L1" s="3"/>
      <c r="M1" s="3"/>
      <c r="N1" s="3"/>
    </row>
    <row r="2" spans="1:14" ht="25.5" x14ac:dyDescent="0.35">
      <c r="A2" s="109" t="s">
        <v>90</v>
      </c>
      <c r="B2" s="109"/>
      <c r="C2" s="109"/>
      <c r="D2" s="109"/>
      <c r="E2" s="109"/>
      <c r="F2" s="109"/>
      <c r="G2" s="109"/>
      <c r="H2" s="109"/>
      <c r="I2" s="109"/>
      <c r="J2" s="109"/>
      <c r="K2" s="109"/>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91</v>
      </c>
      <c r="B7" s="8"/>
      <c r="C7" s="3"/>
      <c r="D7" s="3"/>
      <c r="E7" s="3"/>
      <c r="F7" s="3"/>
      <c r="G7" s="3"/>
      <c r="H7" s="3"/>
      <c r="I7" s="3"/>
      <c r="J7" s="3"/>
      <c r="K7" s="3"/>
      <c r="L7" s="3"/>
      <c r="M7" s="3"/>
      <c r="N7" s="3"/>
    </row>
    <row r="8" spans="1:14" x14ac:dyDescent="0.25">
      <c r="A8" s="19"/>
      <c r="B8" s="19"/>
      <c r="C8" s="19"/>
      <c r="D8" s="19"/>
      <c r="E8" s="19"/>
      <c r="F8" s="19"/>
      <c r="G8" s="19"/>
      <c r="H8" s="19"/>
      <c r="I8" s="19"/>
      <c r="J8" s="19"/>
      <c r="K8" s="19"/>
      <c r="L8" s="19"/>
      <c r="M8" s="19"/>
      <c r="N8" s="19"/>
    </row>
    <row r="9" spans="1:14" x14ac:dyDescent="0.25">
      <c r="A9" s="10"/>
      <c r="B9" s="11" t="s">
        <v>2</v>
      </c>
      <c r="C9" s="11" t="s">
        <v>2</v>
      </c>
      <c r="D9" s="11" t="s">
        <v>2</v>
      </c>
      <c r="E9" s="11" t="s">
        <v>92</v>
      </c>
      <c r="F9" s="11" t="s">
        <v>6</v>
      </c>
      <c r="G9" s="11" t="s">
        <v>6</v>
      </c>
      <c r="H9" s="11" t="s">
        <v>6</v>
      </c>
      <c r="I9" s="11" t="s">
        <v>7</v>
      </c>
      <c r="J9" s="11" t="s">
        <v>93</v>
      </c>
      <c r="K9" s="11" t="s">
        <v>13</v>
      </c>
      <c r="L9" s="11" t="s">
        <v>16</v>
      </c>
      <c r="M9" s="11" t="s">
        <v>94</v>
      </c>
      <c r="N9" s="76" t="s">
        <v>19</v>
      </c>
    </row>
    <row r="10" spans="1:14" ht="90" x14ac:dyDescent="0.25">
      <c r="A10" s="10"/>
      <c r="B10" s="13" t="s">
        <v>95</v>
      </c>
      <c r="C10" s="13" t="s">
        <v>96</v>
      </c>
      <c r="D10" s="13" t="s">
        <v>97</v>
      </c>
      <c r="E10" s="13" t="s">
        <v>98</v>
      </c>
      <c r="F10" s="13" t="s">
        <v>99</v>
      </c>
      <c r="G10" s="77" t="s">
        <v>100</v>
      </c>
      <c r="H10" s="77" t="s">
        <v>98</v>
      </c>
      <c r="I10" s="13" t="s">
        <v>101</v>
      </c>
      <c r="J10" s="13" t="s">
        <v>102</v>
      </c>
      <c r="K10" s="13" t="s">
        <v>101</v>
      </c>
      <c r="L10" s="13" t="s">
        <v>103</v>
      </c>
      <c r="M10" s="13" t="s">
        <v>104</v>
      </c>
      <c r="N10" s="12" t="s">
        <v>24</v>
      </c>
    </row>
    <row r="11" spans="1:14" x14ac:dyDescent="0.25">
      <c r="A11" s="15" t="s">
        <v>105</v>
      </c>
      <c r="B11" s="15">
        <v>135</v>
      </c>
      <c r="C11" s="15">
        <v>130</v>
      </c>
      <c r="D11" s="15">
        <v>135</v>
      </c>
      <c r="E11" s="15">
        <v>135</v>
      </c>
      <c r="F11" s="15">
        <v>110</v>
      </c>
      <c r="G11" s="15">
        <v>110</v>
      </c>
      <c r="H11" s="15">
        <v>110</v>
      </c>
      <c r="I11" s="15">
        <v>135</v>
      </c>
      <c r="J11" s="15">
        <v>135</v>
      </c>
      <c r="K11" s="15">
        <v>135</v>
      </c>
      <c r="L11" s="15">
        <v>115</v>
      </c>
      <c r="M11" s="87">
        <v>135</v>
      </c>
      <c r="N11" s="15">
        <v>135</v>
      </c>
    </row>
    <row r="12" spans="1:14" x14ac:dyDescent="0.25">
      <c r="A12" s="15" t="s">
        <v>48</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87">
        <f t="shared" si="0"/>
        <v>135</v>
      </c>
      <c r="N12" s="15">
        <f>N11</f>
        <v>135</v>
      </c>
    </row>
    <row r="13" spans="1:14" x14ac:dyDescent="0.25">
      <c r="A13" s="15" t="s">
        <v>49</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87">
        <f t="shared" si="0"/>
        <v>135</v>
      </c>
      <c r="N13" s="15">
        <f t="shared" si="0"/>
        <v>135</v>
      </c>
    </row>
    <row r="14" spans="1:14" x14ac:dyDescent="0.25">
      <c r="A14" s="15" t="s">
        <v>50</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87">
        <f t="shared" si="0"/>
        <v>135</v>
      </c>
      <c r="N14" s="15">
        <f t="shared" si="0"/>
        <v>135</v>
      </c>
    </row>
    <row r="15" spans="1:14" x14ac:dyDescent="0.25">
      <c r="A15" s="15" t="s">
        <v>51</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87">
        <f t="shared" si="0"/>
        <v>135</v>
      </c>
      <c r="N15" s="15">
        <f t="shared" si="0"/>
        <v>135</v>
      </c>
    </row>
    <row r="16" spans="1:14" x14ac:dyDescent="0.25">
      <c r="A16" s="15" t="s">
        <v>52</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87">
        <f t="shared" si="0"/>
        <v>135</v>
      </c>
      <c r="N16" s="15">
        <f t="shared" si="0"/>
        <v>135</v>
      </c>
    </row>
    <row r="17" spans="1:14" x14ac:dyDescent="0.25">
      <c r="A17" s="15" t="s">
        <v>53</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87">
        <f t="shared" si="0"/>
        <v>135</v>
      </c>
      <c r="N17" s="15">
        <f t="shared" si="0"/>
        <v>135</v>
      </c>
    </row>
    <row r="18" spans="1:14" x14ac:dyDescent="0.25">
      <c r="A18" s="15" t="s">
        <v>54</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87">
        <f t="shared" si="0"/>
        <v>135</v>
      </c>
      <c r="N18" s="15">
        <f t="shared" si="0"/>
        <v>135</v>
      </c>
    </row>
    <row r="19" spans="1:14" x14ac:dyDescent="0.25">
      <c r="A19" s="15" t="s">
        <v>55</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87">
        <f t="shared" si="0"/>
        <v>135</v>
      </c>
      <c r="N19" s="15">
        <f t="shared" si="0"/>
        <v>135</v>
      </c>
    </row>
    <row r="20" spans="1:14" x14ac:dyDescent="0.25">
      <c r="A20" s="19"/>
      <c r="B20" s="19"/>
      <c r="C20" s="19"/>
      <c r="D20" s="19"/>
      <c r="E20" s="19"/>
      <c r="F20" s="19"/>
      <c r="G20" s="19"/>
      <c r="H20" s="19"/>
      <c r="I20" s="19"/>
      <c r="J20" s="19"/>
      <c r="K20" s="19"/>
      <c r="L20" s="19"/>
      <c r="M20" s="94"/>
      <c r="N20" s="19"/>
    </row>
    <row r="21" spans="1:14" x14ac:dyDescent="0.25">
      <c r="A21" s="20" t="s">
        <v>56</v>
      </c>
      <c r="B21" s="21">
        <v>43294</v>
      </c>
      <c r="C21" s="21">
        <v>43294</v>
      </c>
      <c r="D21" s="21">
        <v>43294</v>
      </c>
      <c r="E21" s="21">
        <v>43298</v>
      </c>
      <c r="F21" s="21">
        <v>43123</v>
      </c>
      <c r="G21" s="21">
        <f>F21</f>
        <v>43123</v>
      </c>
      <c r="H21" s="21">
        <f>G21</f>
        <v>43123</v>
      </c>
      <c r="I21" s="21">
        <v>43293</v>
      </c>
      <c r="J21" s="21">
        <v>43294</v>
      </c>
      <c r="K21" s="21">
        <v>43300</v>
      </c>
      <c r="L21" s="21">
        <v>43130</v>
      </c>
      <c r="M21" s="88">
        <v>43301</v>
      </c>
      <c r="N21" s="21">
        <v>43300</v>
      </c>
    </row>
    <row r="22" spans="1:14" x14ac:dyDescent="0.25">
      <c r="A22" s="24" t="s">
        <v>57</v>
      </c>
      <c r="B22" s="21">
        <v>41911</v>
      </c>
      <c r="C22" s="25">
        <v>41911</v>
      </c>
      <c r="D22" s="25">
        <v>39944</v>
      </c>
      <c r="E22" s="22">
        <v>40849</v>
      </c>
      <c r="F22" s="21">
        <v>40851</v>
      </c>
      <c r="G22" s="21">
        <v>38961</v>
      </c>
      <c r="H22" s="21">
        <v>38961</v>
      </c>
      <c r="I22" s="21">
        <v>40000</v>
      </c>
      <c r="J22" s="25">
        <v>38322</v>
      </c>
      <c r="K22" s="25">
        <v>39526</v>
      </c>
      <c r="L22" s="21">
        <v>36708</v>
      </c>
      <c r="M22" s="21">
        <v>40909</v>
      </c>
      <c r="N22" s="21">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tabSelected="1" workbookViewId="0">
      <selection activeCell="B8" sqref="B8"/>
    </sheetView>
  </sheetViews>
  <sheetFormatPr defaultRowHeight="15" x14ac:dyDescent="0.25"/>
  <cols>
    <col min="1" max="1" width="14.5703125" style="113" customWidth="1"/>
    <col min="2" max="2" width="74.28515625" style="114" customWidth="1"/>
    <col min="3" max="3" width="23.140625" style="115" customWidth="1"/>
    <col min="4" max="4" width="24.140625" style="115" customWidth="1"/>
    <col min="5" max="16384" width="9.140625" style="115"/>
  </cols>
  <sheetData>
    <row r="1" spans="1:4" customFormat="1" ht="73.5" customHeight="1" x14ac:dyDescent="0.25">
      <c r="A1" s="118" t="s">
        <v>652</v>
      </c>
      <c r="B1" s="119"/>
      <c r="C1" s="119"/>
      <c r="D1" s="119"/>
    </row>
    <row r="2" spans="1:4" customFormat="1" ht="3" customHeight="1" x14ac:dyDescent="0.25">
      <c r="A2" s="116"/>
      <c r="B2" s="117"/>
      <c r="C2" s="117"/>
      <c r="D2" s="117"/>
    </row>
    <row r="3" spans="1:4" s="110" customFormat="1" ht="15.75" x14ac:dyDescent="0.25">
      <c r="A3" s="110" t="s">
        <v>645</v>
      </c>
      <c r="B3" s="111" t="s">
        <v>647</v>
      </c>
      <c r="C3" s="110" t="s">
        <v>646</v>
      </c>
      <c r="D3" s="110" t="s">
        <v>648</v>
      </c>
    </row>
    <row r="4" spans="1:4" s="110" customFormat="1" ht="15.75" x14ac:dyDescent="0.25">
      <c r="A4" s="112"/>
      <c r="B4" s="111"/>
    </row>
    <row r="5" spans="1:4" ht="75" x14ac:dyDescent="0.25">
      <c r="A5" s="113">
        <v>43364</v>
      </c>
      <c r="B5" s="114" t="s">
        <v>651</v>
      </c>
      <c r="C5" s="115" t="s">
        <v>649</v>
      </c>
      <c r="D5" s="115" t="s">
        <v>650</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C16"/>
  <sheetViews>
    <sheetView workbookViewId="0">
      <selection activeCell="B1" sqref="B1:C17"/>
    </sheetView>
  </sheetViews>
  <sheetFormatPr defaultRowHeight="15" x14ac:dyDescent="0.25"/>
  <cols>
    <col min="1" max="1" width="33.42578125" bestFit="1" customWidth="1"/>
    <col min="2" max="2" width="27.28515625" bestFit="1" customWidth="1"/>
    <col min="3" max="3" width="11.85546875" bestFit="1" customWidth="1"/>
  </cols>
  <sheetData>
    <row r="1" spans="1:3" x14ac:dyDescent="0.25">
      <c r="B1" t="s">
        <v>514</v>
      </c>
      <c r="C1" t="s">
        <v>515</v>
      </c>
    </row>
    <row r="2" spans="1:3" x14ac:dyDescent="0.25">
      <c r="A2" t="s">
        <v>532</v>
      </c>
      <c r="B2" t="s">
        <v>516</v>
      </c>
      <c r="C2" s="80" t="s">
        <v>517</v>
      </c>
    </row>
    <row r="3" spans="1:3" x14ac:dyDescent="0.25">
      <c r="A3" t="s">
        <v>533</v>
      </c>
      <c r="B3" t="s">
        <v>518</v>
      </c>
      <c r="C3" t="s">
        <v>519</v>
      </c>
    </row>
    <row r="4" spans="1:3" x14ac:dyDescent="0.25">
      <c r="B4" t="s">
        <v>520</v>
      </c>
      <c r="C4" t="s">
        <v>521</v>
      </c>
    </row>
    <row r="5" spans="1:3" x14ac:dyDescent="0.25">
      <c r="A5" t="s">
        <v>534</v>
      </c>
      <c r="B5" t="s">
        <v>443</v>
      </c>
      <c r="C5" t="s">
        <v>519</v>
      </c>
    </row>
    <row r="6" spans="1:3" x14ac:dyDescent="0.25">
      <c r="A6" t="s">
        <v>535</v>
      </c>
      <c r="B6" t="s">
        <v>443</v>
      </c>
      <c r="C6" t="s">
        <v>245</v>
      </c>
    </row>
    <row r="7" spans="1:3" x14ac:dyDescent="0.25">
      <c r="A7" t="s">
        <v>536</v>
      </c>
      <c r="B7" t="s">
        <v>522</v>
      </c>
      <c r="C7" t="s">
        <v>519</v>
      </c>
    </row>
    <row r="8" spans="1:3" x14ac:dyDescent="0.25">
      <c r="B8" t="s">
        <v>523</v>
      </c>
      <c r="C8" t="s">
        <v>519</v>
      </c>
    </row>
    <row r="9" spans="1:3" x14ac:dyDescent="0.25">
      <c r="B9" t="s">
        <v>524</v>
      </c>
      <c r="C9" t="s">
        <v>519</v>
      </c>
    </row>
    <row r="10" spans="1:3" x14ac:dyDescent="0.25">
      <c r="B10" t="s">
        <v>525</v>
      </c>
      <c r="C10" t="s">
        <v>519</v>
      </c>
    </row>
    <row r="11" spans="1:3" x14ac:dyDescent="0.25">
      <c r="B11" t="s">
        <v>526</v>
      </c>
      <c r="C11" t="s">
        <v>527</v>
      </c>
    </row>
    <row r="12" spans="1:3" x14ac:dyDescent="0.25">
      <c r="A12" t="s">
        <v>61</v>
      </c>
      <c r="B12" t="s">
        <v>528</v>
      </c>
      <c r="C12" t="s">
        <v>339</v>
      </c>
    </row>
    <row r="13" spans="1:3" x14ac:dyDescent="0.25">
      <c r="B13" t="s">
        <v>529</v>
      </c>
      <c r="C13" t="s">
        <v>339</v>
      </c>
    </row>
    <row r="14" spans="1:3" x14ac:dyDescent="0.25">
      <c r="B14" t="s">
        <v>530</v>
      </c>
      <c r="C14" t="s">
        <v>339</v>
      </c>
    </row>
    <row r="15" spans="1:3" x14ac:dyDescent="0.25">
      <c r="B15" t="s">
        <v>531</v>
      </c>
      <c r="C15" t="s">
        <v>339</v>
      </c>
    </row>
    <row r="16" spans="1:3" x14ac:dyDescent="0.25">
      <c r="B16" t="s">
        <v>526</v>
      </c>
      <c r="C16" t="s">
        <v>339</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E57"/>
  <sheetViews>
    <sheetView topLeftCell="A20" workbookViewId="0">
      <selection activeCell="H22" sqref="H17:H22"/>
    </sheetView>
  </sheetViews>
  <sheetFormatPr defaultRowHeight="15" x14ac:dyDescent="0.25"/>
  <cols>
    <col min="1" max="2" width="59.85546875" bestFit="1" customWidth="1"/>
    <col min="3" max="3" width="13" bestFit="1" customWidth="1"/>
    <col min="4" max="4" width="12.28515625" bestFit="1" customWidth="1"/>
    <col min="5" max="5" width="15.5703125" bestFit="1" customWidth="1"/>
  </cols>
  <sheetData>
    <row r="2" spans="1:2" x14ac:dyDescent="0.25">
      <c r="A2" t="s">
        <v>112</v>
      </c>
      <c r="B2" t="s">
        <v>113</v>
      </c>
    </row>
    <row r="3" spans="1:2" x14ac:dyDescent="0.25">
      <c r="A3" s="79" t="s">
        <v>537</v>
      </c>
      <c r="B3" s="79" t="s">
        <v>117</v>
      </c>
    </row>
    <row r="4" spans="1:2" x14ac:dyDescent="0.25">
      <c r="A4" s="79" t="s">
        <v>538</v>
      </c>
      <c r="B4" s="79" t="s">
        <v>538</v>
      </c>
    </row>
    <row r="5" spans="1:2" x14ac:dyDescent="0.25">
      <c r="A5" s="79" t="s">
        <v>539</v>
      </c>
      <c r="B5" s="79" t="s">
        <v>519</v>
      </c>
    </row>
    <row r="6" spans="1:2" x14ac:dyDescent="0.25">
      <c r="A6" s="79" t="s">
        <v>540</v>
      </c>
      <c r="B6" s="79" t="s">
        <v>519</v>
      </c>
    </row>
    <row r="7" spans="1:2" x14ac:dyDescent="0.25">
      <c r="A7" s="79" t="s">
        <v>541</v>
      </c>
      <c r="B7" s="79" t="s">
        <v>519</v>
      </c>
    </row>
    <row r="8" spans="1:2" x14ac:dyDescent="0.25">
      <c r="A8" s="79" t="s">
        <v>542</v>
      </c>
      <c r="B8" s="79" t="s">
        <v>519</v>
      </c>
    </row>
    <row r="9" spans="1:2" x14ac:dyDescent="0.25">
      <c r="A9" s="79" t="s">
        <v>543</v>
      </c>
      <c r="B9" s="79" t="s">
        <v>519</v>
      </c>
    </row>
    <row r="10" spans="1:2" x14ac:dyDescent="0.25">
      <c r="A10" s="79" t="s">
        <v>544</v>
      </c>
      <c r="B10" s="79" t="s">
        <v>519</v>
      </c>
    </row>
    <row r="11" spans="1:2" x14ac:dyDescent="0.25">
      <c r="A11" s="79" t="s">
        <v>545</v>
      </c>
      <c r="B11" s="79" t="s">
        <v>545</v>
      </c>
    </row>
    <row r="12" spans="1:2" x14ac:dyDescent="0.25">
      <c r="A12" s="79" t="s">
        <v>546</v>
      </c>
      <c r="B12" s="79" t="s">
        <v>242</v>
      </c>
    </row>
    <row r="13" spans="1:2" x14ac:dyDescent="0.25">
      <c r="A13" s="79" t="s">
        <v>541</v>
      </c>
      <c r="B13" s="79" t="s">
        <v>547</v>
      </c>
    </row>
    <row r="14" spans="1:2" x14ac:dyDescent="0.25">
      <c r="A14" s="79" t="s">
        <v>542</v>
      </c>
      <c r="B14" s="79" t="s">
        <v>547</v>
      </c>
    </row>
    <row r="15" spans="1:2" x14ac:dyDescent="0.25">
      <c r="A15" s="79" t="s">
        <v>543</v>
      </c>
      <c r="B15" s="79" t="s">
        <v>547</v>
      </c>
    </row>
    <row r="16" spans="1:2" x14ac:dyDescent="0.25">
      <c r="A16" s="79" t="s">
        <v>548</v>
      </c>
      <c r="B16" s="79" t="s">
        <v>547</v>
      </c>
    </row>
    <row r="17" spans="1:5" x14ac:dyDescent="0.25">
      <c r="A17" s="79" t="s">
        <v>549</v>
      </c>
      <c r="B17" s="79" t="s">
        <v>547</v>
      </c>
    </row>
    <row r="18" spans="1:5" x14ac:dyDescent="0.25">
      <c r="A18" s="79" t="s">
        <v>550</v>
      </c>
      <c r="B18" s="79" t="s">
        <v>550</v>
      </c>
    </row>
    <row r="19" spans="1:5" x14ac:dyDescent="0.25">
      <c r="A19" s="79" t="s">
        <v>546</v>
      </c>
      <c r="B19" s="80" t="s">
        <v>242</v>
      </c>
    </row>
    <row r="20" spans="1:5" x14ac:dyDescent="0.25">
      <c r="A20" s="79" t="s">
        <v>541</v>
      </c>
      <c r="B20" s="79" t="s">
        <v>242</v>
      </c>
    </row>
    <row r="21" spans="1:5" x14ac:dyDescent="0.25">
      <c r="A21" s="79" t="s">
        <v>542</v>
      </c>
      <c r="B21" s="79" t="s">
        <v>517</v>
      </c>
    </row>
    <row r="22" spans="1:5" x14ac:dyDescent="0.25">
      <c r="A22" s="79" t="s">
        <v>543</v>
      </c>
      <c r="B22" s="79" t="s">
        <v>517</v>
      </c>
    </row>
    <row r="23" spans="1:5" x14ac:dyDescent="0.25">
      <c r="A23" s="79" t="s">
        <v>548</v>
      </c>
      <c r="B23" s="79" t="s">
        <v>517</v>
      </c>
    </row>
    <row r="24" spans="1:5" x14ac:dyDescent="0.25">
      <c r="A24" s="79" t="s">
        <v>549</v>
      </c>
      <c r="B24" s="79" t="s">
        <v>517</v>
      </c>
    </row>
    <row r="25" spans="1:5" x14ac:dyDescent="0.25">
      <c r="A25" s="79" t="s">
        <v>551</v>
      </c>
      <c r="B25" s="79" t="s">
        <v>551</v>
      </c>
    </row>
    <row r="26" spans="1:5" x14ac:dyDescent="0.25">
      <c r="A26" s="79" t="s">
        <v>546</v>
      </c>
      <c r="B26" s="79" t="s">
        <v>519</v>
      </c>
    </row>
    <row r="27" spans="1:5" x14ac:dyDescent="0.25">
      <c r="A27" s="79" t="s">
        <v>552</v>
      </c>
      <c r="B27" s="79" t="s">
        <v>521</v>
      </c>
    </row>
    <row r="29" spans="1:5" x14ac:dyDescent="0.25">
      <c r="A29" t="s">
        <v>627</v>
      </c>
      <c r="B29" t="s">
        <v>628</v>
      </c>
      <c r="C29" t="s">
        <v>629</v>
      </c>
      <c r="D29" t="s">
        <v>630</v>
      </c>
      <c r="E29" t="s">
        <v>631</v>
      </c>
    </row>
    <row r="30" spans="1:5" x14ac:dyDescent="0.25">
      <c r="A30" s="79" t="s">
        <v>632</v>
      </c>
      <c r="B30" s="79" t="s">
        <v>570</v>
      </c>
      <c r="C30">
        <v>1000</v>
      </c>
      <c r="D30" s="79" t="s">
        <v>633</v>
      </c>
      <c r="E30">
        <v>1.35E-2</v>
      </c>
    </row>
    <row r="31" spans="1:5" x14ac:dyDescent="0.25">
      <c r="A31" s="79" t="s">
        <v>634</v>
      </c>
      <c r="B31" s="79" t="s">
        <v>571</v>
      </c>
      <c r="C31">
        <v>1000</v>
      </c>
      <c r="D31" s="79" t="s">
        <v>633</v>
      </c>
      <c r="E31">
        <v>1.2E-2</v>
      </c>
    </row>
    <row r="32" spans="1:5" x14ac:dyDescent="0.25">
      <c r="A32" s="79" t="s">
        <v>635</v>
      </c>
      <c r="B32" s="79" t="s">
        <v>570</v>
      </c>
      <c r="C32">
        <v>1000</v>
      </c>
      <c r="D32" s="79" t="s">
        <v>614</v>
      </c>
      <c r="E32">
        <v>1.35E-2</v>
      </c>
    </row>
    <row r="33" spans="1:5" x14ac:dyDescent="0.25">
      <c r="A33" s="79" t="s">
        <v>636</v>
      </c>
      <c r="B33" s="79" t="s">
        <v>570</v>
      </c>
      <c r="C33">
        <v>1000</v>
      </c>
      <c r="D33" s="79" t="s">
        <v>614</v>
      </c>
      <c r="E33">
        <v>1.35E-2</v>
      </c>
    </row>
    <row r="34" spans="1:5" x14ac:dyDescent="0.25">
      <c r="A34" s="79" t="s">
        <v>637</v>
      </c>
      <c r="B34" s="79" t="s">
        <v>570</v>
      </c>
      <c r="C34">
        <v>1000</v>
      </c>
      <c r="D34" s="79" t="s">
        <v>614</v>
      </c>
      <c r="E34">
        <v>1.35E-2</v>
      </c>
    </row>
    <row r="39" spans="1:5" x14ac:dyDescent="0.25">
      <c r="A39" t="s">
        <v>112</v>
      </c>
      <c r="B39" t="s">
        <v>113</v>
      </c>
    </row>
    <row r="40" spans="1:5" x14ac:dyDescent="0.25">
      <c r="A40" s="79" t="s">
        <v>537</v>
      </c>
      <c r="B40" s="79" t="s">
        <v>117</v>
      </c>
    </row>
    <row r="41" spans="1:5" x14ac:dyDescent="0.25">
      <c r="A41" s="79" t="s">
        <v>638</v>
      </c>
      <c r="B41" s="79" t="s">
        <v>638</v>
      </c>
    </row>
    <row r="42" spans="1:5" x14ac:dyDescent="0.25">
      <c r="A42" s="79" t="s">
        <v>539</v>
      </c>
      <c r="B42" s="79" t="s">
        <v>639</v>
      </c>
    </row>
    <row r="43" spans="1:5" x14ac:dyDescent="0.25">
      <c r="A43" s="79" t="s">
        <v>540</v>
      </c>
      <c r="B43" s="79" t="s">
        <v>639</v>
      </c>
    </row>
    <row r="44" spans="1:5" x14ac:dyDescent="0.25">
      <c r="A44" s="79" t="s">
        <v>541</v>
      </c>
      <c r="B44" s="79" t="s">
        <v>639</v>
      </c>
    </row>
    <row r="45" spans="1:5" x14ac:dyDescent="0.25">
      <c r="A45" s="79" t="s">
        <v>542</v>
      </c>
      <c r="B45" s="79" t="s">
        <v>639</v>
      </c>
    </row>
    <row r="46" spans="1:5" x14ac:dyDescent="0.25">
      <c r="A46" s="79" t="s">
        <v>543</v>
      </c>
      <c r="B46" s="79" t="s">
        <v>639</v>
      </c>
    </row>
    <row r="47" spans="1:5" x14ac:dyDescent="0.25">
      <c r="A47" s="79" t="s">
        <v>544</v>
      </c>
      <c r="B47" s="79" t="s">
        <v>639</v>
      </c>
    </row>
    <row r="48" spans="1:5" x14ac:dyDescent="0.25">
      <c r="A48" s="79" t="s">
        <v>640</v>
      </c>
      <c r="B48" s="79" t="s">
        <v>640</v>
      </c>
    </row>
    <row r="49" spans="1:2" x14ac:dyDescent="0.25">
      <c r="A49" s="79" t="s">
        <v>546</v>
      </c>
      <c r="B49" s="79" t="s">
        <v>519</v>
      </c>
    </row>
    <row r="50" spans="1:2" x14ac:dyDescent="0.25">
      <c r="A50" s="79" t="s">
        <v>641</v>
      </c>
      <c r="B50" s="79" t="s">
        <v>519</v>
      </c>
    </row>
    <row r="51" spans="1:2" x14ac:dyDescent="0.25">
      <c r="A51" s="79" t="s">
        <v>543</v>
      </c>
      <c r="B51" s="79" t="s">
        <v>245</v>
      </c>
    </row>
    <row r="52" spans="1:2" x14ac:dyDescent="0.25">
      <c r="A52" s="79" t="s">
        <v>544</v>
      </c>
      <c r="B52" s="79" t="s">
        <v>642</v>
      </c>
    </row>
    <row r="53" spans="1:2" x14ac:dyDescent="0.25">
      <c r="A53" s="79" t="s">
        <v>643</v>
      </c>
      <c r="B53" s="79" t="s">
        <v>643</v>
      </c>
    </row>
    <row r="54" spans="1:2" x14ac:dyDescent="0.25">
      <c r="A54" s="79" t="s">
        <v>546</v>
      </c>
      <c r="B54" s="79" t="s">
        <v>519</v>
      </c>
    </row>
    <row r="55" spans="1:2" x14ac:dyDescent="0.25">
      <c r="A55" s="79" t="s">
        <v>641</v>
      </c>
      <c r="B55" s="79" t="s">
        <v>519</v>
      </c>
    </row>
    <row r="56" spans="1:2" x14ac:dyDescent="0.25">
      <c r="A56" s="79" t="s">
        <v>543</v>
      </c>
      <c r="B56" s="79" t="s">
        <v>245</v>
      </c>
    </row>
    <row r="57" spans="1:2" x14ac:dyDescent="0.25">
      <c r="A57" s="79" t="s">
        <v>544</v>
      </c>
      <c r="B57" s="79" t="s">
        <v>642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12"/>
  <sheetViews>
    <sheetView workbookViewId="0">
      <selection activeCell="C22" sqref="C22"/>
    </sheetView>
  </sheetViews>
  <sheetFormatPr defaultRowHeight="15" x14ac:dyDescent="0.25"/>
  <cols>
    <col min="1" max="1" width="32.5703125" bestFit="1" customWidth="1"/>
    <col min="2" max="2" width="18.7109375" bestFit="1" customWidth="1"/>
    <col min="3" max="3" width="15.7109375" bestFit="1" customWidth="1"/>
  </cols>
  <sheetData>
    <row r="1" spans="1:3" x14ac:dyDescent="0.25">
      <c r="B1" t="s">
        <v>482</v>
      </c>
      <c r="C1" t="s">
        <v>483</v>
      </c>
    </row>
    <row r="2" spans="1:3" x14ac:dyDescent="0.25">
      <c r="A2" t="s">
        <v>493</v>
      </c>
      <c r="B2" s="79" t="s">
        <v>484</v>
      </c>
      <c r="C2">
        <v>2E-3</v>
      </c>
    </row>
    <row r="3" spans="1:3" x14ac:dyDescent="0.25">
      <c r="B3" s="79" t="s">
        <v>485</v>
      </c>
      <c r="C3">
        <v>1.4500000000000001E-2</v>
      </c>
    </row>
    <row r="4" spans="1:3" x14ac:dyDescent="0.25">
      <c r="B4" s="79" t="s">
        <v>486</v>
      </c>
      <c r="C4">
        <v>2E-3</v>
      </c>
    </row>
    <row r="5" spans="1:3" x14ac:dyDescent="0.25">
      <c r="A5" t="s">
        <v>494</v>
      </c>
      <c r="B5" s="79" t="s">
        <v>487</v>
      </c>
      <c r="C5">
        <v>8.0000000000000002E-3</v>
      </c>
    </row>
    <row r="6" spans="1:3" x14ac:dyDescent="0.25">
      <c r="B6" s="79" t="s">
        <v>488</v>
      </c>
      <c r="C6">
        <v>8.0000000000000002E-3</v>
      </c>
    </row>
    <row r="7" spans="1:3" x14ac:dyDescent="0.25">
      <c r="A7" t="s">
        <v>495</v>
      </c>
      <c r="B7" s="79" t="s">
        <v>489</v>
      </c>
      <c r="C7">
        <v>5.0000000000000001E-4</v>
      </c>
    </row>
    <row r="8" spans="1:3" x14ac:dyDescent="0.25">
      <c r="B8" s="79" t="s">
        <v>490</v>
      </c>
      <c r="C8">
        <v>5.0000000000000001E-4</v>
      </c>
    </row>
    <row r="10" spans="1:3" x14ac:dyDescent="0.25">
      <c r="B10" t="s">
        <v>482</v>
      </c>
      <c r="C10" t="s">
        <v>483</v>
      </c>
    </row>
    <row r="11" spans="1:3" x14ac:dyDescent="0.25">
      <c r="A11" t="s">
        <v>584</v>
      </c>
      <c r="B11" s="79" t="s">
        <v>489</v>
      </c>
      <c r="C11">
        <v>5.0000000000000001E-4</v>
      </c>
    </row>
    <row r="12" spans="1:3" x14ac:dyDescent="0.25">
      <c r="B12" s="79" t="s">
        <v>490</v>
      </c>
      <c r="C12">
        <v>5.0000000000000001E-4</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31"/>
  <sheetViews>
    <sheetView workbookViewId="0">
      <selection activeCell="A29" sqref="A29"/>
    </sheetView>
  </sheetViews>
  <sheetFormatPr defaultRowHeight="15" x14ac:dyDescent="0.25"/>
  <cols>
    <col min="1" max="1" width="43" bestFit="1" customWidth="1"/>
    <col min="2" max="2" width="49.28515625" bestFit="1" customWidth="1"/>
    <col min="3" max="3" width="22.7109375" bestFit="1" customWidth="1"/>
    <col min="4" max="4" width="9.28515625" bestFit="1" customWidth="1"/>
    <col min="5" max="5" width="26.85546875" bestFit="1" customWidth="1"/>
  </cols>
  <sheetData>
    <row r="1" spans="1:5" x14ac:dyDescent="0.25">
      <c r="B1" t="s">
        <v>115</v>
      </c>
      <c r="C1" t="s">
        <v>445</v>
      </c>
      <c r="D1" t="s">
        <v>446</v>
      </c>
      <c r="E1" t="s">
        <v>216</v>
      </c>
    </row>
    <row r="2" spans="1:5" x14ac:dyDescent="0.25">
      <c r="A2" t="s">
        <v>496</v>
      </c>
      <c r="B2" s="79" t="s">
        <v>447</v>
      </c>
      <c r="C2" s="79" t="s">
        <v>448</v>
      </c>
      <c r="D2" s="79" t="s">
        <v>449</v>
      </c>
      <c r="E2" s="79" t="s">
        <v>450</v>
      </c>
    </row>
    <row r="3" spans="1:5" x14ac:dyDescent="0.25">
      <c r="B3" s="79" t="s">
        <v>451</v>
      </c>
      <c r="C3" s="79" t="s">
        <v>452</v>
      </c>
      <c r="D3" s="79" t="s">
        <v>58</v>
      </c>
      <c r="E3" s="79" t="s">
        <v>452</v>
      </c>
    </row>
    <row r="4" spans="1:5" x14ac:dyDescent="0.25">
      <c r="B4" s="79" t="s">
        <v>453</v>
      </c>
      <c r="C4" s="79" t="s">
        <v>452</v>
      </c>
      <c r="D4" s="79" t="s">
        <v>454</v>
      </c>
      <c r="E4" s="79" t="s">
        <v>455</v>
      </c>
    </row>
    <row r="5" spans="1:5" x14ac:dyDescent="0.25">
      <c r="B5" s="79" t="s">
        <v>456</v>
      </c>
      <c r="C5" s="79" t="s">
        <v>452</v>
      </c>
      <c r="D5" s="79" t="s">
        <v>457</v>
      </c>
      <c r="E5" s="79" t="s">
        <v>458</v>
      </c>
    </row>
    <row r="6" spans="1:5" x14ac:dyDescent="0.25">
      <c r="B6" s="79" t="s">
        <v>459</v>
      </c>
      <c r="C6" s="79" t="s">
        <v>452</v>
      </c>
      <c r="D6" s="79" t="s">
        <v>460</v>
      </c>
      <c r="E6" s="79" t="s">
        <v>461</v>
      </c>
    </row>
    <row r="7" spans="1:5" x14ac:dyDescent="0.25">
      <c r="B7" s="79" t="s">
        <v>462</v>
      </c>
      <c r="C7" s="79" t="s">
        <v>452</v>
      </c>
      <c r="D7" s="79" t="s">
        <v>463</v>
      </c>
      <c r="E7" s="79" t="s">
        <v>464</v>
      </c>
    </row>
    <row r="8" spans="1:5" x14ac:dyDescent="0.25">
      <c r="A8" t="s">
        <v>497</v>
      </c>
      <c r="B8" s="79" t="s">
        <v>465</v>
      </c>
      <c r="C8" s="79"/>
      <c r="D8" s="79"/>
      <c r="E8" s="79" t="s">
        <v>466</v>
      </c>
    </row>
    <row r="9" spans="1:5" x14ac:dyDescent="0.25">
      <c r="B9" s="79" t="s">
        <v>467</v>
      </c>
      <c r="C9" s="79"/>
      <c r="D9" s="79"/>
      <c r="E9" s="79" t="s">
        <v>468</v>
      </c>
    </row>
    <row r="10" spans="1:5" x14ac:dyDescent="0.25">
      <c r="B10" s="79" t="s">
        <v>469</v>
      </c>
      <c r="C10" s="79"/>
      <c r="D10" s="79"/>
      <c r="E10" s="79" t="s">
        <v>468</v>
      </c>
    </row>
    <row r="11" spans="1:5" x14ac:dyDescent="0.25">
      <c r="A11" t="s">
        <v>498</v>
      </c>
      <c r="B11" s="79" t="s">
        <v>470</v>
      </c>
      <c r="C11" s="79"/>
      <c r="D11" s="79"/>
      <c r="E11" s="79" t="s">
        <v>466</v>
      </c>
    </row>
    <row r="12" spans="1:5" x14ac:dyDescent="0.25">
      <c r="B12" s="79" t="s">
        <v>471</v>
      </c>
      <c r="C12" s="79"/>
      <c r="D12" s="79"/>
      <c r="E12" s="79" t="s">
        <v>472</v>
      </c>
    </row>
    <row r="13" spans="1:5" x14ac:dyDescent="0.25">
      <c r="B13" s="79" t="s">
        <v>473</v>
      </c>
      <c r="C13" s="79"/>
      <c r="D13" s="79"/>
      <c r="E13" s="79" t="s">
        <v>452</v>
      </c>
    </row>
    <row r="14" spans="1:5" x14ac:dyDescent="0.25">
      <c r="B14" s="79" t="s">
        <v>474</v>
      </c>
      <c r="C14" s="79"/>
      <c r="D14" s="79"/>
      <c r="E14" s="79" t="s">
        <v>475</v>
      </c>
    </row>
    <row r="16" spans="1:5" x14ac:dyDescent="0.25">
      <c r="B16" t="s">
        <v>476</v>
      </c>
      <c r="C16" t="s">
        <v>477</v>
      </c>
      <c r="D16" t="s">
        <v>478</v>
      </c>
    </row>
    <row r="17" spans="1:4" x14ac:dyDescent="0.25">
      <c r="A17" t="s">
        <v>481</v>
      </c>
      <c r="B17" s="79" t="s">
        <v>479</v>
      </c>
      <c r="C17">
        <v>2.5000000000000001E-3</v>
      </c>
      <c r="D17">
        <v>2.5000000000000001E-3</v>
      </c>
    </row>
    <row r="18" spans="1:4" x14ac:dyDescent="0.25">
      <c r="B18" s="79" t="s">
        <v>480</v>
      </c>
      <c r="C18">
        <v>3.6999999999999998E-2</v>
      </c>
      <c r="D18">
        <v>0.05</v>
      </c>
    </row>
    <row r="20" spans="1:4" x14ac:dyDescent="0.25">
      <c r="B20" t="s">
        <v>585</v>
      </c>
      <c r="C20" t="s">
        <v>466</v>
      </c>
    </row>
    <row r="21" spans="1:4" x14ac:dyDescent="0.25">
      <c r="A21" t="s">
        <v>595</v>
      </c>
      <c r="B21" s="79" t="s">
        <v>586</v>
      </c>
      <c r="C21" s="79" t="s">
        <v>466</v>
      </c>
    </row>
    <row r="22" spans="1:4" x14ac:dyDescent="0.25">
      <c r="B22" s="79" t="s">
        <v>587</v>
      </c>
      <c r="C22" s="79" t="s">
        <v>588</v>
      </c>
    </row>
    <row r="23" spans="1:4" x14ac:dyDescent="0.25">
      <c r="B23" s="79" t="s">
        <v>81</v>
      </c>
      <c r="C23" s="79" t="s">
        <v>589</v>
      </c>
    </row>
    <row r="24" spans="1:4" x14ac:dyDescent="0.25">
      <c r="B24" s="79" t="s">
        <v>82</v>
      </c>
      <c r="C24" s="79" t="s">
        <v>475</v>
      </c>
    </row>
    <row r="25" spans="1:4" x14ac:dyDescent="0.25">
      <c r="B25" s="79" t="s">
        <v>83</v>
      </c>
      <c r="C25" s="79" t="s">
        <v>590</v>
      </c>
    </row>
    <row r="26" spans="1:4" x14ac:dyDescent="0.25">
      <c r="B26" s="79" t="s">
        <v>591</v>
      </c>
      <c r="C26" s="79" t="s">
        <v>592</v>
      </c>
    </row>
    <row r="27" spans="1:4" x14ac:dyDescent="0.25">
      <c r="B27" s="79" t="s">
        <v>593</v>
      </c>
      <c r="C27" s="79" t="s">
        <v>594</v>
      </c>
    </row>
    <row r="30" spans="1:4" x14ac:dyDescent="0.25">
      <c r="B30" s="79"/>
    </row>
    <row r="31" spans="1:4" x14ac:dyDescent="0.25">
      <c r="B31" s="79"/>
    </row>
  </sheetData>
  <pageMargins left="0.7" right="0.7" top="0.75" bottom="0.75" header="0.3" footer="0.3"/>
  <pageSetup orientation="portrait" r:id="rId1"/>
  <tableParts count="3">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9"/>
  <sheetViews>
    <sheetView topLeftCell="A7" workbookViewId="0">
      <selection activeCell="A34" sqref="A34"/>
    </sheetView>
  </sheetViews>
  <sheetFormatPr defaultRowHeight="15" x14ac:dyDescent="0.25"/>
  <cols>
    <col min="1" max="1" width="35.7109375" bestFit="1" customWidth="1"/>
    <col min="2" max="2" width="21" bestFit="1" customWidth="1"/>
    <col min="3" max="4" width="11.7109375" bestFit="1" customWidth="1"/>
  </cols>
  <sheetData>
    <row r="1" spans="1:4" x14ac:dyDescent="0.25">
      <c r="B1" t="s">
        <v>115</v>
      </c>
      <c r="C1" t="s">
        <v>116</v>
      </c>
      <c r="D1" t="s">
        <v>117</v>
      </c>
    </row>
    <row r="2" spans="1:4" x14ac:dyDescent="0.25">
      <c r="A2" t="s">
        <v>107</v>
      </c>
      <c r="B2" t="s">
        <v>118</v>
      </c>
      <c r="D2" t="s">
        <v>119</v>
      </c>
    </row>
    <row r="3" spans="1:4" x14ac:dyDescent="0.25">
      <c r="C3" t="s">
        <v>120</v>
      </c>
      <c r="D3" t="s">
        <v>121</v>
      </c>
    </row>
    <row r="4" spans="1:4" x14ac:dyDescent="0.25">
      <c r="A4" t="s">
        <v>108</v>
      </c>
      <c r="C4" t="s">
        <v>122</v>
      </c>
      <c r="D4" t="s">
        <v>123</v>
      </c>
    </row>
    <row r="5" spans="1:4" x14ac:dyDescent="0.25">
      <c r="C5" t="s">
        <v>124</v>
      </c>
      <c r="D5" t="s">
        <v>123</v>
      </c>
    </row>
    <row r="6" spans="1:4" x14ac:dyDescent="0.25">
      <c r="C6" t="s">
        <v>125</v>
      </c>
      <c r="D6" t="s">
        <v>126</v>
      </c>
    </row>
    <row r="7" spans="1:4" x14ac:dyDescent="0.25">
      <c r="C7" t="s">
        <v>127</v>
      </c>
      <c r="D7" t="s">
        <v>128</v>
      </c>
    </row>
    <row r="8" spans="1:4" x14ac:dyDescent="0.25">
      <c r="C8" t="s">
        <v>129</v>
      </c>
      <c r="D8" t="s">
        <v>130</v>
      </c>
    </row>
    <row r="9" spans="1:4" x14ac:dyDescent="0.25">
      <c r="C9" t="s">
        <v>131</v>
      </c>
      <c r="D9" t="s">
        <v>132</v>
      </c>
    </row>
    <row r="10" spans="1:4" x14ac:dyDescent="0.25">
      <c r="C10" t="s">
        <v>133</v>
      </c>
      <c r="D10" t="s">
        <v>134</v>
      </c>
    </row>
    <row r="11" spans="1:4" x14ac:dyDescent="0.25">
      <c r="C11" t="s">
        <v>135</v>
      </c>
      <c r="D11" t="s">
        <v>136</v>
      </c>
    </row>
    <row r="12" spans="1:4" x14ac:dyDescent="0.25">
      <c r="C12" t="s">
        <v>120</v>
      </c>
      <c r="D12" t="s">
        <v>121</v>
      </c>
    </row>
    <row r="13" spans="1:4" x14ac:dyDescent="0.25">
      <c r="A13" t="s">
        <v>109</v>
      </c>
      <c r="C13" t="s">
        <v>137</v>
      </c>
      <c r="D13" t="s">
        <v>126</v>
      </c>
    </row>
    <row r="14" spans="1:4" x14ac:dyDescent="0.25">
      <c r="C14" t="s">
        <v>138</v>
      </c>
      <c r="D14" t="s">
        <v>139</v>
      </c>
    </row>
    <row r="15" spans="1:4" x14ac:dyDescent="0.25">
      <c r="C15" t="s">
        <v>140</v>
      </c>
      <c r="D15" t="s">
        <v>130</v>
      </c>
    </row>
    <row r="16" spans="1:4" x14ac:dyDescent="0.25">
      <c r="C16" t="s">
        <v>141</v>
      </c>
      <c r="D16" t="s">
        <v>132</v>
      </c>
    </row>
    <row r="17" spans="1:4" x14ac:dyDescent="0.25">
      <c r="A17" t="s">
        <v>110</v>
      </c>
      <c r="B17" t="s">
        <v>118</v>
      </c>
      <c r="D17" t="s">
        <v>142</v>
      </c>
    </row>
    <row r="18" spans="1:4" x14ac:dyDescent="0.25">
      <c r="C18" t="s">
        <v>120</v>
      </c>
      <c r="D18" t="s">
        <v>121</v>
      </c>
    </row>
    <row r="19" spans="1:4" x14ac:dyDescent="0.25">
      <c r="C19" t="s">
        <v>137</v>
      </c>
      <c r="D19" t="s">
        <v>143</v>
      </c>
    </row>
    <row r="20" spans="1:4" x14ac:dyDescent="0.25">
      <c r="C20" t="s">
        <v>138</v>
      </c>
      <c r="D20" t="s">
        <v>143</v>
      </c>
    </row>
    <row r="21" spans="1:4" x14ac:dyDescent="0.25">
      <c r="C21" t="s">
        <v>140</v>
      </c>
      <c r="D21" t="s">
        <v>130</v>
      </c>
    </row>
    <row r="22" spans="1:4" x14ac:dyDescent="0.25">
      <c r="C22" t="s">
        <v>141</v>
      </c>
      <c r="D22" t="s">
        <v>130</v>
      </c>
    </row>
    <row r="26" spans="1:4" x14ac:dyDescent="0.25">
      <c r="A26" t="s">
        <v>442</v>
      </c>
      <c r="B26" t="s">
        <v>120</v>
      </c>
      <c r="C26" t="s">
        <v>121</v>
      </c>
    </row>
    <row r="27" spans="1:4" x14ac:dyDescent="0.25">
      <c r="B27" s="79" t="s">
        <v>118</v>
      </c>
      <c r="C27">
        <v>0.25</v>
      </c>
    </row>
    <row r="30" spans="1:4" x14ac:dyDescent="0.25">
      <c r="A30" t="s">
        <v>444</v>
      </c>
      <c r="B30" t="s">
        <v>120</v>
      </c>
      <c r="C30" t="s">
        <v>121</v>
      </c>
    </row>
    <row r="31" spans="1:4" x14ac:dyDescent="0.25">
      <c r="B31" s="79" t="s">
        <v>443</v>
      </c>
      <c r="C31">
        <v>0</v>
      </c>
    </row>
    <row r="33" spans="1:4" x14ac:dyDescent="0.25">
      <c r="A33" t="s">
        <v>583</v>
      </c>
      <c r="B33" t="s">
        <v>569</v>
      </c>
      <c r="C33" t="s">
        <v>570</v>
      </c>
      <c r="D33" t="s">
        <v>571</v>
      </c>
    </row>
    <row r="34" spans="1:4" x14ac:dyDescent="0.25">
      <c r="B34" s="79" t="s">
        <v>572</v>
      </c>
      <c r="C34" s="79" t="s">
        <v>573</v>
      </c>
      <c r="D34" s="79" t="s">
        <v>574</v>
      </c>
    </row>
    <row r="35" spans="1:4" x14ac:dyDescent="0.25">
      <c r="B35" s="79" t="s">
        <v>575</v>
      </c>
      <c r="C35" s="79" t="s">
        <v>576</v>
      </c>
      <c r="D35" s="79" t="s">
        <v>577</v>
      </c>
    </row>
    <row r="36" spans="1:4" x14ac:dyDescent="0.25">
      <c r="B36" s="79" t="s">
        <v>578</v>
      </c>
      <c r="C36" s="79" t="s">
        <v>574</v>
      </c>
      <c r="D36" s="79" t="s">
        <v>574</v>
      </c>
    </row>
    <row r="37" spans="1:4" x14ac:dyDescent="0.25">
      <c r="B37" s="79" t="s">
        <v>579</v>
      </c>
      <c r="C37" s="79" t="s">
        <v>580</v>
      </c>
      <c r="D37" s="79" t="s">
        <v>580</v>
      </c>
    </row>
    <row r="38" spans="1:4" x14ac:dyDescent="0.25">
      <c r="B38" s="79" t="s">
        <v>581</v>
      </c>
      <c r="C38" s="79" t="s">
        <v>573</v>
      </c>
      <c r="D38" s="79" t="s">
        <v>574</v>
      </c>
    </row>
    <row r="39" spans="1:4" x14ac:dyDescent="0.25">
      <c r="B39" s="79" t="s">
        <v>582</v>
      </c>
      <c r="C39" s="79" t="s">
        <v>577</v>
      </c>
      <c r="D39" s="79" t="s">
        <v>580</v>
      </c>
    </row>
  </sheetData>
  <pageMargins left="0.7" right="0.7" top="0.75" bottom="0.75"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election activeCell="L39" sqref="L39"/>
    </sheetView>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143</v>
      </c>
    </row>
    <row r="4" spans="1:2" x14ac:dyDescent="0.25">
      <c r="A4" t="s">
        <v>138</v>
      </c>
      <c r="B4" t="s">
        <v>143</v>
      </c>
    </row>
    <row r="5" spans="1:2" x14ac:dyDescent="0.25">
      <c r="A5" t="s">
        <v>140</v>
      </c>
      <c r="B5" t="s">
        <v>130</v>
      </c>
    </row>
    <row r="6" spans="1:2" x14ac:dyDescent="0.25">
      <c r="A6" t="s">
        <v>141</v>
      </c>
      <c r="B6" t="s">
        <v>130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0.15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126</v>
      </c>
    </row>
    <row r="4" spans="1:2" x14ac:dyDescent="0.25">
      <c r="A4" t="s">
        <v>138</v>
      </c>
      <c r="B4" t="s">
        <v>139</v>
      </c>
    </row>
    <row r="5" spans="1:2" x14ac:dyDescent="0.25">
      <c r="A5" t="s">
        <v>140</v>
      </c>
      <c r="B5" t="s">
        <v>130</v>
      </c>
    </row>
    <row r="6" spans="1:2" x14ac:dyDescent="0.25">
      <c r="A6" t="s">
        <v>141</v>
      </c>
      <c r="B6" t="s">
        <v>132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112</v>
      </c>
      <c r="B1" t="s">
        <v>113</v>
      </c>
    </row>
    <row r="2" spans="1:2" x14ac:dyDescent="0.25">
      <c r="A2" t="s">
        <v>120</v>
      </c>
      <c r="B2" t="s">
        <v>121</v>
      </c>
    </row>
    <row r="3" spans="1:2" x14ac:dyDescent="0.25">
      <c r="A3" t="s">
        <v>122</v>
      </c>
      <c r="B3" t="s">
        <v>123</v>
      </c>
    </row>
    <row r="4" spans="1:2" x14ac:dyDescent="0.25">
      <c r="A4" t="s">
        <v>124</v>
      </c>
      <c r="B4" t="s">
        <v>123</v>
      </c>
    </row>
    <row r="5" spans="1:2" x14ac:dyDescent="0.25">
      <c r="A5" t="s">
        <v>125</v>
      </c>
      <c r="B5" t="s">
        <v>126</v>
      </c>
    </row>
    <row r="6" spans="1:2" x14ac:dyDescent="0.25">
      <c r="A6" t="s">
        <v>127</v>
      </c>
      <c r="B6" t="s">
        <v>128</v>
      </c>
    </row>
    <row r="7" spans="1:2" x14ac:dyDescent="0.25">
      <c r="A7" t="s">
        <v>129</v>
      </c>
      <c r="B7" t="s">
        <v>130</v>
      </c>
    </row>
    <row r="8" spans="1:2" x14ac:dyDescent="0.25">
      <c r="A8" t="s">
        <v>131</v>
      </c>
      <c r="B8" t="s">
        <v>132</v>
      </c>
    </row>
    <row r="9" spans="1:2" x14ac:dyDescent="0.25">
      <c r="A9" t="s">
        <v>133</v>
      </c>
      <c r="B9" t="s">
        <v>134</v>
      </c>
    </row>
    <row r="10" spans="1:2" x14ac:dyDescent="0.25">
      <c r="A10" t="s">
        <v>135</v>
      </c>
      <c r="B10" t="s">
        <v>136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1.05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7"/>
  <sheetViews>
    <sheetView workbookViewId="0">
      <selection activeCell="B1" sqref="B1:C59"/>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148</v>
      </c>
      <c r="B1" t="s">
        <v>149</v>
      </c>
      <c r="C1" t="s">
        <v>150</v>
      </c>
    </row>
    <row r="2" spans="1:3" x14ac:dyDescent="0.25">
      <c r="A2" t="s">
        <v>151</v>
      </c>
      <c r="B2" t="s">
        <v>152</v>
      </c>
      <c r="C2" t="s">
        <v>153</v>
      </c>
    </row>
    <row r="3" spans="1:3" x14ac:dyDescent="0.25">
      <c r="B3" t="s">
        <v>154</v>
      </c>
      <c r="C3" t="s">
        <v>155</v>
      </c>
    </row>
    <row r="4" spans="1:3" x14ac:dyDescent="0.25">
      <c r="B4" t="s">
        <v>156</v>
      </c>
      <c r="C4" t="s">
        <v>157</v>
      </c>
    </row>
    <row r="5" spans="1:3" x14ac:dyDescent="0.25">
      <c r="B5" t="s">
        <v>158</v>
      </c>
      <c r="C5" t="s">
        <v>142</v>
      </c>
    </row>
    <row r="6" spans="1:3" x14ac:dyDescent="0.25">
      <c r="B6" t="s">
        <v>159</v>
      </c>
      <c r="C6" t="s">
        <v>142</v>
      </c>
    </row>
    <row r="7" spans="1:3" x14ac:dyDescent="0.25">
      <c r="B7" t="s">
        <v>160</v>
      </c>
      <c r="C7" t="s">
        <v>161</v>
      </c>
    </row>
    <row r="8" spans="1:3" x14ac:dyDescent="0.25">
      <c r="A8" t="s">
        <v>162</v>
      </c>
      <c r="B8" t="s">
        <v>163</v>
      </c>
      <c r="C8" t="s">
        <v>153</v>
      </c>
    </row>
    <row r="9" spans="1:3" x14ac:dyDescent="0.25">
      <c r="B9" t="s">
        <v>164</v>
      </c>
      <c r="C9" t="s">
        <v>165</v>
      </c>
    </row>
    <row r="10" spans="1:3" x14ac:dyDescent="0.25">
      <c r="A10" t="s">
        <v>24</v>
      </c>
      <c r="B10" t="s">
        <v>163</v>
      </c>
      <c r="C10" t="s">
        <v>153</v>
      </c>
    </row>
    <row r="11" spans="1:3" x14ac:dyDescent="0.25">
      <c r="B11" t="s">
        <v>166</v>
      </c>
      <c r="C11" t="s">
        <v>510</v>
      </c>
    </row>
    <row r="12" spans="1:3" x14ac:dyDescent="0.25">
      <c r="A12" t="s">
        <v>167</v>
      </c>
      <c r="B12" t="s">
        <v>168</v>
      </c>
      <c r="C12" t="s">
        <v>190</v>
      </c>
    </row>
    <row r="13" spans="1:3" x14ac:dyDescent="0.25">
      <c r="B13" t="s">
        <v>173</v>
      </c>
      <c r="C13" t="s">
        <v>653</v>
      </c>
    </row>
    <row r="14" spans="1:3" x14ac:dyDescent="0.25">
      <c r="A14" t="s">
        <v>172</v>
      </c>
      <c r="B14" t="s">
        <v>174</v>
      </c>
      <c r="C14" t="s">
        <v>654</v>
      </c>
    </row>
    <row r="15" spans="1:3" x14ac:dyDescent="0.25">
      <c r="B15" t="s">
        <v>175</v>
      </c>
      <c r="C15" t="s">
        <v>176</v>
      </c>
    </row>
    <row r="16" spans="1:3" x14ac:dyDescent="0.25">
      <c r="B16" t="s">
        <v>170</v>
      </c>
      <c r="C16" t="s">
        <v>177</v>
      </c>
    </row>
    <row r="17" spans="1:3" x14ac:dyDescent="0.25">
      <c r="B17" t="s">
        <v>178</v>
      </c>
      <c r="C17" t="s">
        <v>179</v>
      </c>
    </row>
    <row r="18" spans="1:3" x14ac:dyDescent="0.25">
      <c r="B18" t="s">
        <v>180</v>
      </c>
      <c r="C18" t="s">
        <v>181</v>
      </c>
    </row>
    <row r="19" spans="1:3" x14ac:dyDescent="0.25">
      <c r="B19" t="s">
        <v>168</v>
      </c>
      <c r="C19" t="s">
        <v>169</v>
      </c>
    </row>
    <row r="20" spans="1:3" x14ac:dyDescent="0.25">
      <c r="B20" t="s">
        <v>170</v>
      </c>
      <c r="C20" t="s">
        <v>171</v>
      </c>
    </row>
    <row r="21" spans="1:3" x14ac:dyDescent="0.25">
      <c r="B21" t="s">
        <v>168</v>
      </c>
      <c r="C21" t="s">
        <v>183</v>
      </c>
    </row>
    <row r="22" spans="1:3" x14ac:dyDescent="0.25">
      <c r="A22" t="s">
        <v>182</v>
      </c>
      <c r="B22" t="s">
        <v>170</v>
      </c>
      <c r="C22" t="s">
        <v>184</v>
      </c>
    </row>
    <row r="23" spans="1:3" x14ac:dyDescent="0.25">
      <c r="B23" t="s">
        <v>170</v>
      </c>
      <c r="C23" t="s">
        <v>185</v>
      </c>
    </row>
    <row r="24" spans="1:3" x14ac:dyDescent="0.25">
      <c r="B24" t="s">
        <v>170</v>
      </c>
      <c r="C24" t="s">
        <v>186</v>
      </c>
    </row>
    <row r="25" spans="1:3" x14ac:dyDescent="0.25">
      <c r="B25" t="s">
        <v>170</v>
      </c>
      <c r="C25" t="s">
        <v>187</v>
      </c>
    </row>
    <row r="26" spans="1:3" x14ac:dyDescent="0.25">
      <c r="B26" t="s">
        <v>178</v>
      </c>
      <c r="C26" t="s">
        <v>188</v>
      </c>
    </row>
    <row r="27" spans="1:3" x14ac:dyDescent="0.25">
      <c r="B27" t="s">
        <v>178</v>
      </c>
      <c r="C27" t="s">
        <v>187</v>
      </c>
    </row>
    <row r="28" spans="1:3" x14ac:dyDescent="0.25">
      <c r="B28" t="s">
        <v>180</v>
      </c>
      <c r="C28" t="s">
        <v>187</v>
      </c>
    </row>
    <row r="29" spans="1:3" x14ac:dyDescent="0.25">
      <c r="B29" t="s">
        <v>168</v>
      </c>
      <c r="C29" t="s">
        <v>190</v>
      </c>
    </row>
    <row r="30" spans="1:3" x14ac:dyDescent="0.25">
      <c r="A30" t="s">
        <v>189</v>
      </c>
      <c r="B30" t="s">
        <v>191</v>
      </c>
      <c r="C30" t="s">
        <v>192</v>
      </c>
    </row>
    <row r="31" spans="1:3" x14ac:dyDescent="0.25">
      <c r="B31" t="s">
        <v>193</v>
      </c>
      <c r="C31" t="s">
        <v>194</v>
      </c>
    </row>
    <row r="32" spans="1:3" x14ac:dyDescent="0.25">
      <c r="B32" t="s">
        <v>168</v>
      </c>
      <c r="C32" t="s">
        <v>190</v>
      </c>
    </row>
    <row r="33" spans="1:3" x14ac:dyDescent="0.25">
      <c r="A33" t="s">
        <v>195</v>
      </c>
      <c r="B33" t="s">
        <v>147</v>
      </c>
      <c r="C33" t="s">
        <v>196</v>
      </c>
    </row>
    <row r="34" spans="1:3" x14ac:dyDescent="0.25">
      <c r="B34" t="s">
        <v>173</v>
      </c>
      <c r="C34" t="s">
        <v>197</v>
      </c>
    </row>
    <row r="35" spans="1:3" x14ac:dyDescent="0.25">
      <c r="B35" t="s">
        <v>174</v>
      </c>
      <c r="C35" t="s">
        <v>198</v>
      </c>
    </row>
    <row r="36" spans="1:3" x14ac:dyDescent="0.25">
      <c r="B36" t="s">
        <v>175</v>
      </c>
      <c r="C36" t="s">
        <v>199</v>
      </c>
    </row>
    <row r="37" spans="1:3" x14ac:dyDescent="0.25">
      <c r="B37" t="s">
        <v>170</v>
      </c>
      <c r="C37" t="s">
        <v>200</v>
      </c>
    </row>
    <row r="38" spans="1:3" x14ac:dyDescent="0.25">
      <c r="B38" t="s">
        <v>178</v>
      </c>
      <c r="C38" t="s">
        <v>201</v>
      </c>
    </row>
    <row r="39" spans="1:3" x14ac:dyDescent="0.25">
      <c r="B39" t="s">
        <v>180</v>
      </c>
      <c r="C39" t="s">
        <v>202</v>
      </c>
    </row>
    <row r="40" spans="1:3" x14ac:dyDescent="0.25">
      <c r="B40" t="s">
        <v>204</v>
      </c>
      <c r="C40" t="s">
        <v>205</v>
      </c>
    </row>
    <row r="41" spans="1:3" x14ac:dyDescent="0.25">
      <c r="A41" t="s">
        <v>203</v>
      </c>
      <c r="B41" t="s">
        <v>206</v>
      </c>
      <c r="C41" t="s">
        <v>207</v>
      </c>
    </row>
    <row r="42" spans="1:3" x14ac:dyDescent="0.25">
      <c r="B42" t="s">
        <v>173</v>
      </c>
      <c r="C42" t="s">
        <v>655</v>
      </c>
    </row>
    <row r="43" spans="1:3" x14ac:dyDescent="0.25">
      <c r="B43" t="s">
        <v>174</v>
      </c>
      <c r="C43" t="s">
        <v>656</v>
      </c>
    </row>
    <row r="44" spans="1:3" x14ac:dyDescent="0.25">
      <c r="B44" t="s">
        <v>175</v>
      </c>
      <c r="C44" t="s">
        <v>208</v>
      </c>
    </row>
    <row r="45" spans="1:3" x14ac:dyDescent="0.25">
      <c r="B45" t="s">
        <v>170</v>
      </c>
      <c r="C45" t="s">
        <v>657</v>
      </c>
    </row>
    <row r="46" spans="1:3" x14ac:dyDescent="0.25">
      <c r="B46" t="s">
        <v>163</v>
      </c>
      <c r="C46" t="s">
        <v>153</v>
      </c>
    </row>
    <row r="47" spans="1:3" x14ac:dyDescent="0.25">
      <c r="A47" t="s">
        <v>209</v>
      </c>
      <c r="B47" t="s">
        <v>166</v>
      </c>
      <c r="C47" t="s">
        <v>510</v>
      </c>
    </row>
    <row r="48" spans="1:3" x14ac:dyDescent="0.25">
      <c r="B48" t="s">
        <v>163</v>
      </c>
      <c r="C48" t="s">
        <v>153</v>
      </c>
    </row>
    <row r="49" spans="1:3" x14ac:dyDescent="0.25">
      <c r="A49" t="s">
        <v>210</v>
      </c>
      <c r="B49" t="s">
        <v>166</v>
      </c>
      <c r="C49" t="s">
        <v>510</v>
      </c>
    </row>
    <row r="50" spans="1:3" x14ac:dyDescent="0.25">
      <c r="B50" t="s">
        <v>163</v>
      </c>
      <c r="C50" t="s">
        <v>211</v>
      </c>
    </row>
    <row r="51" spans="1:3" x14ac:dyDescent="0.25">
      <c r="B51" t="s">
        <v>212</v>
      </c>
      <c r="C51" t="s">
        <v>213</v>
      </c>
    </row>
    <row r="52" spans="1:3" x14ac:dyDescent="0.25">
      <c r="B52" t="s">
        <v>163</v>
      </c>
      <c r="C52" t="s">
        <v>153</v>
      </c>
    </row>
    <row r="53" spans="1:3" x14ac:dyDescent="0.25">
      <c r="B53" t="s">
        <v>212</v>
      </c>
      <c r="C53" t="s">
        <v>214</v>
      </c>
    </row>
    <row r="54" spans="1:3" x14ac:dyDescent="0.25">
      <c r="B54" t="s">
        <v>215</v>
      </c>
      <c r="C54" t="s">
        <v>216</v>
      </c>
    </row>
    <row r="55" spans="1:3" x14ac:dyDescent="0.25">
      <c r="B55" t="s">
        <v>212</v>
      </c>
      <c r="C55" t="s">
        <v>217</v>
      </c>
    </row>
    <row r="56" spans="1:3" x14ac:dyDescent="0.25">
      <c r="B56" t="s">
        <v>219</v>
      </c>
      <c r="C56" t="s">
        <v>220</v>
      </c>
    </row>
    <row r="57" spans="1:3" x14ac:dyDescent="0.25">
      <c r="A57" t="s">
        <v>218</v>
      </c>
      <c r="B57" t="s">
        <v>221</v>
      </c>
      <c r="C57" t="s">
        <v>171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28" workbookViewId="0">
      <selection activeCell="E6" sqref="E6"/>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222</v>
      </c>
    </row>
    <row r="2" spans="1:6" x14ac:dyDescent="0.25">
      <c r="B2" t="s">
        <v>223</v>
      </c>
      <c r="C2" t="s">
        <v>224</v>
      </c>
      <c r="D2" t="s">
        <v>225</v>
      </c>
    </row>
    <row r="3" spans="1:6" x14ac:dyDescent="0.25">
      <c r="A3" t="s">
        <v>226</v>
      </c>
      <c r="B3" t="s">
        <v>227</v>
      </c>
      <c r="C3" t="s">
        <v>228</v>
      </c>
      <c r="D3" t="s">
        <v>229</v>
      </c>
    </row>
    <row r="4" spans="1:6" x14ac:dyDescent="0.25">
      <c r="B4" t="s">
        <v>230</v>
      </c>
      <c r="C4" t="s">
        <v>230</v>
      </c>
      <c r="D4" t="s">
        <v>230</v>
      </c>
    </row>
    <row r="5" spans="1:6" x14ac:dyDescent="0.25">
      <c r="B5" t="s">
        <v>231</v>
      </c>
      <c r="C5" t="s">
        <v>231</v>
      </c>
      <c r="D5" t="s">
        <v>231</v>
      </c>
    </row>
    <row r="6" spans="1:6" x14ac:dyDescent="0.25">
      <c r="A6" t="s">
        <v>232</v>
      </c>
      <c r="B6" t="s">
        <v>233</v>
      </c>
      <c r="C6" t="s">
        <v>229</v>
      </c>
      <c r="D6" t="s">
        <v>234</v>
      </c>
    </row>
    <row r="7" spans="1:6" x14ac:dyDescent="0.25">
      <c r="B7" t="s">
        <v>230</v>
      </c>
      <c r="C7" t="s">
        <v>230</v>
      </c>
      <c r="D7" t="s">
        <v>230</v>
      </c>
    </row>
    <row r="8" spans="1:6" x14ac:dyDescent="0.25">
      <c r="B8" t="s">
        <v>231</v>
      </c>
      <c r="C8" t="s">
        <v>231</v>
      </c>
      <c r="D8" t="s">
        <v>231</v>
      </c>
    </row>
    <row r="11" spans="1:6" s="1" customFormat="1" x14ac:dyDescent="0.25">
      <c r="A11" s="1" t="s">
        <v>235</v>
      </c>
    </row>
    <row r="12" spans="1:6" x14ac:dyDescent="0.25">
      <c r="B12" t="s">
        <v>236</v>
      </c>
      <c r="C12" t="s">
        <v>237</v>
      </c>
      <c r="D12" t="s">
        <v>238</v>
      </c>
      <c r="E12" t="s">
        <v>239</v>
      </c>
      <c r="F12" t="s">
        <v>240</v>
      </c>
    </row>
    <row r="13" spans="1:6" x14ac:dyDescent="0.25">
      <c r="B13" t="s">
        <v>241</v>
      </c>
      <c r="C13" t="s">
        <v>242</v>
      </c>
      <c r="D13" t="s">
        <v>242</v>
      </c>
      <c r="E13" t="s">
        <v>58</v>
      </c>
      <c r="F13" t="s">
        <v>242</v>
      </c>
    </row>
    <row r="14" spans="1:6" x14ac:dyDescent="0.25">
      <c r="B14" t="s">
        <v>243</v>
      </c>
      <c r="C14" t="s">
        <v>242</v>
      </c>
      <c r="D14" t="s">
        <v>242</v>
      </c>
      <c r="E14" t="s">
        <v>58</v>
      </c>
      <c r="F14" t="s">
        <v>242</v>
      </c>
    </row>
    <row r="15" spans="1:6" x14ac:dyDescent="0.25">
      <c r="B15" t="s">
        <v>244</v>
      </c>
      <c r="C15" t="s">
        <v>245</v>
      </c>
      <c r="D15" t="s">
        <v>245</v>
      </c>
      <c r="E15" t="s">
        <v>58</v>
      </c>
      <c r="F15" t="s">
        <v>245</v>
      </c>
    </row>
    <row r="16" spans="1:6" x14ac:dyDescent="0.25">
      <c r="B16" t="s">
        <v>246</v>
      </c>
      <c r="C16" t="s">
        <v>247</v>
      </c>
      <c r="D16" t="s">
        <v>247</v>
      </c>
      <c r="E16" t="s">
        <v>58</v>
      </c>
      <c r="F16" t="s">
        <v>247</v>
      </c>
    </row>
    <row r="17" spans="1:6" x14ac:dyDescent="0.25">
      <c r="B17" t="s">
        <v>248</v>
      </c>
      <c r="C17" t="s">
        <v>231</v>
      </c>
      <c r="D17" t="s">
        <v>231</v>
      </c>
      <c r="E17" t="s">
        <v>58</v>
      </c>
      <c r="F17" t="s">
        <v>231</v>
      </c>
    </row>
    <row r="19" spans="1:6" s="1" customFormat="1" x14ac:dyDescent="0.25">
      <c r="A19" s="1" t="s">
        <v>111</v>
      </c>
    </row>
    <row r="20" spans="1:6" x14ac:dyDescent="0.25">
      <c r="B20" t="s">
        <v>249</v>
      </c>
      <c r="C20" t="s">
        <v>250</v>
      </c>
      <c r="D20" t="s">
        <v>251</v>
      </c>
      <c r="E20" t="s">
        <v>252</v>
      </c>
      <c r="F20" t="s">
        <v>253</v>
      </c>
    </row>
    <row r="21" spans="1:6" x14ac:dyDescent="0.25">
      <c r="B21" t="s">
        <v>145</v>
      </c>
      <c r="C21" t="s">
        <v>254</v>
      </c>
      <c r="D21" t="s">
        <v>255</v>
      </c>
    </row>
    <row r="22" spans="1:6" x14ac:dyDescent="0.25">
      <c r="B22" t="s">
        <v>256</v>
      </c>
      <c r="C22" t="s">
        <v>257</v>
      </c>
      <c r="D22" t="s">
        <v>258</v>
      </c>
    </row>
    <row r="23" spans="1:6" x14ac:dyDescent="0.25">
      <c r="B23" t="s">
        <v>259</v>
      </c>
      <c r="C23" t="s">
        <v>260</v>
      </c>
      <c r="D23" t="s">
        <v>261</v>
      </c>
    </row>
    <row r="24" spans="1:6" x14ac:dyDescent="0.25">
      <c r="B24" t="s">
        <v>262</v>
      </c>
      <c r="C24" t="s">
        <v>263</v>
      </c>
      <c r="D24" t="s">
        <v>264</v>
      </c>
    </row>
    <row r="25" spans="1:6" x14ac:dyDescent="0.25">
      <c r="B25" t="s">
        <v>265</v>
      </c>
      <c r="C25" t="s">
        <v>266</v>
      </c>
      <c r="D25" t="s">
        <v>267</v>
      </c>
    </row>
    <row r="26" spans="1:6" x14ac:dyDescent="0.25">
      <c r="B26" t="s">
        <v>268</v>
      </c>
      <c r="C26" t="s">
        <v>268</v>
      </c>
      <c r="D26" t="s">
        <v>268</v>
      </c>
    </row>
    <row r="27" spans="1:6" x14ac:dyDescent="0.25">
      <c r="E27" t="s">
        <v>145</v>
      </c>
      <c r="F27" t="s">
        <v>260</v>
      </c>
    </row>
    <row r="28" spans="1:6" x14ac:dyDescent="0.25">
      <c r="E28" t="s">
        <v>256</v>
      </c>
      <c r="F28" t="s">
        <v>269</v>
      </c>
    </row>
    <row r="29" spans="1:6" x14ac:dyDescent="0.25">
      <c r="E29" t="s">
        <v>259</v>
      </c>
      <c r="F29" t="s">
        <v>270</v>
      </c>
    </row>
    <row r="30" spans="1:6" x14ac:dyDescent="0.25">
      <c r="E30" t="s">
        <v>262</v>
      </c>
      <c r="F30" t="s">
        <v>266</v>
      </c>
    </row>
    <row r="31" spans="1:6" x14ac:dyDescent="0.25">
      <c r="E31" t="s">
        <v>265</v>
      </c>
      <c r="F31" t="s">
        <v>271</v>
      </c>
    </row>
    <row r="32" spans="1:6" x14ac:dyDescent="0.25">
      <c r="E32" t="s">
        <v>272</v>
      </c>
      <c r="F32" t="s">
        <v>272</v>
      </c>
    </row>
    <row r="35" spans="1:4" s="1" customFormat="1" x14ac:dyDescent="0.25">
      <c r="A35" s="1" t="s">
        <v>273</v>
      </c>
    </row>
    <row r="37" spans="1:4" x14ac:dyDescent="0.25">
      <c r="A37" t="s">
        <v>278</v>
      </c>
      <c r="B37" t="s">
        <v>112</v>
      </c>
      <c r="C37" t="s">
        <v>113</v>
      </c>
      <c r="D37" t="s">
        <v>114</v>
      </c>
    </row>
    <row r="38" spans="1:4" x14ac:dyDescent="0.25">
      <c r="B38" t="s">
        <v>279</v>
      </c>
      <c r="C38" t="s">
        <v>145</v>
      </c>
      <c r="D38">
        <v>2.35E-2</v>
      </c>
    </row>
    <row r="39" spans="1:4" x14ac:dyDescent="0.25">
      <c r="B39" t="s">
        <v>279</v>
      </c>
      <c r="C39" t="s">
        <v>256</v>
      </c>
      <c r="D39">
        <v>2.5999999999999999E-2</v>
      </c>
    </row>
    <row r="40" spans="1:4" x14ac:dyDescent="0.25">
      <c r="B40" t="s">
        <v>279</v>
      </c>
      <c r="C40" t="s">
        <v>259</v>
      </c>
      <c r="D40">
        <v>2.6499999999999999E-2</v>
      </c>
    </row>
    <row r="41" spans="1:4" x14ac:dyDescent="0.25">
      <c r="B41" t="s">
        <v>279</v>
      </c>
      <c r="C41" t="s">
        <v>262</v>
      </c>
      <c r="D41">
        <v>2.7E-2</v>
      </c>
    </row>
    <row r="42" spans="1:4" x14ac:dyDescent="0.25">
      <c r="B42" t="s">
        <v>279</v>
      </c>
      <c r="C42" t="s">
        <v>265</v>
      </c>
      <c r="D42">
        <v>0.03</v>
      </c>
    </row>
    <row r="44" spans="1:4" s="1" customFormat="1" x14ac:dyDescent="0.25">
      <c r="A44" s="1" t="s">
        <v>280</v>
      </c>
    </row>
    <row r="45" spans="1:4" x14ac:dyDescent="0.25">
      <c r="A45" t="s">
        <v>281</v>
      </c>
      <c r="B45" t="s">
        <v>274</v>
      </c>
      <c r="C45" t="s">
        <v>275</v>
      </c>
      <c r="D45" t="s">
        <v>276</v>
      </c>
    </row>
    <row r="46" spans="1:4" x14ac:dyDescent="0.25">
      <c r="B46" t="s">
        <v>276</v>
      </c>
      <c r="D46" t="s">
        <v>277</v>
      </c>
    </row>
    <row r="48" spans="1:4" x14ac:dyDescent="0.25">
      <c r="A48" t="s">
        <v>282</v>
      </c>
      <c r="B48" t="s">
        <v>112</v>
      </c>
      <c r="C48" t="s">
        <v>113</v>
      </c>
      <c r="D48" t="s">
        <v>114</v>
      </c>
    </row>
    <row r="49" spans="1:4" x14ac:dyDescent="0.25">
      <c r="B49" t="s">
        <v>282</v>
      </c>
      <c r="C49" t="s">
        <v>145</v>
      </c>
      <c r="D49">
        <v>2.35E-2</v>
      </c>
    </row>
    <row r="50" spans="1:4" x14ac:dyDescent="0.25">
      <c r="B50" t="s">
        <v>282</v>
      </c>
      <c r="C50" t="s">
        <v>256</v>
      </c>
      <c r="D50">
        <v>2.5999999999999999E-2</v>
      </c>
    </row>
    <row r="51" spans="1:4" x14ac:dyDescent="0.25">
      <c r="B51" t="s">
        <v>282</v>
      </c>
      <c r="C51" t="s">
        <v>259</v>
      </c>
      <c r="D51">
        <v>2.6499999999999999E-2</v>
      </c>
    </row>
    <row r="52" spans="1:4" x14ac:dyDescent="0.25">
      <c r="B52" t="s">
        <v>282</v>
      </c>
      <c r="C52" t="s">
        <v>262</v>
      </c>
      <c r="D52">
        <v>2.7E-2</v>
      </c>
    </row>
    <row r="53" spans="1:4" x14ac:dyDescent="0.25">
      <c r="B53" t="s">
        <v>282</v>
      </c>
      <c r="C53" t="s">
        <v>265</v>
      </c>
      <c r="D53">
        <v>0.03</v>
      </c>
    </row>
    <row r="55" spans="1:4" s="1" customFormat="1" x14ac:dyDescent="0.25">
      <c r="A55" s="1" t="s">
        <v>283</v>
      </c>
    </row>
    <row r="56" spans="1:4" x14ac:dyDescent="0.25">
      <c r="B56" t="s">
        <v>274</v>
      </c>
      <c r="C56" t="s">
        <v>275</v>
      </c>
      <c r="D56" t="s">
        <v>276</v>
      </c>
    </row>
    <row r="57" spans="1:4" x14ac:dyDescent="0.25">
      <c r="B57" t="s">
        <v>276</v>
      </c>
      <c r="D57" t="s">
        <v>284</v>
      </c>
    </row>
    <row r="58" spans="1:4" x14ac:dyDescent="0.25">
      <c r="B58" t="s">
        <v>285</v>
      </c>
      <c r="C58" t="s">
        <v>286</v>
      </c>
    </row>
    <row r="59" spans="1:4" x14ac:dyDescent="0.25">
      <c r="B59" t="s">
        <v>276</v>
      </c>
      <c r="D59" t="s">
        <v>287</v>
      </c>
    </row>
    <row r="60" spans="1:4" x14ac:dyDescent="0.25">
      <c r="B60" t="s">
        <v>285</v>
      </c>
      <c r="C60" t="s">
        <v>286</v>
      </c>
    </row>
    <row r="61" spans="1:4" x14ac:dyDescent="0.25">
      <c r="B61" t="s">
        <v>276</v>
      </c>
      <c r="D61" t="s">
        <v>288</v>
      </c>
    </row>
    <row r="62" spans="1:4" x14ac:dyDescent="0.25">
      <c r="B62" t="s">
        <v>285</v>
      </c>
      <c r="C62" t="s">
        <v>286</v>
      </c>
    </row>
    <row r="63" spans="1:4" x14ac:dyDescent="0.25">
      <c r="B63" t="s">
        <v>285</v>
      </c>
      <c r="C63" t="s">
        <v>286</v>
      </c>
    </row>
    <row r="64" spans="1:4" x14ac:dyDescent="0.25">
      <c r="B64" t="s">
        <v>276</v>
      </c>
      <c r="D64" t="s">
        <v>289</v>
      </c>
    </row>
    <row r="65" spans="2:3" x14ac:dyDescent="0.25">
      <c r="B65" t="s">
        <v>285</v>
      </c>
      <c r="C65" t="s">
        <v>290</v>
      </c>
    </row>
  </sheetData>
  <pageMargins left="0.7" right="0.7" top="0.75" bottom="0.75" header="0.3" footer="0.3"/>
  <tableParts count="7">
    <tablePart r:id="rId1"/>
    <tablePart r:id="rId2"/>
    <tablePart r:id="rId3"/>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B1" sqref="B1:D30"/>
    </sheetView>
  </sheetViews>
  <sheetFormatPr defaultRowHeight="15" x14ac:dyDescent="0.25"/>
  <cols>
    <col min="1" max="1" width="56" bestFit="1" customWidth="1"/>
    <col min="2" max="2" width="15.85546875" bestFit="1" customWidth="1"/>
    <col min="3" max="3" width="34.7109375" bestFit="1" customWidth="1"/>
    <col min="4" max="4" width="15.85546875" bestFit="1" customWidth="1"/>
  </cols>
  <sheetData>
    <row r="1" spans="1:4" x14ac:dyDescent="0.25">
      <c r="B1" t="s">
        <v>149</v>
      </c>
      <c r="C1" t="s">
        <v>150</v>
      </c>
      <c r="D1" t="s">
        <v>291</v>
      </c>
    </row>
    <row r="2" spans="1:4" x14ac:dyDescent="0.25">
      <c r="A2" t="s">
        <v>292</v>
      </c>
      <c r="B2" t="s">
        <v>106</v>
      </c>
      <c r="C2" t="s">
        <v>293</v>
      </c>
      <c r="D2" t="s">
        <v>294</v>
      </c>
    </row>
    <row r="3" spans="1:4" x14ac:dyDescent="0.25">
      <c r="B3" t="s">
        <v>106</v>
      </c>
      <c r="C3" t="s">
        <v>295</v>
      </c>
      <c r="D3" t="s">
        <v>130</v>
      </c>
    </row>
    <row r="4" spans="1:4" x14ac:dyDescent="0.25">
      <c r="B4" t="s">
        <v>106</v>
      </c>
      <c r="C4" t="s">
        <v>296</v>
      </c>
      <c r="D4" t="s">
        <v>130</v>
      </c>
    </row>
    <row r="5" spans="1:4" x14ac:dyDescent="0.25">
      <c r="B5" t="s">
        <v>106</v>
      </c>
      <c r="C5" t="s">
        <v>297</v>
      </c>
      <c r="D5" t="s">
        <v>298</v>
      </c>
    </row>
    <row r="6" spans="1:4" x14ac:dyDescent="0.25">
      <c r="B6" t="s">
        <v>106</v>
      </c>
      <c r="C6" t="s">
        <v>299</v>
      </c>
      <c r="D6" t="s">
        <v>298</v>
      </c>
    </row>
    <row r="7" spans="1:4" x14ac:dyDescent="0.25">
      <c r="A7" t="s">
        <v>300</v>
      </c>
      <c r="B7" t="s">
        <v>106</v>
      </c>
      <c r="C7" t="s">
        <v>301</v>
      </c>
      <c r="D7" t="s">
        <v>136</v>
      </c>
    </row>
    <row r="8" spans="1:4" x14ac:dyDescent="0.25">
      <c r="B8" t="s">
        <v>106</v>
      </c>
      <c r="C8" t="s">
        <v>302</v>
      </c>
      <c r="D8" t="s">
        <v>303</v>
      </c>
    </row>
    <row r="9" spans="1:4" x14ac:dyDescent="0.25">
      <c r="B9" t="s">
        <v>106</v>
      </c>
      <c r="C9" t="s">
        <v>131</v>
      </c>
      <c r="D9" t="s">
        <v>303</v>
      </c>
    </row>
    <row r="10" spans="1:4" x14ac:dyDescent="0.25">
      <c r="B10" t="s">
        <v>106</v>
      </c>
      <c r="C10" t="s">
        <v>129</v>
      </c>
      <c r="D10" t="s">
        <v>298</v>
      </c>
    </row>
    <row r="11" spans="1:4" x14ac:dyDescent="0.25">
      <c r="B11" t="s">
        <v>106</v>
      </c>
      <c r="C11" t="s">
        <v>127</v>
      </c>
      <c r="D11" t="s">
        <v>294</v>
      </c>
    </row>
    <row r="12" spans="1:4" x14ac:dyDescent="0.25">
      <c r="B12" t="s">
        <v>106</v>
      </c>
      <c r="C12" t="s">
        <v>304</v>
      </c>
      <c r="D12" t="s">
        <v>305</v>
      </c>
    </row>
    <row r="13" spans="1:4" x14ac:dyDescent="0.25">
      <c r="A13" t="s">
        <v>306</v>
      </c>
      <c r="B13" t="s">
        <v>106</v>
      </c>
      <c r="C13" t="s">
        <v>307</v>
      </c>
      <c r="D13" t="s">
        <v>136</v>
      </c>
    </row>
    <row r="14" spans="1:4" x14ac:dyDescent="0.25">
      <c r="B14" t="s">
        <v>106</v>
      </c>
      <c r="C14" t="s">
        <v>308</v>
      </c>
      <c r="D14" t="s">
        <v>644</v>
      </c>
    </row>
    <row r="15" spans="1:4" x14ac:dyDescent="0.25">
      <c r="A15" t="s">
        <v>309</v>
      </c>
      <c r="B15" t="s">
        <v>106</v>
      </c>
      <c r="C15" t="s">
        <v>310</v>
      </c>
      <c r="D15" t="s">
        <v>136</v>
      </c>
    </row>
    <row r="16" spans="1:4" x14ac:dyDescent="0.25">
      <c r="B16" t="s">
        <v>106</v>
      </c>
      <c r="C16" t="s">
        <v>311</v>
      </c>
      <c r="D16" t="s">
        <v>136</v>
      </c>
    </row>
    <row r="17" spans="1:4" x14ac:dyDescent="0.25">
      <c r="B17" t="s">
        <v>106</v>
      </c>
      <c r="C17" t="s">
        <v>312</v>
      </c>
      <c r="D17" t="s">
        <v>136</v>
      </c>
    </row>
    <row r="18" spans="1:4" x14ac:dyDescent="0.25">
      <c r="B18" t="s">
        <v>106</v>
      </c>
      <c r="C18" t="s">
        <v>308</v>
      </c>
      <c r="D18" t="s">
        <v>294</v>
      </c>
    </row>
    <row r="19" spans="1:4" x14ac:dyDescent="0.25">
      <c r="B19" t="s">
        <v>106</v>
      </c>
      <c r="C19" t="s">
        <v>313</v>
      </c>
      <c r="D19" t="s">
        <v>305</v>
      </c>
    </row>
    <row r="20" spans="1:4" x14ac:dyDescent="0.25">
      <c r="A20" t="s">
        <v>314</v>
      </c>
      <c r="B20" t="s">
        <v>106</v>
      </c>
      <c r="C20" t="s">
        <v>310</v>
      </c>
      <c r="D20" t="s">
        <v>303</v>
      </c>
    </row>
    <row r="21" spans="1:4" x14ac:dyDescent="0.25">
      <c r="B21" t="s">
        <v>106</v>
      </c>
      <c r="C21" t="s">
        <v>308</v>
      </c>
      <c r="D21" t="s">
        <v>294</v>
      </c>
    </row>
    <row r="22" spans="1:4" x14ac:dyDescent="0.25">
      <c r="B22" t="s">
        <v>106</v>
      </c>
      <c r="C22" t="s">
        <v>315</v>
      </c>
      <c r="D22" t="s">
        <v>294</v>
      </c>
    </row>
    <row r="23" spans="1:4" x14ac:dyDescent="0.25">
      <c r="B23" t="s">
        <v>106</v>
      </c>
      <c r="C23" t="s">
        <v>316</v>
      </c>
      <c r="D23" t="s">
        <v>305</v>
      </c>
    </row>
    <row r="24" spans="1:4" x14ac:dyDescent="0.25">
      <c r="B24" t="s">
        <v>106</v>
      </c>
      <c r="C24" t="s">
        <v>317</v>
      </c>
      <c r="D24" t="s">
        <v>318</v>
      </c>
    </row>
    <row r="25" spans="1:4" x14ac:dyDescent="0.25">
      <c r="A25" t="s">
        <v>319</v>
      </c>
      <c r="B25" t="s">
        <v>106</v>
      </c>
      <c r="C25" t="s">
        <v>310</v>
      </c>
      <c r="D25" t="s">
        <v>298</v>
      </c>
    </row>
    <row r="26" spans="1:4" x14ac:dyDescent="0.25">
      <c r="B26" t="s">
        <v>106</v>
      </c>
      <c r="C26" t="s">
        <v>320</v>
      </c>
      <c r="D26" t="s">
        <v>321</v>
      </c>
    </row>
    <row r="27" spans="1:4" x14ac:dyDescent="0.25">
      <c r="B27" t="s">
        <v>106</v>
      </c>
      <c r="C27" t="s">
        <v>322</v>
      </c>
      <c r="D27" t="s">
        <v>323</v>
      </c>
    </row>
    <row r="28" spans="1:4" x14ac:dyDescent="0.25">
      <c r="A28" t="s">
        <v>324</v>
      </c>
      <c r="B28" t="s">
        <v>106</v>
      </c>
      <c r="C28" t="s">
        <v>325</v>
      </c>
      <c r="D28" t="s">
        <v>326</v>
      </c>
    </row>
    <row r="29" spans="1:4" x14ac:dyDescent="0.25">
      <c r="B29" t="s">
        <v>106</v>
      </c>
      <c r="C29" t="s">
        <v>327</v>
      </c>
      <c r="D29" t="s">
        <v>326</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2"/>
  <sheetViews>
    <sheetView workbookViewId="0">
      <selection activeCell="H86" sqref="H86"/>
    </sheetView>
  </sheetViews>
  <sheetFormatPr defaultRowHeight="15" x14ac:dyDescent="0.25"/>
  <cols>
    <col min="1" max="1" width="56.7109375" bestFit="1" customWidth="1"/>
    <col min="2" max="2" width="57.7109375" bestFit="1" customWidth="1"/>
    <col min="3" max="4" width="39.140625" bestFit="1" customWidth="1"/>
    <col min="5" max="5" width="19.85546875" bestFit="1" customWidth="1"/>
  </cols>
  <sheetData>
    <row r="1" spans="1:5" x14ac:dyDescent="0.25">
      <c r="B1" t="s">
        <v>149</v>
      </c>
      <c r="C1" t="s">
        <v>150</v>
      </c>
      <c r="D1" t="s">
        <v>291</v>
      </c>
      <c r="E1" t="s">
        <v>328</v>
      </c>
    </row>
    <row r="2" spans="1:5" x14ac:dyDescent="0.25">
      <c r="A2" t="s">
        <v>329</v>
      </c>
      <c r="B2" t="s">
        <v>329</v>
      </c>
      <c r="C2" t="s">
        <v>330</v>
      </c>
      <c r="D2" t="s">
        <v>330</v>
      </c>
      <c r="E2" t="s">
        <v>331</v>
      </c>
    </row>
    <row r="3" spans="1:5" x14ac:dyDescent="0.25">
      <c r="B3" t="s">
        <v>329</v>
      </c>
      <c r="C3" t="s">
        <v>332</v>
      </c>
      <c r="D3" t="s">
        <v>332</v>
      </c>
      <c r="E3" t="s">
        <v>331</v>
      </c>
    </row>
    <row r="4" spans="1:5" x14ac:dyDescent="0.25">
      <c r="A4" t="s">
        <v>333</v>
      </c>
      <c r="B4" t="s">
        <v>333</v>
      </c>
      <c r="C4" t="s">
        <v>39</v>
      </c>
      <c r="D4" t="s">
        <v>39</v>
      </c>
      <c r="E4" t="s">
        <v>491</v>
      </c>
    </row>
    <row r="5" spans="1:5" x14ac:dyDescent="0.25">
      <c r="B5" t="s">
        <v>333</v>
      </c>
      <c r="C5" t="s">
        <v>335</v>
      </c>
      <c r="D5" t="s">
        <v>335</v>
      </c>
      <c r="E5" t="s">
        <v>343</v>
      </c>
    </row>
    <row r="6" spans="1:5" x14ac:dyDescent="0.25">
      <c r="B6" t="s">
        <v>333</v>
      </c>
      <c r="C6" t="s">
        <v>336</v>
      </c>
      <c r="D6" t="s">
        <v>336</v>
      </c>
      <c r="E6" t="s">
        <v>491</v>
      </c>
    </row>
    <row r="7" spans="1:5" x14ac:dyDescent="0.25">
      <c r="B7" t="s">
        <v>333</v>
      </c>
      <c r="C7" t="s">
        <v>337</v>
      </c>
      <c r="D7" t="s">
        <v>337</v>
      </c>
      <c r="E7" t="s">
        <v>491</v>
      </c>
    </row>
    <row r="8" spans="1:5" x14ac:dyDescent="0.25">
      <c r="B8" t="s">
        <v>333</v>
      </c>
      <c r="C8" t="s">
        <v>338</v>
      </c>
      <c r="D8" t="s">
        <v>338</v>
      </c>
      <c r="E8" t="s">
        <v>339</v>
      </c>
    </row>
    <row r="9" spans="1:5" x14ac:dyDescent="0.25">
      <c r="B9" t="s">
        <v>333</v>
      </c>
      <c r="C9" t="s">
        <v>340</v>
      </c>
      <c r="D9" t="s">
        <v>340</v>
      </c>
      <c r="E9" t="s">
        <v>339</v>
      </c>
    </row>
    <row r="10" spans="1:5" x14ac:dyDescent="0.25">
      <c r="A10" t="s">
        <v>341</v>
      </c>
      <c r="B10" t="s">
        <v>341</v>
      </c>
      <c r="C10" t="s">
        <v>342</v>
      </c>
      <c r="D10" t="s">
        <v>342</v>
      </c>
      <c r="E10" t="s">
        <v>277</v>
      </c>
    </row>
    <row r="11" spans="1:5" x14ac:dyDescent="0.25">
      <c r="B11" t="s">
        <v>341</v>
      </c>
      <c r="C11" t="s">
        <v>344</v>
      </c>
      <c r="D11" t="s">
        <v>344</v>
      </c>
      <c r="E11" t="s">
        <v>345</v>
      </c>
    </row>
    <row r="12" spans="1:5" x14ac:dyDescent="0.25">
      <c r="A12" t="s">
        <v>346</v>
      </c>
      <c r="B12" t="s">
        <v>347</v>
      </c>
      <c r="C12" t="s">
        <v>348</v>
      </c>
      <c r="D12" t="s">
        <v>349</v>
      </c>
      <c r="E12" t="s">
        <v>350</v>
      </c>
    </row>
    <row r="13" spans="1:5" x14ac:dyDescent="0.25">
      <c r="B13" t="s">
        <v>351</v>
      </c>
      <c r="C13" t="s">
        <v>639</v>
      </c>
      <c r="D13" t="s">
        <v>639</v>
      </c>
      <c r="E13" t="s">
        <v>639</v>
      </c>
    </row>
    <row r="14" spans="1:5" x14ac:dyDescent="0.25">
      <c r="B14" t="s">
        <v>352</v>
      </c>
      <c r="C14" t="s">
        <v>343</v>
      </c>
      <c r="D14" t="s">
        <v>343</v>
      </c>
      <c r="E14" t="s">
        <v>343</v>
      </c>
    </row>
    <row r="15" spans="1:5" x14ac:dyDescent="0.25">
      <c r="B15" t="s">
        <v>353</v>
      </c>
      <c r="C15" t="s">
        <v>345</v>
      </c>
      <c r="D15" t="s">
        <v>345</v>
      </c>
      <c r="E15" t="s">
        <v>345</v>
      </c>
    </row>
    <row r="16" spans="1:5" x14ac:dyDescent="0.25">
      <c r="B16" t="s">
        <v>354</v>
      </c>
      <c r="C16" t="s">
        <v>277</v>
      </c>
      <c r="D16" t="s">
        <v>277</v>
      </c>
      <c r="E16" t="s">
        <v>277</v>
      </c>
    </row>
    <row r="17" spans="1:5" x14ac:dyDescent="0.25">
      <c r="B17" t="s">
        <v>355</v>
      </c>
      <c r="C17" t="s">
        <v>261</v>
      </c>
      <c r="D17" t="s">
        <v>261</v>
      </c>
      <c r="E17" t="s">
        <v>261</v>
      </c>
    </row>
    <row r="18" spans="1:5" x14ac:dyDescent="0.25">
      <c r="A18" t="s">
        <v>356</v>
      </c>
      <c r="B18" t="s">
        <v>168</v>
      </c>
      <c r="C18" t="s">
        <v>357</v>
      </c>
      <c r="D18" t="s">
        <v>358</v>
      </c>
      <c r="E18" t="s">
        <v>359</v>
      </c>
    </row>
    <row r="19" spans="1:5" x14ac:dyDescent="0.25">
      <c r="B19" t="s">
        <v>145</v>
      </c>
      <c r="C19" t="s">
        <v>505</v>
      </c>
      <c r="D19" t="s">
        <v>254</v>
      </c>
      <c r="E19" t="s">
        <v>360</v>
      </c>
    </row>
    <row r="20" spans="1:5" x14ac:dyDescent="0.25">
      <c r="B20" t="s">
        <v>146</v>
      </c>
      <c r="C20" t="s">
        <v>269</v>
      </c>
      <c r="D20" t="s">
        <v>506</v>
      </c>
      <c r="E20" t="s">
        <v>507</v>
      </c>
    </row>
    <row r="21" spans="1:5" x14ac:dyDescent="0.25">
      <c r="B21" t="s">
        <v>361</v>
      </c>
      <c r="C21" t="s">
        <v>365</v>
      </c>
      <c r="D21" t="s">
        <v>266</v>
      </c>
      <c r="E21" t="s">
        <v>362</v>
      </c>
    </row>
    <row r="22" spans="1:5" x14ac:dyDescent="0.25">
      <c r="B22" t="s">
        <v>363</v>
      </c>
      <c r="C22" t="s">
        <v>367</v>
      </c>
      <c r="D22" t="s">
        <v>365</v>
      </c>
      <c r="E22" t="s">
        <v>364</v>
      </c>
    </row>
    <row r="23" spans="1:5" x14ac:dyDescent="0.25">
      <c r="B23" t="s">
        <v>366</v>
      </c>
      <c r="C23" t="s">
        <v>509</v>
      </c>
      <c r="D23" t="s">
        <v>271</v>
      </c>
      <c r="E23" t="s">
        <v>508</v>
      </c>
    </row>
    <row r="24" spans="1:5" x14ac:dyDescent="0.25">
      <c r="A24" t="s">
        <v>368</v>
      </c>
      <c r="B24" t="s">
        <v>168</v>
      </c>
      <c r="C24" t="s">
        <v>357</v>
      </c>
    </row>
    <row r="25" spans="1:5" x14ac:dyDescent="0.25">
      <c r="B25" t="s">
        <v>369</v>
      </c>
      <c r="C25" t="s">
        <v>505</v>
      </c>
    </row>
    <row r="26" spans="1:5" x14ac:dyDescent="0.25">
      <c r="B26" t="s">
        <v>370</v>
      </c>
      <c r="C26" t="s">
        <v>269</v>
      </c>
    </row>
    <row r="27" spans="1:5" x14ac:dyDescent="0.25">
      <c r="B27" t="s">
        <v>371</v>
      </c>
      <c r="C27" t="s">
        <v>365</v>
      </c>
    </row>
    <row r="28" spans="1:5" x14ac:dyDescent="0.25">
      <c r="B28" t="s">
        <v>372</v>
      </c>
      <c r="C28" t="s">
        <v>367</v>
      </c>
    </row>
    <row r="29" spans="1:5" x14ac:dyDescent="0.25">
      <c r="B29" t="s">
        <v>373</v>
      </c>
      <c r="C29" t="s">
        <v>509</v>
      </c>
    </row>
    <row r="30" spans="1:5" x14ac:dyDescent="0.25">
      <c r="A30" t="s">
        <v>374</v>
      </c>
      <c r="B30" t="s">
        <v>374</v>
      </c>
      <c r="C30" t="s">
        <v>375</v>
      </c>
      <c r="D30" t="s">
        <v>376</v>
      </c>
    </row>
    <row r="31" spans="1:5" x14ac:dyDescent="0.25">
      <c r="B31" t="s">
        <v>374</v>
      </c>
      <c r="C31" t="s">
        <v>377</v>
      </c>
      <c r="D31" t="s">
        <v>491</v>
      </c>
      <c r="E31" t="s">
        <v>491</v>
      </c>
    </row>
    <row r="32" spans="1:5" x14ac:dyDescent="0.25">
      <c r="B32" t="s">
        <v>378</v>
      </c>
      <c r="C32" t="s">
        <v>379</v>
      </c>
    </row>
    <row r="33" spans="1:3" x14ac:dyDescent="0.25">
      <c r="B33" t="s">
        <v>380</v>
      </c>
      <c r="C33" t="s">
        <v>376</v>
      </c>
    </row>
    <row r="34" spans="1:3" x14ac:dyDescent="0.25">
      <c r="B34" t="s">
        <v>381</v>
      </c>
      <c r="C34" t="s">
        <v>379</v>
      </c>
    </row>
    <row r="35" spans="1:3" x14ac:dyDescent="0.25">
      <c r="B35" t="s">
        <v>382</v>
      </c>
      <c r="C35" t="s">
        <v>383</v>
      </c>
    </row>
    <row r="36" spans="1:3" x14ac:dyDescent="0.25">
      <c r="B36" t="s">
        <v>384</v>
      </c>
      <c r="C36" t="s">
        <v>376</v>
      </c>
    </row>
    <row r="37" spans="1:3" x14ac:dyDescent="0.25">
      <c r="B37" t="s">
        <v>385</v>
      </c>
      <c r="C37" t="s">
        <v>386</v>
      </c>
    </row>
    <row r="38" spans="1:3" x14ac:dyDescent="0.25">
      <c r="B38" t="s">
        <v>387</v>
      </c>
      <c r="C38" t="s">
        <v>388</v>
      </c>
    </row>
    <row r="39" spans="1:3" x14ac:dyDescent="0.25">
      <c r="B39" t="s">
        <v>389</v>
      </c>
      <c r="C39" t="s">
        <v>390</v>
      </c>
    </row>
    <row r="40" spans="1:3" x14ac:dyDescent="0.25">
      <c r="B40" t="s">
        <v>391</v>
      </c>
      <c r="C40" t="s">
        <v>392</v>
      </c>
    </row>
    <row r="41" spans="1:3" x14ac:dyDescent="0.25">
      <c r="B41" t="s">
        <v>393</v>
      </c>
      <c r="C41" t="s">
        <v>394</v>
      </c>
    </row>
    <row r="42" spans="1:3" x14ac:dyDescent="0.25">
      <c r="B42" t="s">
        <v>395</v>
      </c>
      <c r="C42" t="s">
        <v>396</v>
      </c>
    </row>
    <row r="43" spans="1:3" x14ac:dyDescent="0.25">
      <c r="B43" t="s">
        <v>397</v>
      </c>
      <c r="C43" t="s">
        <v>398</v>
      </c>
    </row>
    <row r="44" spans="1:3" x14ac:dyDescent="0.25">
      <c r="A44" t="s">
        <v>399</v>
      </c>
      <c r="B44" t="s">
        <v>400</v>
      </c>
      <c r="C44" t="s">
        <v>379</v>
      </c>
    </row>
    <row r="45" spans="1:3" x14ac:dyDescent="0.25">
      <c r="B45" t="s">
        <v>401</v>
      </c>
      <c r="C45" t="s">
        <v>402</v>
      </c>
    </row>
    <row r="46" spans="1:3" x14ac:dyDescent="0.25">
      <c r="B46" t="s">
        <v>403</v>
      </c>
      <c r="C46" t="s">
        <v>404</v>
      </c>
    </row>
    <row r="47" spans="1:3" x14ac:dyDescent="0.25">
      <c r="B47" t="s">
        <v>405</v>
      </c>
      <c r="C47" t="s">
        <v>379</v>
      </c>
    </row>
    <row r="48" spans="1:3" x14ac:dyDescent="0.25">
      <c r="B48" t="s">
        <v>406</v>
      </c>
      <c r="C48" t="s">
        <v>383</v>
      </c>
    </row>
    <row r="49" spans="1:4" x14ac:dyDescent="0.25">
      <c r="B49" t="s">
        <v>407</v>
      </c>
      <c r="C49" t="s">
        <v>376</v>
      </c>
    </row>
    <row r="50" spans="1:4" x14ac:dyDescent="0.25">
      <c r="B50" t="s">
        <v>408</v>
      </c>
      <c r="C50" t="s">
        <v>386</v>
      </c>
    </row>
    <row r="51" spans="1:4" x14ac:dyDescent="0.25">
      <c r="B51" t="s">
        <v>409</v>
      </c>
      <c r="C51" t="s">
        <v>388</v>
      </c>
    </row>
    <row r="52" spans="1:4" x14ac:dyDescent="0.25">
      <c r="B52" t="s">
        <v>410</v>
      </c>
      <c r="C52" t="s">
        <v>390</v>
      </c>
    </row>
    <row r="53" spans="1:4" x14ac:dyDescent="0.25">
      <c r="B53" t="s">
        <v>411</v>
      </c>
      <c r="C53" t="s">
        <v>392</v>
      </c>
    </row>
    <row r="54" spans="1:4" x14ac:dyDescent="0.25">
      <c r="B54" t="s">
        <v>412</v>
      </c>
      <c r="C54" t="s">
        <v>394</v>
      </c>
    </row>
    <row r="55" spans="1:4" x14ac:dyDescent="0.25">
      <c r="B55" t="s">
        <v>413</v>
      </c>
      <c r="C55" t="s">
        <v>396</v>
      </c>
    </row>
    <row r="56" spans="1:4" x14ac:dyDescent="0.25">
      <c r="B56" t="s">
        <v>414</v>
      </c>
      <c r="C56" t="s">
        <v>398</v>
      </c>
    </row>
    <row r="57" spans="1:4" x14ac:dyDescent="0.25">
      <c r="A57" t="s">
        <v>415</v>
      </c>
      <c r="B57" t="s">
        <v>415</v>
      </c>
      <c r="C57" t="s">
        <v>168</v>
      </c>
      <c r="D57" t="s">
        <v>379</v>
      </c>
    </row>
    <row r="58" spans="1:4" x14ac:dyDescent="0.25">
      <c r="B58" t="s">
        <v>415</v>
      </c>
      <c r="C58" t="s">
        <v>416</v>
      </c>
      <c r="D58" t="s">
        <v>383</v>
      </c>
    </row>
    <row r="59" spans="1:4" x14ac:dyDescent="0.25">
      <c r="B59" t="s">
        <v>415</v>
      </c>
      <c r="C59" t="s">
        <v>385</v>
      </c>
      <c r="D59" t="s">
        <v>386</v>
      </c>
    </row>
    <row r="60" spans="1:4" x14ac:dyDescent="0.25">
      <c r="B60" t="s">
        <v>415</v>
      </c>
      <c r="C60" t="s">
        <v>417</v>
      </c>
      <c r="D60" t="s">
        <v>376</v>
      </c>
    </row>
    <row r="61" spans="1:4" x14ac:dyDescent="0.25">
      <c r="B61" t="s">
        <v>415</v>
      </c>
      <c r="C61" t="s">
        <v>418</v>
      </c>
      <c r="D61" t="s">
        <v>388</v>
      </c>
    </row>
    <row r="62" spans="1:4" x14ac:dyDescent="0.25">
      <c r="B62" t="s">
        <v>415</v>
      </c>
      <c r="C62" t="s">
        <v>419</v>
      </c>
      <c r="D62" t="s">
        <v>390</v>
      </c>
    </row>
    <row r="63" spans="1:4" x14ac:dyDescent="0.25">
      <c r="B63" t="s">
        <v>415</v>
      </c>
      <c r="C63" t="s">
        <v>420</v>
      </c>
      <c r="D63" t="s">
        <v>392</v>
      </c>
    </row>
    <row r="64" spans="1:4" x14ac:dyDescent="0.25">
      <c r="B64" t="s">
        <v>415</v>
      </c>
      <c r="C64" t="s">
        <v>421</v>
      </c>
      <c r="D64" t="s">
        <v>394</v>
      </c>
    </row>
    <row r="65" spans="1:5" x14ac:dyDescent="0.25">
      <c r="B65" t="s">
        <v>415</v>
      </c>
      <c r="C65" t="s">
        <v>395</v>
      </c>
      <c r="D65" t="s">
        <v>396</v>
      </c>
    </row>
    <row r="66" spans="1:5" x14ac:dyDescent="0.25">
      <c r="B66" t="s">
        <v>415</v>
      </c>
      <c r="C66" t="s">
        <v>422</v>
      </c>
      <c r="D66" t="s">
        <v>398</v>
      </c>
    </row>
    <row r="67" spans="1:5" x14ac:dyDescent="0.25">
      <c r="A67" t="s">
        <v>423</v>
      </c>
      <c r="B67" t="s">
        <v>423</v>
      </c>
      <c r="C67" t="s">
        <v>424</v>
      </c>
      <c r="D67" t="s">
        <v>425</v>
      </c>
      <c r="E67" t="s">
        <v>426</v>
      </c>
    </row>
    <row r="68" spans="1:5" x14ac:dyDescent="0.25">
      <c r="B68" t="s">
        <v>423</v>
      </c>
      <c r="C68" t="s">
        <v>427</v>
      </c>
      <c r="D68" t="s">
        <v>428</v>
      </c>
      <c r="E68" t="s">
        <v>383</v>
      </c>
    </row>
    <row r="69" spans="1:5" x14ac:dyDescent="0.25">
      <c r="B69" t="s">
        <v>423</v>
      </c>
      <c r="C69" t="s">
        <v>429</v>
      </c>
      <c r="D69" t="s">
        <v>428</v>
      </c>
      <c r="E69" t="s">
        <v>383</v>
      </c>
    </row>
    <row r="70" spans="1:5" x14ac:dyDescent="0.25">
      <c r="A70" t="s">
        <v>430</v>
      </c>
      <c r="B70" t="s">
        <v>430</v>
      </c>
      <c r="C70" t="s">
        <v>430</v>
      </c>
    </row>
    <row r="71" spans="1:5" x14ac:dyDescent="0.25">
      <c r="B71" t="s">
        <v>431</v>
      </c>
      <c r="C71" t="s">
        <v>376</v>
      </c>
    </row>
    <row r="72" spans="1:5" x14ac:dyDescent="0.25">
      <c r="A72" t="s">
        <v>432</v>
      </c>
      <c r="B72" t="s">
        <v>432</v>
      </c>
      <c r="C72" t="s">
        <v>432</v>
      </c>
    </row>
    <row r="73" spans="1:5" x14ac:dyDescent="0.25">
      <c r="B73" t="s">
        <v>433</v>
      </c>
      <c r="C73" t="s">
        <v>428</v>
      </c>
    </row>
    <row r="74" spans="1:5" x14ac:dyDescent="0.25">
      <c r="A74" t="s">
        <v>434</v>
      </c>
      <c r="B74" t="s">
        <v>434</v>
      </c>
      <c r="C74" t="s">
        <v>434</v>
      </c>
    </row>
    <row r="75" spans="1:5" x14ac:dyDescent="0.25">
      <c r="B75" t="s">
        <v>435</v>
      </c>
      <c r="C75" t="s">
        <v>242</v>
      </c>
    </row>
    <row r="76" spans="1:5" x14ac:dyDescent="0.25">
      <c r="B76" t="s">
        <v>436</v>
      </c>
      <c r="C76" t="s">
        <v>334</v>
      </c>
    </row>
    <row r="77" spans="1:5" x14ac:dyDescent="0.25">
      <c r="B77" t="s">
        <v>437</v>
      </c>
      <c r="C77" t="s">
        <v>492</v>
      </c>
    </row>
    <row r="78" spans="1:5" x14ac:dyDescent="0.25">
      <c r="B78" t="s">
        <v>438</v>
      </c>
      <c r="C78" t="s">
        <v>277</v>
      </c>
    </row>
    <row r="79" spans="1:5" x14ac:dyDescent="0.25">
      <c r="B79" t="s">
        <v>439</v>
      </c>
      <c r="C79" t="s">
        <v>491</v>
      </c>
    </row>
    <row r="80" spans="1:5" x14ac:dyDescent="0.25">
      <c r="B80" t="s">
        <v>440</v>
      </c>
      <c r="C80" t="s">
        <v>491</v>
      </c>
    </row>
    <row r="82" spans="1:1" x14ac:dyDescent="0.25">
      <c r="A82" s="2"/>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sqref="A1:B5"/>
    </sheetView>
  </sheetViews>
  <sheetFormatPr defaultRowHeight="15" x14ac:dyDescent="0.25"/>
  <cols>
    <col min="1" max="1" width="81.140625" bestFit="1" customWidth="1"/>
    <col min="2" max="2" width="23.140625" bestFit="1" customWidth="1"/>
  </cols>
  <sheetData>
    <row r="1" spans="1:2" x14ac:dyDescent="0.25">
      <c r="A1" t="s">
        <v>482</v>
      </c>
      <c r="B1" t="s">
        <v>553</v>
      </c>
    </row>
    <row r="2" spans="1:2" x14ac:dyDescent="0.25">
      <c r="A2" s="79" t="s">
        <v>554</v>
      </c>
      <c r="B2">
        <v>4.4999999999999997E-3</v>
      </c>
    </row>
    <row r="3" spans="1:2" x14ac:dyDescent="0.25">
      <c r="A3" s="79" t="s">
        <v>555</v>
      </c>
      <c r="B3">
        <v>0.01</v>
      </c>
    </row>
    <row r="4" spans="1:2" x14ac:dyDescent="0.25">
      <c r="A4" s="79" t="s">
        <v>556</v>
      </c>
      <c r="B4">
        <v>1.0500000000000001E-2</v>
      </c>
    </row>
    <row r="5" spans="1:2" x14ac:dyDescent="0.25">
      <c r="A5" s="79" t="s">
        <v>557</v>
      </c>
      <c r="B5">
        <v>1.15E-2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K19" sqref="K19"/>
    </sheetView>
  </sheetViews>
  <sheetFormatPr defaultRowHeight="15" x14ac:dyDescent="0.25"/>
  <cols>
    <col min="1" max="1" width="23" bestFit="1" customWidth="1"/>
    <col min="2" max="2" width="14.85546875" bestFit="1" customWidth="1"/>
  </cols>
  <sheetData>
    <row r="1" spans="1:2" x14ac:dyDescent="0.25">
      <c r="A1" t="s">
        <v>441</v>
      </c>
      <c r="B1" t="s">
        <v>144</v>
      </c>
    </row>
    <row r="2" spans="1:2" x14ac:dyDescent="0.25">
      <c r="A2" s="79" t="s">
        <v>41</v>
      </c>
      <c r="B2">
        <v>1.4999999999999999E-2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B1" sqref="B1:E5"/>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s>
  <sheetData>
    <row r="1" spans="1:5" x14ac:dyDescent="0.25">
      <c r="B1" t="s">
        <v>499</v>
      </c>
      <c r="C1" t="s">
        <v>500</v>
      </c>
      <c r="D1" t="s">
        <v>511</v>
      </c>
      <c r="E1" t="s">
        <v>512</v>
      </c>
    </row>
    <row r="2" spans="1:5" x14ac:dyDescent="0.25">
      <c r="A2" t="s">
        <v>501</v>
      </c>
      <c r="B2" s="79" t="s">
        <v>499</v>
      </c>
      <c r="C2" s="79" t="s">
        <v>501</v>
      </c>
      <c r="D2" s="79" t="s">
        <v>513</v>
      </c>
      <c r="E2" s="79"/>
    </row>
    <row r="3" spans="1:5" x14ac:dyDescent="0.25">
      <c r="A3" t="s">
        <v>502</v>
      </c>
      <c r="B3" s="79" t="s">
        <v>499</v>
      </c>
      <c r="C3" s="79" t="s">
        <v>502</v>
      </c>
      <c r="D3" s="79" t="s">
        <v>343</v>
      </c>
      <c r="E3" s="79"/>
    </row>
    <row r="4" spans="1:5" x14ac:dyDescent="0.25">
      <c r="A4" t="s">
        <v>503</v>
      </c>
      <c r="B4" s="79" t="s">
        <v>499</v>
      </c>
      <c r="C4" s="79" t="s">
        <v>503</v>
      </c>
      <c r="D4" s="79" t="s">
        <v>343</v>
      </c>
      <c r="E4" s="79"/>
    </row>
    <row r="5" spans="1:5" x14ac:dyDescent="0.25">
      <c r="A5" t="s">
        <v>504</v>
      </c>
      <c r="B5" s="79" t="s">
        <v>499</v>
      </c>
      <c r="C5" s="79" t="s">
        <v>504</v>
      </c>
      <c r="D5" s="79" t="s">
        <v>242</v>
      </c>
      <c r="E5" s="79"/>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D14" sqref="D14"/>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106</v>
      </c>
      <c r="B1" t="s">
        <v>558</v>
      </c>
      <c r="C1" t="s">
        <v>559</v>
      </c>
    </row>
    <row r="2" spans="1:3" x14ac:dyDescent="0.25">
      <c r="B2" s="79" t="s">
        <v>41</v>
      </c>
      <c r="C2" s="79" t="s">
        <v>560</v>
      </c>
    </row>
    <row r="3" spans="1:3" x14ac:dyDescent="0.25">
      <c r="B3" s="79" t="s">
        <v>561</v>
      </c>
      <c r="C3" s="79" t="s">
        <v>560</v>
      </c>
    </row>
    <row r="4" spans="1:3" x14ac:dyDescent="0.25">
      <c r="B4" s="79" t="s">
        <v>562</v>
      </c>
      <c r="C4" s="79" t="s">
        <v>560</v>
      </c>
    </row>
    <row r="5" spans="1:3" x14ac:dyDescent="0.25">
      <c r="B5" s="79" t="s">
        <v>563</v>
      </c>
      <c r="C5" s="79" t="s">
        <v>564</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A18" sqref="A18"/>
    </sheetView>
  </sheetViews>
  <sheetFormatPr defaultRowHeight="15" x14ac:dyDescent="0.25"/>
  <cols>
    <col min="1" max="2" width="80.28515625" bestFit="1" customWidth="1"/>
    <col min="3" max="6" width="38.28515625" bestFit="1" customWidth="1"/>
  </cols>
  <sheetData>
    <row r="1" spans="1:6" x14ac:dyDescent="0.25">
      <c r="A1" t="s">
        <v>112</v>
      </c>
      <c r="B1" t="s">
        <v>113</v>
      </c>
      <c r="C1" t="s">
        <v>114</v>
      </c>
      <c r="D1" t="s">
        <v>596</v>
      </c>
      <c r="E1" t="s">
        <v>597</v>
      </c>
      <c r="F1" t="s">
        <v>598</v>
      </c>
    </row>
    <row r="2" spans="1:6" x14ac:dyDescent="0.25">
      <c r="A2" s="79" t="s">
        <v>599</v>
      </c>
      <c r="B2" s="79" t="s">
        <v>599</v>
      </c>
      <c r="C2" s="79" t="s">
        <v>600</v>
      </c>
      <c r="D2" s="79" t="s">
        <v>601</v>
      </c>
      <c r="E2" s="79" t="s">
        <v>602</v>
      </c>
      <c r="F2" s="79" t="s">
        <v>603</v>
      </c>
    </row>
    <row r="3" spans="1:6" x14ac:dyDescent="0.25">
      <c r="A3" s="79" t="s">
        <v>604</v>
      </c>
      <c r="B3" s="79" t="s">
        <v>604</v>
      </c>
      <c r="C3" s="79" t="s">
        <v>604</v>
      </c>
      <c r="D3" s="79" t="s">
        <v>604</v>
      </c>
      <c r="E3" s="79" t="s">
        <v>604</v>
      </c>
      <c r="F3" s="79" t="s">
        <v>604</v>
      </c>
    </row>
    <row r="4" spans="1:6" x14ac:dyDescent="0.25">
      <c r="A4" s="79" t="s">
        <v>605</v>
      </c>
      <c r="B4" s="79" t="s">
        <v>605</v>
      </c>
      <c r="C4" s="79" t="s">
        <v>606</v>
      </c>
      <c r="D4" s="79" t="s">
        <v>277</v>
      </c>
      <c r="E4" s="79" t="s">
        <v>607</v>
      </c>
      <c r="F4" s="79" t="s">
        <v>608</v>
      </c>
    </row>
    <row r="5" spans="1:6" x14ac:dyDescent="0.25">
      <c r="A5" s="79" t="s">
        <v>609</v>
      </c>
      <c r="B5" s="79" t="s">
        <v>609</v>
      </c>
      <c r="C5" s="79" t="s">
        <v>610</v>
      </c>
      <c r="D5" s="79" t="s">
        <v>611</v>
      </c>
      <c r="E5" s="79" t="s">
        <v>607</v>
      </c>
      <c r="F5" s="79" t="s">
        <v>608</v>
      </c>
    </row>
    <row r="6" spans="1:6" x14ac:dyDescent="0.25">
      <c r="A6" s="79" t="s">
        <v>612</v>
      </c>
      <c r="B6" s="79" t="s">
        <v>612</v>
      </c>
      <c r="C6" s="79" t="s">
        <v>613</v>
      </c>
      <c r="D6" s="79" t="s">
        <v>277</v>
      </c>
      <c r="E6" s="79" t="s">
        <v>607</v>
      </c>
      <c r="F6" s="79" t="s">
        <v>614</v>
      </c>
    </row>
    <row r="7" spans="1:6" x14ac:dyDescent="0.25">
      <c r="A7" s="79" t="s">
        <v>615</v>
      </c>
      <c r="B7" s="79" t="s">
        <v>615</v>
      </c>
      <c r="C7" s="79" t="s">
        <v>616</v>
      </c>
      <c r="D7" s="79" t="s">
        <v>611</v>
      </c>
      <c r="E7" s="79" t="s">
        <v>607</v>
      </c>
      <c r="F7" s="79" t="s">
        <v>614</v>
      </c>
    </row>
    <row r="8" spans="1:6" x14ac:dyDescent="0.25">
      <c r="A8" s="79" t="s">
        <v>617</v>
      </c>
      <c r="B8" s="79" t="s">
        <v>617</v>
      </c>
      <c r="C8" s="79" t="s">
        <v>618</v>
      </c>
      <c r="D8" s="79" t="s">
        <v>277</v>
      </c>
      <c r="E8" s="79" t="s">
        <v>607</v>
      </c>
      <c r="F8" s="79" t="s">
        <v>614</v>
      </c>
    </row>
    <row r="9" spans="1:6" x14ac:dyDescent="0.25">
      <c r="A9" s="79" t="s">
        <v>619</v>
      </c>
      <c r="B9" s="79" t="s">
        <v>619</v>
      </c>
      <c r="C9" s="79" t="s">
        <v>620</v>
      </c>
      <c r="D9" s="79" t="s">
        <v>611</v>
      </c>
      <c r="E9" s="79" t="s">
        <v>607</v>
      </c>
      <c r="F9" s="79" t="s">
        <v>614</v>
      </c>
    </row>
    <row r="10" spans="1:6" x14ac:dyDescent="0.25">
      <c r="A10" s="79" t="s">
        <v>621</v>
      </c>
      <c r="B10" s="79" t="s">
        <v>621</v>
      </c>
      <c r="C10" s="79" t="s">
        <v>621</v>
      </c>
      <c r="D10" s="79" t="s">
        <v>621</v>
      </c>
      <c r="E10" s="79" t="s">
        <v>621</v>
      </c>
      <c r="F10" s="79" t="s">
        <v>621</v>
      </c>
    </row>
    <row r="11" spans="1:6" x14ac:dyDescent="0.25">
      <c r="A11" s="79" t="s">
        <v>622</v>
      </c>
      <c r="B11" s="79" t="s">
        <v>622</v>
      </c>
      <c r="C11" s="79" t="s">
        <v>623</v>
      </c>
      <c r="D11" s="79" t="s">
        <v>624</v>
      </c>
      <c r="E11" s="79" t="s">
        <v>607</v>
      </c>
      <c r="F11" s="79" t="s">
        <v>608</v>
      </c>
    </row>
    <row r="12" spans="1:6" x14ac:dyDescent="0.25">
      <c r="A12" s="79" t="s">
        <v>625</v>
      </c>
      <c r="B12" s="79" t="s">
        <v>625</v>
      </c>
      <c r="C12" s="79" t="s">
        <v>626</v>
      </c>
      <c r="D12" s="79" t="s">
        <v>491</v>
      </c>
      <c r="E12" s="79" t="s">
        <v>607</v>
      </c>
      <c r="F12" s="79" t="s">
        <v>608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vt:i4>
      </vt:variant>
    </vt:vector>
  </HeadingPairs>
  <TitlesOfParts>
    <vt:vector size="27" baseType="lpstr">
      <vt:lpstr>Menu</vt:lpstr>
      <vt:lpstr>Retail_Report</vt:lpstr>
      <vt:lpstr>US$_Report</vt:lpstr>
      <vt:lpstr>Broker_Report</vt:lpstr>
      <vt:lpstr>Dev Change Log</vt:lpstr>
      <vt:lpstr>CIBC_rates</vt:lpstr>
      <vt:lpstr>TD_rates</vt:lpstr>
      <vt:lpstr>BMO_rates</vt:lpstr>
      <vt:lpstr>BNS_rates</vt:lpstr>
      <vt:lpstr>RBC_rates</vt:lpstr>
      <vt:lpstr>Sheet10</vt:lpstr>
      <vt:lpstr>Sheet9</vt:lpstr>
      <vt:lpstr>Sheet8</vt:lpstr>
      <vt:lpstr>Sheet7</vt:lpstr>
      <vt:lpstr>Sheet6</vt:lpstr>
      <vt:lpstr>Simplii_rates</vt:lpstr>
      <vt:lpstr>ICICI_rates</vt:lpstr>
      <vt:lpstr>NBC_rates</vt:lpstr>
      <vt:lpstr>Manulife_rates</vt:lpstr>
      <vt:lpstr>HSBC_rates</vt:lpstr>
      <vt:lpstr>CT_rates</vt:lpstr>
      <vt:lpstr>B2B_rates</vt:lpstr>
      <vt:lpstr>Meridian_rates</vt:lpstr>
      <vt:lpstr>Altamira_rates</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Smith, Sean R</cp:lastModifiedBy>
  <cp:revision/>
  <dcterms:created xsi:type="dcterms:W3CDTF">2015-06-05T18:17:20Z</dcterms:created>
  <dcterms:modified xsi:type="dcterms:W3CDTF">2018-09-21T18:23:37Z</dcterms:modified>
  <cp:category/>
  <cp:contentStatus/>
</cp:coreProperties>
</file>