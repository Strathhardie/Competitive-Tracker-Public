
<file path=[Content_Types].xml><?xml version="1.0" encoding="utf-8"?>
<Types xmlns="http://schemas.openxmlformats.org/package/2006/content-types">
  <Default Extension="bin" ContentType="application/vnd.openxmlformats-officedocument.spreadsheetml.printerSettings"/>
  <Default Extension="png" ContentType="image/png"/>
  <Default Extension="rels" ContentType="application/vnd.openxmlformats-package.relationships+xml"/>
  <Default Extension="xml" ContentType="application/xml"/>
  <Default Extension="vml" ContentType="application/vnd.openxmlformats-officedocument.vmlDrawing"/>
  <Override PartName="/xl/workbook.xml" ContentType="application/vnd.ms-excel.sheet.macroEnabled.main+xml"/>
  <Override PartName="/xl/worksheets/sheet1.xml" ContentType="application/vnd.openxmlformats-officedocument.spreadsheetml.worksheet+xml"/>
  <Override PartName="/xl/worksheets/sheet2.xml" ContentType="application/vnd.openxmlformats-officedocument.spreadsheetml.worksheet+xml"/>
  <Override PartName="/xl/worksheets/sheet3.xml" ContentType="application/vnd.openxmlformats-officedocument.spreadsheetml.worksheet+xml"/>
  <Override PartName="/xl/worksheets/sheet4.xml" ContentType="application/vnd.openxmlformats-officedocument.spreadsheetml.worksheet+xml"/>
  <Override PartName="/xl/worksheets/sheet5.xml" ContentType="application/vnd.openxmlformats-officedocument.spreadsheetml.worksheet+xml"/>
  <Override PartName="/xl/worksheets/sheet6.xml" ContentType="application/vnd.openxmlformats-officedocument.spreadsheetml.worksheet+xml"/>
  <Override PartName="/xl/worksheets/sheet7.xml" ContentType="application/vnd.openxmlformats-officedocument.spreadsheetml.worksheet+xml"/>
  <Override PartName="/xl/worksheets/sheet8.xml" ContentType="application/vnd.openxmlformats-officedocument.spreadsheetml.worksheet+xml"/>
  <Override PartName="/xl/worksheets/sheet9.xml" ContentType="application/vnd.openxmlformats-officedocument.spreadsheetml.worksheet+xml"/>
  <Override PartName="/xl/worksheets/sheet10.xml" ContentType="application/vnd.openxmlformats-officedocument.spreadsheetml.worksheet+xml"/>
  <Override PartName="/xl/worksheets/sheet11.xml" ContentType="application/vnd.openxmlformats-officedocument.spreadsheetml.worksheet+xml"/>
  <Override PartName="/xl/worksheets/sheet12.xml" ContentType="application/vnd.openxmlformats-officedocument.spreadsheetml.worksheet+xml"/>
  <Override PartName="/xl/worksheets/sheet13.xml" ContentType="application/vnd.openxmlformats-officedocument.spreadsheetml.worksheet+xml"/>
  <Override PartName="/xl/worksheets/sheet14.xml" ContentType="application/vnd.openxmlformats-officedocument.spreadsheetml.worksheet+xml"/>
  <Override PartName="/xl/worksheets/sheet15.xml" ContentType="application/vnd.openxmlformats-officedocument.spreadsheetml.worksheet+xml"/>
  <Override PartName="/xl/worksheets/sheet16.xml" ContentType="application/vnd.openxmlformats-officedocument.spreadsheetml.worksheet+xml"/>
  <Override PartName="/xl/worksheets/sheet17.xml" ContentType="application/vnd.openxmlformats-officedocument.spreadsheetml.worksheet+xml"/>
  <Override PartName="/xl/worksheets/sheet18.xml" ContentType="application/vnd.openxmlformats-officedocument.spreadsheetml.worksheet+xml"/>
  <Override PartName="/xl/worksheets/sheet19.xml" ContentType="application/vnd.openxmlformats-officedocument.spreadsheetml.worksheet+xml"/>
  <Override PartName="/xl/worksheets/sheet20.xml" ContentType="application/vnd.openxmlformats-officedocument.spreadsheetml.worksheet+xml"/>
  <Override PartName="/xl/worksheets/sheet21.xml" ContentType="application/vnd.openxmlformats-officedocument.spreadsheetml.worksheet+xml"/>
  <Override PartName="/xl/worksheets/sheet22.xml" ContentType="application/vnd.openxmlformats-officedocument.spreadsheetml.worksheet+xml"/>
  <Override PartName="/xl/worksheets/sheet23.xml" ContentType="application/vnd.openxmlformats-officedocument.spreadsheetml.worksheet+xml"/>
  <Override PartName="/xl/worksheets/sheet24.xml" ContentType="application/vnd.openxmlformats-officedocument.spreadsheetml.worksheet+xml"/>
  <Override PartName="/xl/theme/theme1.xml" ContentType="application/vnd.openxmlformats-officedocument.theme+xml"/>
  <Override PartName="/xl/connections.xml" ContentType="application/vnd.openxmlformats-officedocument.spreadsheetml.connections+xml"/>
  <Override PartName="/xl/styles.xml" ContentType="application/vnd.openxmlformats-officedocument.spreadsheetml.styles+xml"/>
  <Override PartName="/xl/sharedStrings.xml" ContentType="application/vnd.openxmlformats-officedocument.spreadsheetml.sharedStrings+xml"/>
  <Override PartName="/xl/drawings/drawing1.xml" ContentType="application/vnd.openxmlformats-officedocument.drawing+xml"/>
  <Override PartName="/xl/ctrlProps/ctrlProp1.xml" ContentType="application/vnd.ms-excel.controlproperties+xml"/>
  <Override PartName="/xl/ctrlProps/ctrlProp2.xml" ContentType="application/vnd.ms-excel.controlproperties+xml"/>
  <Override PartName="/xl/ctrlProps/ctrlProp3.xml" ContentType="application/vnd.ms-excel.controlproperties+xml"/>
  <Override PartName="/xl/ctrlProps/ctrlProp4.xml" ContentType="application/vnd.ms-excel.controlproperties+xml"/>
  <Override PartName="/xl/ctrlProps/ctrlProp5.xml" ContentType="application/vnd.ms-excel.controlproperties+xml"/>
  <Override PartName="/xl/ctrlProps/ctrlProp6.xml" ContentType="application/vnd.ms-excel.controlproperties+xml"/>
  <Override PartName="/xl/drawings/drawing2.xml" ContentType="application/vnd.openxmlformats-officedocument.drawing+xml"/>
  <Override PartName="/xl/drawings/drawing3.xml" ContentType="application/vnd.openxmlformats-officedocument.drawing+xml"/>
  <Override PartName="/xl/comments1.xml" ContentType="application/vnd.openxmlformats-officedocument.spreadsheetml.comments+xml"/>
  <Override PartName="/xl/drawings/drawing4.xml" ContentType="application/vnd.openxmlformats-officedocument.drawing+xml"/>
  <Override PartName="/xl/comments2.xml" ContentType="application/vnd.openxmlformats-officedocument.spreadsheetml.comments+xml"/>
  <Override PartName="/xl/tables/table1.xml" ContentType="application/vnd.openxmlformats-officedocument.spreadsheetml.table+xml"/>
  <Override PartName="/xl/tables/table2.xml" ContentType="application/vnd.openxmlformats-officedocument.spreadsheetml.table+xml"/>
  <Override PartName="/xl/queryTables/queryTable1.xml" ContentType="application/vnd.openxmlformats-officedocument.spreadsheetml.queryTable+xml"/>
  <Override PartName="/xl/tables/table3.xml" ContentType="application/vnd.openxmlformats-officedocument.spreadsheetml.table+xml"/>
  <Override PartName="/xl/queryTables/queryTable2.xml" ContentType="application/vnd.openxmlformats-officedocument.spreadsheetml.queryTable+xml"/>
  <Override PartName="/xl/tables/table4.xml" ContentType="application/vnd.openxmlformats-officedocument.spreadsheetml.table+xml"/>
  <Override PartName="/xl/queryTables/queryTable3.xml" ContentType="application/vnd.openxmlformats-officedocument.spreadsheetml.queryTable+xml"/>
  <Override PartName="/xl/tables/table5.xml" ContentType="application/vnd.openxmlformats-officedocument.spreadsheetml.table+xml"/>
  <Override PartName="/xl/queryTables/queryTable4.xml" ContentType="application/vnd.openxmlformats-officedocument.spreadsheetml.queryTable+xml"/>
  <Override PartName="/xl/tables/table6.xml" ContentType="application/vnd.openxmlformats-officedocument.spreadsheetml.table+xml"/>
  <Override PartName="/xl/queryTables/queryTable5.xml" ContentType="application/vnd.openxmlformats-officedocument.spreadsheetml.queryTable+xml"/>
  <Override PartName="/xl/tables/table7.xml" ContentType="application/vnd.openxmlformats-officedocument.spreadsheetml.table+xml"/>
  <Override PartName="/xl/queryTables/queryTable6.xml" ContentType="application/vnd.openxmlformats-officedocument.spreadsheetml.queryTable+xml"/>
  <Override PartName="/xl/tables/table8.xml" ContentType="application/vnd.openxmlformats-officedocument.spreadsheetml.table+xml"/>
  <Override PartName="/xl/queryTables/queryTable7.xml" ContentType="application/vnd.openxmlformats-officedocument.spreadsheetml.queryTable+xml"/>
  <Override PartName="/xl/tables/table9.xml" ContentType="application/vnd.openxmlformats-officedocument.spreadsheetml.table+xml"/>
  <Override PartName="/xl/queryTables/queryTable8.xml" ContentType="application/vnd.openxmlformats-officedocument.spreadsheetml.queryTable+xml"/>
  <Override PartName="/xl/tables/table10.xml" ContentType="application/vnd.openxmlformats-officedocument.spreadsheetml.table+xml"/>
  <Override PartName="/xl/queryTables/queryTable9.xml" ContentType="application/vnd.openxmlformats-officedocument.spreadsheetml.queryTable+xml"/>
  <Override PartName="/xl/tables/table11.xml" ContentType="application/vnd.openxmlformats-officedocument.spreadsheetml.table+xml"/>
  <Override PartName="/xl/queryTables/queryTable10.xml" ContentType="application/vnd.openxmlformats-officedocument.spreadsheetml.queryTable+xml"/>
  <Override PartName="/xl/tables/table12.xml" ContentType="application/vnd.openxmlformats-officedocument.spreadsheetml.table+xml"/>
  <Override PartName="/xl/queryTables/queryTable11.xml" ContentType="application/vnd.openxmlformats-officedocument.spreadsheetml.queryTable+xml"/>
  <Override PartName="/xl/tables/table13.xml" ContentType="application/vnd.openxmlformats-officedocument.spreadsheetml.table+xml"/>
  <Override PartName="/xl/queryTables/queryTable12.xml" ContentType="application/vnd.openxmlformats-officedocument.spreadsheetml.queryTable+xml"/>
  <Override PartName="/xl/tables/table14.xml" ContentType="application/vnd.openxmlformats-officedocument.spreadsheetml.table+xml"/>
  <Override PartName="/xl/queryTables/queryTable13.xml" ContentType="application/vnd.openxmlformats-officedocument.spreadsheetml.queryTable+xml"/>
  <Override PartName="/xl/tables/table15.xml" ContentType="application/vnd.openxmlformats-officedocument.spreadsheetml.table+xml"/>
  <Override PartName="/xl/queryTables/queryTable14.xml" ContentType="application/vnd.openxmlformats-officedocument.spreadsheetml.queryTable+xml"/>
  <Override PartName="/xl/tables/table16.xml" ContentType="application/vnd.openxmlformats-officedocument.spreadsheetml.table+xml"/>
  <Override PartName="/xl/queryTables/queryTable15.xml" ContentType="application/vnd.openxmlformats-officedocument.spreadsheetml.queryTable+xml"/>
  <Override PartName="/xl/tables/table17.xml" ContentType="application/vnd.openxmlformats-officedocument.spreadsheetml.table+xml"/>
  <Override PartName="/xl/queryTables/queryTable16.xml" ContentType="application/vnd.openxmlformats-officedocument.spreadsheetml.queryTable+xml"/>
  <Override PartName="/xl/tables/table18.xml" ContentType="application/vnd.openxmlformats-officedocument.spreadsheetml.table+xml"/>
  <Override PartName="/xl/queryTables/queryTable17.xml" ContentType="application/vnd.openxmlformats-officedocument.spreadsheetml.queryTable+xml"/>
  <Override PartName="/xl/tables/table19.xml" ContentType="application/vnd.openxmlformats-officedocument.spreadsheetml.table+xml"/>
  <Override PartName="/xl/queryTables/queryTable18.xml" ContentType="application/vnd.openxmlformats-officedocument.spreadsheetml.queryTable+xml"/>
  <Override PartName="/xl/tables/table20.xml" ContentType="application/vnd.openxmlformats-officedocument.spreadsheetml.table+xml"/>
  <Override PartName="/xl/queryTables/queryTable19.xml" ContentType="application/vnd.openxmlformats-officedocument.spreadsheetml.queryTable+xml"/>
  <Override PartName="/xl/tables/table21.xml" ContentType="application/vnd.openxmlformats-officedocument.spreadsheetml.table+xml"/>
  <Override PartName="/xl/queryTables/queryTable20.xml" ContentType="application/vnd.openxmlformats-officedocument.spreadsheetml.queryTable+xml"/>
  <Override PartName="/xl/tables/table22.xml" ContentType="application/vnd.openxmlformats-officedocument.spreadsheetml.table+xml"/>
  <Override PartName="/xl/queryTables/queryTable21.xml" ContentType="application/vnd.openxmlformats-officedocument.spreadsheetml.queryTable+xml"/>
  <Override PartName="/xl/tables/table23.xml" ContentType="application/vnd.openxmlformats-officedocument.spreadsheetml.table+xml"/>
  <Override PartName="/xl/queryTables/queryTable22.xml" ContentType="application/vnd.openxmlformats-officedocument.spreadsheetml.queryTable+xml"/>
  <Override PartName="/xl/tables/table24.xml" ContentType="application/vnd.openxmlformats-officedocument.spreadsheetml.table+xml"/>
  <Override PartName="/xl/queryTables/queryTable23.xml" ContentType="application/vnd.openxmlformats-officedocument.spreadsheetml.queryTable+xml"/>
  <Override PartName="/xl/tables/table25.xml" ContentType="application/vnd.openxmlformats-officedocument.spreadsheetml.table+xml"/>
  <Override PartName="/xl/queryTables/queryTable24.xml" ContentType="application/vnd.openxmlformats-officedocument.spreadsheetml.queryTable+xml"/>
  <Override PartName="/xl/tables/table26.xml" ContentType="application/vnd.openxmlformats-officedocument.spreadsheetml.table+xml"/>
  <Override PartName="/xl/queryTables/queryTable25.xml" ContentType="application/vnd.openxmlformats-officedocument.spreadsheetml.queryTable+xml"/>
  <Override PartName="/xl/tables/table27.xml" ContentType="application/vnd.openxmlformats-officedocument.spreadsheetml.table+xml"/>
  <Override PartName="/xl/queryTables/queryTable26.xml" ContentType="application/vnd.openxmlformats-officedocument.spreadsheetml.queryTable+xml"/>
  <Override PartName="/xl/tables/table28.xml" ContentType="application/vnd.openxmlformats-officedocument.spreadsheetml.table+xml"/>
  <Override PartName="/xl/queryTables/queryTable27.xml" ContentType="application/vnd.openxmlformats-officedocument.spreadsheetml.queryTable+xml"/>
  <Override PartName="/xl/tables/table29.xml" ContentType="application/vnd.openxmlformats-officedocument.spreadsheetml.table+xml"/>
  <Override PartName="/xl/queryTables/queryTable28.xml" ContentType="application/vnd.openxmlformats-officedocument.spreadsheetml.queryTable+xml"/>
  <Override PartName="/xl/tables/table30.xml" ContentType="application/vnd.openxmlformats-officedocument.spreadsheetml.table+xml"/>
  <Override PartName="/xl/queryTables/queryTable29.xml" ContentType="application/vnd.openxmlformats-officedocument.spreadsheetml.queryTable+xml"/>
  <Override PartName="/xl/tables/table31.xml" ContentType="application/vnd.openxmlformats-officedocument.spreadsheetml.table+xml"/>
  <Override PartName="/xl/queryTables/queryTable30.xml" ContentType="application/vnd.openxmlformats-officedocument.spreadsheetml.queryTable+xml"/>
  <Override PartName="/xl/tables/table32.xml" ContentType="application/vnd.openxmlformats-officedocument.spreadsheetml.table+xml"/>
  <Override PartName="/xl/queryTables/queryTable31.xml" ContentType="application/vnd.openxmlformats-officedocument.spreadsheetml.queryTable+xml"/>
  <Override PartName="/xl/tables/table33.xml" ContentType="application/vnd.openxmlformats-officedocument.spreadsheetml.table+xml"/>
  <Override PartName="/xl/queryTables/queryTable32.xml" ContentType="application/vnd.openxmlformats-officedocument.spreadsheetml.queryTable+xml"/>
  <Override PartName="/xl/tables/table34.xml" ContentType="application/vnd.openxmlformats-officedocument.spreadsheetml.table+xml"/>
  <Override PartName="/xl/queryTables/queryTable33.xml" ContentType="application/vnd.openxmlformats-officedocument.spreadsheetml.queryTable+xml"/>
  <Override PartName="/xl/calcChain.xml" ContentType="application/vnd.openxmlformats-officedocument.spreadsheetml.calcChain+xml"/>
  <Override PartName="/customXml/itemProps1.xml" ContentType="application/vnd.openxmlformats-officedocument.customXmlProperties+xml"/>
  <Override PartName="/xl/vbaProject.bin" ContentType="application/vnd.ms-office.vbaProject"/>
  <Override PartName="/docProps/core.xml" ContentType="application/vnd.openxmlformats-package.core-properties+xml"/>
  <Override PartName="/docProps/app.xml" ContentType="application/vnd.openxmlformats-officedocument.extended-properties+xml"/>
</Types>
</file>

<file path=_rels/.rels><?xml version="1.0" encoding="UTF-8" standalone="yes"?>
<Relationships xmlns="http://schemas.openxmlformats.org/package/2006/relationships"><Relationship Id="rId3" Type="http://schemas.openxmlformats.org/officeDocument/2006/relationships/extended-properties" Target="docProps/app.xml"/><Relationship Id="rId2" Type="http://schemas.openxmlformats.org/package/2006/relationships/metadata/core-properties" Target="docProps/core.xml"/><Relationship Id="rId1" Type="http://schemas.openxmlformats.org/officeDocument/2006/relationships/officeDocument" Target="xl/workbook.xml"/></Relationships>
</file>

<file path=xl/workbook.xml><?xml version="1.0" encoding="utf-8"?>
<workbook xmlns="http://schemas.openxmlformats.org/spreadsheetml/2006/main" xmlns:r="http://schemas.openxmlformats.org/officeDocument/2006/relationships" xmlns:mc="http://schemas.openxmlformats.org/markup-compatibility/2006" xmlns:x15="http://schemas.microsoft.com/office/spreadsheetml/2010/11/main" xmlns:xr="http://schemas.microsoft.com/office/spreadsheetml/2014/revision" xmlns:xr6="http://schemas.microsoft.com/office/spreadsheetml/2016/revision6" xmlns:xr10="http://schemas.microsoft.com/office/spreadsheetml/2016/revision10" xmlns:xr2="http://schemas.microsoft.com/office/spreadsheetml/2015/revision2" mc:Ignorable="x15 xr xr6 xr10 xr2">
  <fileVersion appName="xl" lastEdited="7" lowestEdited="6" rupBuild="19126" codeName="{526614CA-9299-8FEA-EDB2-C8A7E91AD4E6}"/>
  <workbookPr codeName="ThisWorkbook"/>
  <mc:AlternateContent xmlns:mc="http://schemas.openxmlformats.org/markup-compatibility/2006">
    <mc:Choice Requires="x15">
      <x15ac:absPath xmlns:x15ac="http://schemas.microsoft.com/office/spreadsheetml/2010/11/ac" url="C:\Users\KamalaKa\Desktop\change-tracker\Excel Scanner\"/>
    </mc:Choice>
  </mc:AlternateContent>
  <xr:revisionPtr revIDLastSave="0" documentId="10_ncr:100000_{765AD614-CC53-4FD1-AF3D-87923F86D6BA}" xr6:coauthVersionLast="31" xr6:coauthVersionMax="35" xr10:uidLastSave="{00000000-0000-0000-0000-000000000000}"/>
  <bookViews>
    <workbookView minimized="1" xWindow="0" yWindow="0" windowWidth="22260" windowHeight="12645" tabRatio="782" xr2:uid="{00000000-000D-0000-FFFF-FFFF00000000}"/>
  </bookViews>
  <sheets>
    <sheet name="Menu" sheetId="29" r:id="rId1"/>
    <sheet name="Retail_Report" sheetId="24" r:id="rId2"/>
    <sheet name="US$_Report" sheetId="25" r:id="rId3"/>
    <sheet name="Broker_Report" sheetId="26" r:id="rId4"/>
    <sheet name="Dev Change Log" sheetId="38" r:id="rId5"/>
    <sheet name="CIBC_rates" sheetId="30" r:id="rId6"/>
    <sheet name="TD_rates" sheetId="12" r:id="rId7"/>
    <sheet name="BMO_rates" sheetId="27" r:id="rId8"/>
    <sheet name="BNS_rates" sheetId="18" r:id="rId9"/>
    <sheet name="RBC_rates" sheetId="11" r:id="rId10"/>
    <sheet name="Sheet10" sheetId="10" r:id="rId11"/>
    <sheet name="Sheet9" sheetId="9" r:id="rId12"/>
    <sheet name="Sheet8" sheetId="8" r:id="rId13"/>
    <sheet name="Sheet7" sheetId="7" r:id="rId14"/>
    <sheet name="Sheet6" sheetId="6" r:id="rId15"/>
    <sheet name="Simplii_rates" sheetId="20" r:id="rId16"/>
    <sheet name="ICICI_rates" sheetId="21" r:id="rId17"/>
    <sheet name="NBC_rates" sheetId="22" r:id="rId18"/>
    <sheet name="Manulife_rates" sheetId="23" r:id="rId19"/>
    <sheet name="HSBC_rates" sheetId="32" r:id="rId20"/>
    <sheet name="CT_rates" sheetId="5" r:id="rId21"/>
    <sheet name="B2B_rates" sheetId="28" r:id="rId22"/>
    <sheet name="Meridian_rates" sheetId="33" r:id="rId23"/>
    <sheet name="Altamira_rates" sheetId="37" r:id="rId24"/>
  </sheets>
  <functionGroups builtInGroupCount="19"/>
  <definedNames>
    <definedName name="ExternalData_1" localSheetId="23" hidden="1">Altamira_rates!$A$1:$F$12</definedName>
    <definedName name="ExternalData_1" localSheetId="21" hidden="1">B2B_rates!$B$1:$E$5</definedName>
    <definedName name="ExternalData_1" localSheetId="7" hidden="1">BMO_rates!$B$10:$C$12</definedName>
    <definedName name="ExternalData_1" localSheetId="8" hidden="1">BNS_rates!$B$16:$D$18</definedName>
    <definedName name="ExternalData_1" localSheetId="20" hidden="1">CT_rates!$A$1:$B$2</definedName>
    <definedName name="ExternalData_1" localSheetId="19" hidden="1">HSBC_rates!$A$1:$B$5</definedName>
    <definedName name="ExternalData_1" localSheetId="16" hidden="1">ICICI_rates!$B$2:$D$9</definedName>
    <definedName name="ExternalData_1" localSheetId="18" hidden="1">Manulife_rates!$B$1:$E$81</definedName>
    <definedName name="ExternalData_1" localSheetId="22" hidden="1">Meridian_rates!$A$1:$C$5</definedName>
    <definedName name="ExternalData_1" localSheetId="17" hidden="1">NBC_rates!$B$1:$D$30</definedName>
    <definedName name="ExternalData_1" localSheetId="15" hidden="1">Simplii_rates!$B$1:$C$58</definedName>
    <definedName name="ExternalData_1" localSheetId="6" hidden="1">TD_rates!$A$2:$B$27</definedName>
    <definedName name="ExternalData_10" localSheetId="9" hidden="1">RBC_rates!$B$1:$D$22</definedName>
    <definedName name="ExternalData_11" localSheetId="9" hidden="1">RBC_rates!$B$33:$D$39</definedName>
    <definedName name="ExternalData_12" localSheetId="6" hidden="1">TD_rates!$A$29:$E$34</definedName>
    <definedName name="ExternalData_13" localSheetId="6" hidden="1">TD_rates!$A$39:$B$57</definedName>
    <definedName name="ExternalData_2" localSheetId="8" hidden="1">BNS_rates!$B$20:$C$27</definedName>
    <definedName name="ExternalData_2" localSheetId="5" hidden="1">CIBC_rates!$B$1:$C$17</definedName>
    <definedName name="ExternalData_2" localSheetId="16" hidden="1">ICICI_rates!$B$12:$F$17</definedName>
    <definedName name="ExternalData_2" localSheetId="18" hidden="1">Manulife_rates!$B$82:$D$83</definedName>
    <definedName name="ExternalData_3" localSheetId="16" hidden="1">ICICI_rates!$B$20:$F$33</definedName>
    <definedName name="ExternalData_5" localSheetId="16" hidden="1">ICICI_rates!$B$37:$D$42</definedName>
    <definedName name="ExternalData_5" localSheetId="14" hidden="1">Sheet6!$A$1:$B$2</definedName>
    <definedName name="ExternalData_6" localSheetId="16" hidden="1">ICICI_rates!$B$45:$D$46</definedName>
    <definedName name="ExternalData_6" localSheetId="13" hidden="1">Sheet7!$A$1:$B$10</definedName>
    <definedName name="ExternalData_7" localSheetId="16" hidden="1">ICICI_rates!$B$48:$D$53</definedName>
    <definedName name="ExternalData_7" localSheetId="12" hidden="1">Sheet8!$A$1:$B$6</definedName>
    <definedName name="ExternalData_8" localSheetId="16" hidden="1">ICICI_rates!$B$56:$D$65</definedName>
    <definedName name="ExternalData_8" localSheetId="11" hidden="1">Sheet9!$A$1:$B$2</definedName>
    <definedName name="ExternalData_9" localSheetId="10" hidden="1">Sheet10!$A$1:$B$6</definedName>
    <definedName name="moneymaster" localSheetId="8">BNS_rates!$A$8</definedName>
    <definedName name="mpsa" localSheetId="8">BNS_rates!$A$2</definedName>
    <definedName name="Query___BMO___SBA_SSA_PRSA" localSheetId="7" hidden="1">BMO_rates!$B$1:$C$8</definedName>
    <definedName name="Query___BNS___MPS_MM_SA" localSheetId="8" hidden="1">BNS_rates!$B$1:$E$14</definedName>
    <definedName name="Query___RBC___US__High_Interest_eSavings™" localSheetId="9" hidden="1">RBC_rates!$B$26:$C$27</definedName>
    <definedName name="Query___RBC___US__Personal™_Account" localSheetId="9" hidden="1">RBC_rates!$B$30:$C$31</definedName>
    <definedName name="ssaa" localSheetId="8">BNS_rates!$A$11</definedName>
  </definedNames>
  <calcPr calcId="179017" iterate="1"/>
  <extLst>
    <ext xmlns:x15="http://schemas.microsoft.com/office/spreadsheetml/2010/11/main" uri="{140A7094-0E35-4892-8432-C4D2E57EDEB5}">
      <x15:workbookPr chartTrackingRefBase="1"/>
    </ext>
  </extLst>
</workbook>
</file>

<file path=xl/calcChain.xml><?xml version="1.0" encoding="utf-8"?>
<calcChain xmlns="http://schemas.openxmlformats.org/spreadsheetml/2006/main">
  <c r="X11" i="24" l="1"/>
  <c r="AA11" i="24" l="1"/>
  <c r="Z11" i="24"/>
  <c r="Y11" i="24"/>
  <c r="X12" i="24"/>
  <c r="X13" i="24" s="1"/>
  <c r="X14" i="24" s="1"/>
  <c r="X15" i="24" s="1"/>
  <c r="X16" i="24" s="1"/>
  <c r="X17" i="24" s="1"/>
  <c r="X18" i="24" s="1"/>
  <c r="X19" i="24" s="1"/>
  <c r="X20" i="24" s="1"/>
  <c r="X21" i="24" s="1"/>
  <c r="W13" i="24"/>
  <c r="W12" i="24" s="1"/>
  <c r="W11" i="24" s="1"/>
  <c r="W15" i="24"/>
  <c r="W14" i="24" s="1"/>
  <c r="W16" i="24"/>
  <c r="W17" i="24"/>
  <c r="W18" i="24" s="1"/>
  <c r="W19" i="24" s="1"/>
  <c r="W20" i="24" s="1"/>
  <c r="W21" i="24" s="1"/>
  <c r="V11" i="24"/>
  <c r="U18" i="24"/>
  <c r="U17" i="24" s="1"/>
  <c r="U16" i="24" s="1"/>
  <c r="U15" i="24" s="1"/>
  <c r="U14" i="24" s="1"/>
  <c r="U13" i="24" s="1"/>
  <c r="U12" i="24" s="1"/>
  <c r="U11" i="24" s="1"/>
  <c r="U21" i="24"/>
  <c r="T11" i="24"/>
  <c r="R21" i="24" l="1"/>
  <c r="R20" i="24" s="1"/>
  <c r="R19" i="24" s="1"/>
  <c r="R18" i="24" s="1"/>
  <c r="R17" i="24" s="1"/>
  <c r="R16" i="24" s="1"/>
  <c r="R15" i="24" s="1"/>
  <c r="R14" i="24" s="1"/>
  <c r="R13" i="24" s="1"/>
  <c r="R12" i="24" s="1"/>
  <c r="R11" i="24" s="1"/>
  <c r="Q21" i="24"/>
  <c r="Q20" i="24"/>
  <c r="Q12" i="24"/>
  <c r="Q13" i="24"/>
  <c r="Q14" i="24"/>
  <c r="Q15" i="24"/>
  <c r="Q16" i="24" s="1"/>
  <c r="Q17" i="24" s="1"/>
  <c r="Q18" i="24" s="1"/>
  <c r="Q19" i="24" s="1"/>
  <c r="P21" i="24"/>
  <c r="P20" i="24"/>
  <c r="P19" i="24"/>
  <c r="P18" i="24"/>
  <c r="P17" i="24" s="1"/>
  <c r="P16" i="24" s="1"/>
  <c r="P15" i="24" s="1"/>
  <c r="P14" i="24" s="1"/>
  <c r="P13" i="24" s="1"/>
  <c r="P12" i="24" s="1"/>
  <c r="P11" i="24" s="1"/>
  <c r="O11" i="24"/>
  <c r="O12" i="24"/>
  <c r="O13" i="24"/>
  <c r="O14" i="24"/>
  <c r="O16" i="24"/>
  <c r="O15" i="24" s="1"/>
  <c r="O17" i="24"/>
  <c r="O18" i="24"/>
  <c r="O19" i="24"/>
  <c r="O20" i="24" s="1"/>
  <c r="O21" i="24" s="1"/>
  <c r="M11" i="24"/>
  <c r="M18" i="24"/>
  <c r="M17" i="24" s="1"/>
  <c r="M16" i="24" s="1"/>
  <c r="M15" i="24" s="1"/>
  <c r="M14" i="24" s="1"/>
  <c r="M13" i="24" s="1"/>
  <c r="M12" i="24" s="1"/>
  <c r="M19" i="24"/>
  <c r="L18" i="24"/>
  <c r="L17" i="24" s="1"/>
  <c r="L16" i="24" s="1"/>
  <c r="L15" i="24" s="1"/>
  <c r="L14" i="24" s="1"/>
  <c r="L13" i="24" s="1"/>
  <c r="L12" i="24" s="1"/>
  <c r="L11" i="24" s="1"/>
  <c r="L19" i="24"/>
  <c r="L20" i="24" s="1"/>
  <c r="L21" i="24" s="1"/>
  <c r="K11" i="24"/>
  <c r="J14" i="24" l="1"/>
  <c r="J13" i="24" s="1"/>
  <c r="J12" i="24" s="1"/>
  <c r="J11" i="24" s="1"/>
  <c r="J15" i="24"/>
  <c r="J16" i="24" s="1"/>
  <c r="J17" i="24" s="1"/>
  <c r="J18" i="24" s="1"/>
  <c r="J19" i="24" s="1"/>
  <c r="J20" i="24" s="1"/>
  <c r="J21" i="24" s="1"/>
  <c r="I18" i="24"/>
  <c r="I21" i="24"/>
  <c r="I20" i="24" s="1"/>
  <c r="I19" i="24" s="1"/>
  <c r="H12" i="24"/>
  <c r="H11" i="24"/>
  <c r="G14" i="24"/>
  <c r="G13" i="24" s="1"/>
  <c r="G12" i="24" s="1"/>
  <c r="G11" i="24" s="1"/>
  <c r="G16" i="24"/>
  <c r="G15" i="24" s="1"/>
  <c r="G17" i="24"/>
  <c r="G18" i="24"/>
  <c r="G21" i="24"/>
  <c r="G20" i="24" s="1"/>
  <c r="G19" i="24" s="1"/>
  <c r="F14" i="24"/>
  <c r="F13" i="24" s="1"/>
  <c r="F12" i="24" s="1"/>
  <c r="F11" i="24" s="1"/>
  <c r="F16" i="24"/>
  <c r="F15" i="24" s="1"/>
  <c r="F17" i="24"/>
  <c r="F18" i="24"/>
  <c r="F21" i="24"/>
  <c r="F20" i="24" s="1"/>
  <c r="F19" i="24" s="1"/>
  <c r="E14" i="24"/>
  <c r="E13" i="24" s="1"/>
  <c r="E12" i="24" s="1"/>
  <c r="E11" i="24" s="1"/>
  <c r="E16" i="24"/>
  <c r="E15" i="24" s="1"/>
  <c r="E17" i="24"/>
  <c r="E18" i="24"/>
  <c r="E20" i="24"/>
  <c r="E19" i="24" s="1"/>
  <c r="E21" i="24"/>
  <c r="C19" i="24"/>
  <c r="C18" i="24" s="1"/>
  <c r="C17" i="24" s="1"/>
  <c r="C16" i="24" s="1"/>
  <c r="C15" i="24" s="1"/>
  <c r="C14" i="24" s="1"/>
  <c r="C13" i="24" s="1"/>
  <c r="C12" i="24" s="1"/>
  <c r="C11" i="24" s="1"/>
  <c r="B18" i="24"/>
  <c r="B17" i="24" s="1"/>
  <c r="B16" i="24" s="1"/>
  <c r="B15" i="24" s="1"/>
  <c r="B14" i="24" s="1"/>
  <c r="B13" i="24" s="1"/>
  <c r="B12" i="24" s="1"/>
  <c r="B11" i="24" s="1"/>
  <c r="I17" i="24" l="1"/>
  <c r="I16" i="24" s="1"/>
  <c r="I15" i="24" s="1"/>
  <c r="I14" i="24" s="1"/>
  <c r="I13" i="24" s="1"/>
  <c r="I12" i="24" s="1"/>
  <c r="I11" i="24" s="1"/>
  <c r="D11" i="24"/>
  <c r="C20" i="24"/>
  <c r="C21" i="24" s="1"/>
  <c r="N11" i="24" l="1"/>
  <c r="G21" i="26" l="1"/>
  <c r="H21" i="26"/>
  <c r="J12" i="26"/>
  <c r="J13" i="26"/>
  <c r="J14" i="26"/>
  <c r="J15" i="26"/>
  <c r="J16" i="26"/>
  <c r="J17" i="26"/>
  <c r="J18" i="26"/>
  <c r="J19" i="26"/>
  <c r="F12" i="26"/>
  <c r="F13" i="26"/>
  <c r="F14" i="26"/>
  <c r="F15" i="26"/>
  <c r="F16" i="26"/>
  <c r="F17" i="26"/>
  <c r="F18" i="26"/>
  <c r="F19" i="26"/>
  <c r="K12" i="26"/>
  <c r="K13" i="26"/>
  <c r="K14" i="26"/>
  <c r="K15" i="26"/>
  <c r="K16" i="26"/>
  <c r="K17" i="26"/>
  <c r="K18" i="26"/>
  <c r="K19" i="26"/>
  <c r="G12" i="26"/>
  <c r="G13" i="26"/>
  <c r="G14" i="26"/>
  <c r="G15" i="26"/>
  <c r="G16" i="26"/>
  <c r="G17" i="26"/>
  <c r="G18" i="26"/>
  <c r="G19" i="26"/>
  <c r="C12" i="26"/>
  <c r="C13" i="26"/>
  <c r="C14" i="26"/>
  <c r="C15" i="26"/>
  <c r="C16" i="26"/>
  <c r="C17" i="26"/>
  <c r="C18" i="26"/>
  <c r="C19" i="26"/>
  <c r="N12" i="26"/>
  <c r="N13" i="26"/>
  <c r="N14" i="26"/>
  <c r="N15" i="26"/>
  <c r="N16" i="26"/>
  <c r="N17" i="26"/>
  <c r="N18" i="26"/>
  <c r="N19" i="26"/>
  <c r="M12" i="26"/>
  <c r="M13" i="26"/>
  <c r="M14" i="26"/>
  <c r="M15" i="26"/>
  <c r="M16" i="26"/>
  <c r="M17" i="26"/>
  <c r="M18" i="26"/>
  <c r="M19" i="26"/>
  <c r="L12" i="26"/>
  <c r="L13" i="26"/>
  <c r="L14" i="26"/>
  <c r="L15" i="26"/>
  <c r="L16" i="26"/>
  <c r="L17" i="26"/>
  <c r="L18" i="26"/>
  <c r="L19" i="26"/>
  <c r="I12" i="26"/>
  <c r="I13" i="26"/>
  <c r="I14" i="26"/>
  <c r="I15" i="26"/>
  <c r="I16" i="26"/>
  <c r="I17" i="26"/>
  <c r="I18" i="26"/>
  <c r="I19" i="26"/>
  <c r="H12" i="26"/>
  <c r="H13" i="26"/>
  <c r="H14" i="26"/>
  <c r="H15" i="26"/>
  <c r="H16" i="26"/>
  <c r="H17" i="26"/>
  <c r="H18" i="26"/>
  <c r="H19" i="26"/>
  <c r="E12" i="26"/>
  <c r="E13" i="26"/>
  <c r="E14" i="26"/>
  <c r="E15" i="26"/>
  <c r="E16" i="26"/>
  <c r="E17" i="26"/>
  <c r="E18" i="26"/>
  <c r="E19" i="26"/>
  <c r="D12" i="26"/>
  <c r="D13" i="26"/>
  <c r="D14" i="26"/>
  <c r="D15" i="26"/>
  <c r="D16" i="26"/>
  <c r="D17" i="26"/>
  <c r="D18" i="26"/>
  <c r="D19" i="26"/>
  <c r="B12" i="26"/>
  <c r="B13" i="26"/>
  <c r="B14" i="26"/>
  <c r="B15" i="26"/>
  <c r="B16" i="26"/>
  <c r="B17" i="26"/>
  <c r="B18" i="26"/>
  <c r="B19" i="26"/>
  <c r="C18" i="25"/>
  <c r="C16" i="25"/>
  <c r="V13" i="25"/>
  <c r="V14" i="25"/>
  <c r="V15" i="25"/>
  <c r="V16" i="25"/>
  <c r="V17" i="25"/>
  <c r="V18" i="25"/>
  <c r="R13" i="25"/>
  <c r="R14" i="25"/>
  <c r="R15" i="25"/>
  <c r="R16" i="25"/>
  <c r="R17" i="25"/>
  <c r="R18" i="25"/>
  <c r="K13" i="25"/>
  <c r="K14" i="25"/>
  <c r="K15" i="25"/>
  <c r="K16" i="25"/>
  <c r="K17" i="25"/>
  <c r="K18" i="25"/>
  <c r="W13" i="25"/>
  <c r="W14" i="25"/>
  <c r="W15" i="25"/>
  <c r="W16" i="25"/>
  <c r="W17" i="25"/>
  <c r="W18" i="25"/>
  <c r="U13" i="25"/>
  <c r="U14" i="25"/>
  <c r="U15" i="25"/>
  <c r="U16" i="25"/>
  <c r="U17" i="25"/>
  <c r="U18" i="25"/>
  <c r="T13" i="25"/>
  <c r="T14" i="25"/>
  <c r="T15" i="25"/>
  <c r="T16" i="25"/>
  <c r="T17" i="25"/>
  <c r="T18" i="25"/>
  <c r="S13" i="25"/>
  <c r="S14" i="25"/>
  <c r="S15" i="25"/>
  <c r="S16" i="25"/>
  <c r="S17" i="25"/>
  <c r="S18" i="25"/>
  <c r="O13" i="25"/>
  <c r="O14" i="25"/>
  <c r="O15" i="25"/>
  <c r="O16" i="25"/>
  <c r="O17" i="25"/>
  <c r="O18" i="25"/>
  <c r="N13" i="25"/>
  <c r="N14" i="25"/>
  <c r="N15" i="25"/>
  <c r="N16" i="25"/>
  <c r="N17" i="25"/>
  <c r="N18" i="25"/>
  <c r="M13" i="25"/>
  <c r="M14" i="25"/>
  <c r="M15" i="25"/>
  <c r="M16" i="25"/>
  <c r="M17" i="25"/>
  <c r="M18" i="25"/>
  <c r="I13" i="25"/>
  <c r="I14" i="25"/>
  <c r="I15" i="25"/>
  <c r="I16" i="25"/>
  <c r="I17" i="25"/>
  <c r="I18" i="25"/>
  <c r="H13" i="25"/>
  <c r="H14" i="25"/>
  <c r="H15" i="25"/>
  <c r="H16" i="25"/>
  <c r="H17" i="25"/>
  <c r="H18" i="25"/>
  <c r="E13" i="25"/>
  <c r="E14" i="25"/>
  <c r="E15" i="25"/>
  <c r="E16" i="25"/>
  <c r="E17" i="25"/>
  <c r="E18" i="25"/>
  <c r="C13" i="25"/>
  <c r="M20" i="24"/>
  <c r="M21" i="24" s="1"/>
  <c r="U20" i="24"/>
  <c r="AB18" i="24"/>
  <c r="AB19" i="24"/>
  <c r="AB20" i="24"/>
  <c r="AB21" i="24"/>
  <c r="V14" i="24"/>
  <c r="V15" i="24" s="1"/>
  <c r="V16" i="24" s="1"/>
  <c r="V17" i="24" s="1"/>
  <c r="V18" i="24" s="1"/>
  <c r="V19" i="24" s="1"/>
  <c r="V20" i="24" s="1"/>
  <c r="V21" i="24" s="1"/>
  <c r="S14" i="24"/>
  <c r="S15" i="24"/>
  <c r="S16" i="24"/>
  <c r="S17" i="24"/>
  <c r="S18" i="24"/>
  <c r="S19" i="24"/>
  <c r="S20" i="24"/>
  <c r="S21" i="24"/>
  <c r="H13" i="24"/>
  <c r="H14" i="24" s="1"/>
  <c r="H15" i="24" s="1"/>
  <c r="H16" i="24" s="1"/>
  <c r="H17" i="24" s="1"/>
  <c r="H18" i="24" s="1"/>
  <c r="H19" i="24" s="1"/>
  <c r="H20" i="24" s="1"/>
  <c r="H21" i="24" s="1"/>
  <c r="AB12" i="24"/>
  <c r="AB13" i="24"/>
  <c r="AB14" i="24"/>
  <c r="AB15" i="24"/>
  <c r="AB16" i="24"/>
  <c r="AA12" i="24"/>
  <c r="AA13" i="24" s="1"/>
  <c r="AA14" i="24" s="1"/>
  <c r="AA15" i="24" s="1"/>
  <c r="AA16" i="24" s="1"/>
  <c r="AA17" i="24" s="1"/>
  <c r="AA18" i="24" s="1"/>
  <c r="AA19" i="24" s="1"/>
  <c r="AA20" i="24" s="1"/>
  <c r="AA21" i="24" s="1"/>
  <c r="Z12" i="24"/>
  <c r="Z13" i="24" s="1"/>
  <c r="Z14" i="24" s="1"/>
  <c r="Z15" i="24" s="1"/>
  <c r="Z16" i="24" s="1"/>
  <c r="Z17" i="24" s="1"/>
  <c r="Z18" i="24" s="1"/>
  <c r="Z19" i="24" s="1"/>
  <c r="Z20" i="24" s="1"/>
  <c r="Z21" i="24" s="1"/>
  <c r="Y12" i="24"/>
  <c r="Y13" i="24" s="1"/>
  <c r="Y14" i="24" s="1"/>
  <c r="Y15" i="24" s="1"/>
  <c r="Y16" i="24" s="1"/>
  <c r="Y17" i="24" s="1"/>
  <c r="Y18" i="24" s="1"/>
  <c r="Y19" i="24" s="1"/>
  <c r="Y20" i="24" s="1"/>
  <c r="Y21" i="24" s="1"/>
  <c r="V12" i="24"/>
  <c r="V13" i="24" s="1"/>
  <c r="T12" i="24"/>
  <c r="T13" i="24" s="1"/>
  <c r="T14" i="24" s="1"/>
  <c r="T15" i="24" s="1"/>
  <c r="T16" i="24" s="1"/>
  <c r="T17" i="24" s="1"/>
  <c r="T18" i="24" s="1"/>
  <c r="T19" i="24" s="1"/>
  <c r="T20" i="24" s="1"/>
  <c r="T21" i="24" s="1"/>
  <c r="S12" i="24"/>
  <c r="S13" i="24"/>
  <c r="N12" i="24"/>
  <c r="N13" i="24" s="1"/>
  <c r="N14" i="24" s="1"/>
  <c r="N15" i="24" s="1"/>
  <c r="N16" i="24" s="1"/>
  <c r="N17" i="24" s="1"/>
  <c r="N18" i="24" s="1"/>
  <c r="N19" i="24" s="1"/>
  <c r="N20" i="24" s="1"/>
  <c r="N21" i="24" s="1"/>
  <c r="K12" i="24"/>
  <c r="K13" i="24" s="1"/>
  <c r="K14" i="24" s="1"/>
  <c r="K15" i="24" s="1"/>
  <c r="K16" i="24" s="1"/>
  <c r="K17" i="24" s="1"/>
  <c r="K18" i="24" s="1"/>
  <c r="K19" i="24" s="1"/>
  <c r="K20" i="24" s="1"/>
  <c r="K21" i="24" s="1"/>
  <c r="D12" i="24"/>
  <c r="D13" i="24" s="1"/>
  <c r="D14" i="24" s="1"/>
  <c r="D15" i="24" s="1"/>
  <c r="D16" i="24" s="1"/>
  <c r="D17" i="24" s="1"/>
  <c r="D18" i="24" s="1"/>
  <c r="D19" i="24" s="1"/>
  <c r="D20" i="24" s="1"/>
  <c r="D21" i="24" s="1"/>
</calcChain>
</file>

<file path=xl/comments1.xml><?xml version="1.0" encoding="utf-8"?>
<comments xmlns="http://schemas.openxmlformats.org/spreadsheetml/2006/main" xmlns:mc="http://schemas.openxmlformats.org/markup-compatibility/2006" xmlns:xr="http://schemas.microsoft.com/office/spreadsheetml/2014/revision" mc:Ignorable="xr">
  <authors>
    <author>Author</author>
  </authors>
  <commentList>
    <comment ref="O21" authorId="0" shapeId="0" xr:uid="{A05B2059-83CD-4B4A-BD32-B0E113A9CE2B}">
      <text>
        <r>
          <rPr>
            <b/>
            <sz val="9"/>
            <color indexed="81"/>
            <rFont val="Tahoma"/>
            <family val="2"/>
          </rPr>
          <t>Author:</t>
        </r>
        <r>
          <rPr>
            <sz val="9"/>
            <color indexed="81"/>
            <rFont val="Tahoma"/>
            <family val="2"/>
          </rPr>
          <t xml:space="preserve">
BNS Mcleod, Hollis and Scotia ISA's consolidated into 1 new ISA (new fund codes) on April 23 2018.</t>
        </r>
      </text>
    </comment>
  </commentList>
</comments>
</file>

<file path=xl/comments2.xml><?xml version="1.0" encoding="utf-8"?>
<comments xmlns="http://schemas.openxmlformats.org/spreadsheetml/2006/main" xmlns:mc="http://schemas.openxmlformats.org/markup-compatibility/2006" xmlns:xr="http://schemas.microsoft.com/office/spreadsheetml/2014/revision" mc:Ignorable="xr">
  <authors>
    <author>Author</author>
  </authors>
  <commentList>
    <comment ref="F10" authorId="0" shapeId="0" xr:uid="{DCA78530-7318-4DE5-8B5A-4875AB267D74}">
      <text>
        <r>
          <rPr>
            <b/>
            <sz val="9"/>
            <color indexed="81"/>
            <rFont val="Tahoma"/>
            <family val="2"/>
          </rPr>
          <t>Author:</t>
        </r>
        <r>
          <rPr>
            <sz val="9"/>
            <color indexed="81"/>
            <rFont val="Tahoma"/>
            <family val="2"/>
          </rPr>
          <t xml:space="preserve">
BNS Mcleod, Hollis and Scotia ISA's consolidated into 1 new ISA (new fund codes) on April 23 2018.</t>
        </r>
      </text>
    </comment>
    <comment ref="H22" authorId="0" shapeId="0" xr:uid="{A5248075-3C85-4075-8347-D782159E4261}">
      <text>
        <r>
          <rPr>
            <b/>
            <sz val="9"/>
            <color indexed="81"/>
            <rFont val="Tahoma"/>
            <family val="2"/>
          </rPr>
          <t>Author:</t>
        </r>
        <r>
          <rPr>
            <sz val="9"/>
            <color indexed="81"/>
            <rFont val="Tahoma"/>
            <family val="2"/>
          </rPr>
          <t xml:space="preserve">
BNS Mcleod, Hollis and Scotia ISA's consolidated into 1 new ISA (new fund codes) on April 23 2018.</t>
        </r>
      </text>
    </comment>
  </commentList>
</comments>
</file>

<file path=xl/connections.xml><?xml version="1.0" encoding="utf-8"?>
<connections xmlns="http://schemas.openxmlformats.org/spreadsheetml/2006/main" xmlns:mc="http://schemas.openxmlformats.org/markup-compatibility/2006" xmlns:xr16="http://schemas.microsoft.com/office/spreadsheetml/2017/revision16" mc:Ignorable="xr16">
  <connection id="1" xr16:uid="{00000000-0015-0000-FFFF-FFFF00000000}" keepAlive="1" name="Query - Altamira Rates" description="Connection to the 'Altamira Rates' query in the workbook." type="5" refreshedVersion="6" background="1" saveData="1">
    <dbPr connection="Provider=Microsoft.Mashup.OleDb.1;Data Source=$Workbook$;Location=Altamira Rates;Extended Properties=&quot;&quot;" command="SELECT * FROM [Altamira Rates]"/>
  </connection>
  <connection id="2" xr16:uid="{00000000-0015-0000-FFFF-FFFF01000000}" keepAlive="1" name="Query - B2B Rates" description="Connection to the 'B2B Rates' query in the workbook." type="5" refreshedVersion="6" background="1" saveData="1">
    <dbPr connection="Provider=Microsoft.Mashup.OleDb.1;Data Source=$Workbook$;Location=B2B Rates;Extended Properties=&quot;&quot;" command="SELECT * FROM [B2B Rates]"/>
  </connection>
  <connection id="3" xr16:uid="{00000000-0015-0000-FFFF-FFFF02000000}" odcFile="C:\Users\arokiam\OneDrive - CIBC\Intakes\Web Scraper\Query - BMO - SBA_SSA_PRSA.odc" keepAlive="1" name="Query - BMO - SBA_SSA_PRSA" description="Connection to the 'BMO - SBA_SSA_PRSA' query in the workbook." type="5" refreshedVersion="6" background="1" saveData="1">
    <dbPr connection="Provider=Microsoft.Mashup.OleDb.1;Data Source=$Workbook$;Location=BMO - SBA_SSA_PRSA;Extended Properties=&quot;&quot;" command="SELECT * FROM [BMO - SBA_SSA_PRSA]"/>
  </connection>
  <connection id="4" xr16:uid="{00000000-0015-0000-FFFF-FFFF03000000}" keepAlive="1" name="Query - BMO US$ Premium Rate Savings Account" description="Connection to the 'BMO US$ Premium Rate Savings Account' query in the workbook." type="5" refreshedVersion="6" background="1" saveData="1">
    <dbPr connection="Provider=Microsoft.Mashup.OleDb.1;Data Source=$Workbook$;Location=BMO US$ Premium Rate Savings Account;Extended Properties=&quot;&quot;" command="SELECT * FROM [BMO US$ Premium Rate Savings Account]"/>
  </connection>
  <connection id="5" xr16:uid="{00000000-0015-0000-FFFF-FFFF04000000}" odcFile="C:\Users\arokiam\OneDrive - CIBC\Intakes\Web Scraper\Query - BNS - MPS_MM_SA.odc" keepAlive="1" name="Query - BNS - MPS_MM_SA" description="Connection to the 'BNS - MPS_MM_SA' query in the workbook." type="5" refreshedVersion="6" background="1" saveData="1">
    <dbPr connection="Provider=Microsoft.Mashup.OleDb.1;Data Source=$Workbook$;Location=BNS - MPS_MM_SA;Extended Properties=&quot;&quot;" command="SELECT * FROM [BNS - MPS_MM_SA]"/>
  </connection>
  <connection id="6" xr16:uid="{00000000-0015-0000-FFFF-FFFF05000000}" keepAlive="1" name="Query - BNS Cash Optimizer Investment" description="Connection to the 'BNS Cash Optimizer Investment' query in the workbook." type="5" refreshedVersion="6" background="1" saveData="1">
    <dbPr connection="Provider=Microsoft.Mashup.OleDb.1;Data Source=$Workbook$;Location=BNS Cash Optimizer Investment;Extended Properties=&quot;&quot;" command="SELECT * FROM [BNS Cash Optimizer Investment]"/>
  </connection>
  <connection id="7" xr16:uid="{00000000-0015-0000-FFFF-FFFF06000000}" keepAlive="1" name="Query - CIBC Rates" description="Connection to the 'CIBC Rates' query in the workbook." type="5" refreshedVersion="6" background="1" saveData="1">
    <dbPr connection="Provider=Microsoft.Mashup.OleDb.1;Data Source=$Workbook$;Location=CIBC Rates;Extended Properties=&quot;&quot;" command="SELECT * FROM [CIBC Rates]"/>
  </connection>
  <connection id="8" xr16:uid="{00000000-0015-0000-FFFF-FFFF07000000}" keepAlive="1" name="Query - CT HISA Rates" description="Connection to the 'CT HISA Rates' query in the workbook." type="5" refreshedVersion="6" background="1" saveData="1">
    <dbPr connection="Provider=Microsoft.Mashup.OleDb.1;Data Source=$Workbook$;Location=CT HISA Rates;Extended Properties=&quot;&quot;" command="SELECT * FROM [CT HISA Rates]"/>
  </connection>
  <connection id="9" xr16:uid="{00000000-0015-0000-FFFF-FFFF08000000}" keepAlive="1" name="Query - Find &amp; Save™" description="Connection to the 'Find &amp; Save™' query in the workbook." type="5" refreshedVersion="6" background="1" saveData="1">
    <dbPr connection="Provider=Microsoft.Mashup.OleDb.1;Data Source=$Workbook$;Location=Find &amp; Save™;Extended Properties=&quot;&quot;" command="SELECT * FROM [Find &amp; Save™]"/>
  </connection>
  <connection id="10" xr16:uid="{00000000-0015-0000-FFFF-FFFF09000000}" keepAlive="1" name="Query - HSBC Rates" description="Connection to the 'HSBC Rates' query in the workbook." type="5" refreshedVersion="6" background="1" saveData="1">
    <dbPr connection="Provider=Microsoft.Mashup.OleDb.1;Data Source=$Workbook$;Location=HSBC Rates;Extended Properties=&quot;&quot;" command="SELECT * FROM [HSBC Rates]"/>
  </connection>
  <connection id="11" xr16:uid="{00000000-0015-0000-FFFF-FFFF0A000000}" keepAlive="1" name="Query - ICICI Checquing Accounts" description="Connection to the 'ICICI Checquing Accounts' query in the workbook." type="5" refreshedVersion="6" background="1" saveData="1">
    <dbPr connection="Provider=Microsoft.Mashup.OleDb.1;Data Source=$Workbook$;Location=ICICI Checquing Accounts;Extended Properties=&quot;&quot;" command="SELECT * FROM [ICICI Checquing Accounts]"/>
  </connection>
  <connection id="12" xr16:uid="{00000000-0015-0000-FFFF-FFFF0B000000}" keepAlive="1" name="Query - ICICI GICs" description="Connection to the 'ICICI GICs' query in the workbook." type="5" refreshedVersion="6" background="1" saveData="1">
    <dbPr connection="Provider=Microsoft.Mashup.OleDb.1;Data Source=$Workbook$;Location=ICICI GICs;Extended Properties=&quot;&quot;" command="SELECT * FROM [ICICI GICs]"/>
  </connection>
  <connection id="13" xr16:uid="{00000000-0015-0000-FFFF-FFFF0C000000}" keepAlive="1" name="Query - ICICI Prime Rate" description="Connection to the 'ICICI Prime Rate' query in the workbook." type="5" refreshedVersion="6" background="1" saveData="1">
    <dbPr connection="Provider=Microsoft.Mashup.OleDb.1;Data Source=$Workbook$;Location=ICICI Prime Rate;Extended Properties=&quot;&quot;" command="SELECT * FROM [ICICI Prime Rate]"/>
  </connection>
  <connection id="14" xr16:uid="{00000000-0015-0000-FFFF-FFFF0D000000}" keepAlive="1" name="Query - ICICI RSP GIC" description="Connection to the 'ICICI RSP GIC' query in the workbook." type="5" refreshedVersion="6" background="1" saveData="1">
    <dbPr connection="Provider=Microsoft.Mashup.OleDb.1;Data Source=$Workbook$;Location=ICICI RSP GIC;Extended Properties=&quot;&quot;" command="SELECT * FROM [ICICI RSP GIC]"/>
  </connection>
  <connection id="15" xr16:uid="{00000000-0015-0000-FFFF-FFFF0E000000}" keepAlive="1" name="Query - ICICI Tax-Free GIC" description="Connection to the 'ICICI Tax-Free GIC' query in the workbook." type="5" refreshedVersion="6" background="1" saveData="1">
    <dbPr connection="Provider=Microsoft.Mashup.OleDb.1;Data Source=$Workbook$;Location=ICICI Tax-Free GIC;Extended Properties=&quot;&quot;" command="SELECT * FROM [ICICI Tax-Free GIC]"/>
  </connection>
  <connection id="16" xr16:uid="{00000000-0015-0000-FFFF-FFFF0F000000}" keepAlive="1" name="Query - ICICI_Savings Accounts" description="Connection to the 'ICICI_Savings Accounts' query in the workbook." type="5" refreshedVersion="6" background="1" saveData="1">
    <dbPr connection="Provider=Microsoft.Mashup.OleDb.1;Data Source=$Workbook$;Location=ICICI_Savings Accounts;Extended Properties=&quot;&quot;" command="SELECT * FROM [ICICI_Savings Accounts]"/>
  </connection>
  <connection id="17" xr16:uid="{00000000-0015-0000-FFFF-FFFF10000000}" keepAlive="1" name="Query - Manulife Rates" description="Connection to the 'Manulife Rates' query in the workbook." type="5" refreshedVersion="6" background="1" saveData="1">
    <dbPr connection="Provider=Microsoft.Mashup.OleDb.1;Data Source=$Workbook$;Location=Manulife Rates;Extended Properties=&quot;&quot;" command="SELECT * FROM [Manulife Rates]"/>
  </connection>
  <connection id="18" xr16:uid="{00000000-0015-0000-FFFF-FFFF11000000}" keepAlive="1" name="Query - Meridian Rates" description="Connection to the 'Meridian Rates' query in the workbook." type="5" refreshedVersion="6" background="1" saveData="1">
    <dbPr connection="Provider=Microsoft.Mashup.OleDb.1;Data Source=$Workbook$;Location=Meridian Rates;Extended Properties=&quot;&quot;" command="SELECT * FROM [Meridian Rates]"/>
  </connection>
  <connection id="19" xr16:uid="{00000000-0015-0000-FFFF-FFFF12000000}" keepAlive="1" name="Query - National Bank Rates" description="Connection to the 'National Bank Rates' query in the workbook." type="5" refreshedVersion="6" background="1" saveData="1">
    <dbPr connection="Provider=Microsoft.Mashup.OleDb.1;Data Source=$Workbook$;Location=National Bank Rates;Extended Properties=&quot;&quot;" command="SELECT * FROM [National Bank Rates]"/>
  </connection>
  <connection id="20" xr16:uid="{00000000-0015-0000-FFFF-FFFF13000000}" keepAlive="1" name="Query - Premium Rate Savings Account1" description="Connection to the 'Premium Rate Savings Account1' query in the workbook." type="5" refreshedVersion="0" background="1">
    <dbPr connection="Provider=Microsoft.Mashup.OleDb.1;Data Source=$Workbook$;Location=&quot;Premium Rate Savings Account1&quot;;Extended Properties=&quot;&quot;" command="SELECT * FROM [Premium Rate Savings Account1]"/>
  </connection>
  <connection id="21" xr16:uid="{00000000-0015-0000-FFFF-FFFF14000000}" odcFile="C:\Users\arokiam\OneDrive - CIBC\Intakes\Web Scraper\Query - RBC - US$ Personal™ Account.odc" keepAlive="1" name="Query - RBC - US$  Personal™ Account" description="Connection to the 'RBC - US$  Personal™ Account' query in the workbook." type="5" refreshedVersion="6" background="1" saveData="1">
    <dbPr connection="Provider=Microsoft.Mashup.OleDb.1;Data Source=$Workbook$;Location=RBC - US$  Personal™ Account;Extended Properties=&quot;&quot;" command="SELECT * FROM [RBC - US$  Personal™ Account]"/>
  </connection>
  <connection id="22" xr16:uid="{00000000-0015-0000-FFFF-FFFF15000000}" odcFile="C:\Users\arokiam\OneDrive - CIBC\Intakes\Web Scraper\Query - RBC - US$ High Interest eSavings™.odc" keepAlive="1" name="Query - RBC - US$ High Interest eSavings™" description="Connection to the 'RBC - US$ High Interest eSavings™' query in the workbook." type="5" refreshedVersion="6" background="1" saveData="1">
    <dbPr connection="Provider=Microsoft.Mashup.OleDb.1;Data Source=$Workbook$;Location=RBC - US$ High Interest eSavings™;Extended Properties=&quot;&quot;" command="SELECT * FROM [RBC - US$ High Interest eSavings™]"/>
  </connection>
  <connection id="23" xr16:uid="{00000000-0015-0000-FFFF-FFFF16000000}" keepAlive="1" name="Query - RBC Day to Day Savings®" description="Connection to the 'RBC Day to Day Savings®' query in the workbook." type="5" refreshedVersion="6" background="1" saveData="1">
    <dbPr connection="Provider=Microsoft.Mashup.OleDb.1;Data Source=$Workbook$;Location=RBC Day to Day Savings®;Extended Properties=&quot;&quot;" command="SELECT * FROM [RBC Day to Day Savings®]"/>
  </connection>
  <connection id="24" xr16:uid="{00000000-0015-0000-FFFF-FFFF17000000}" keepAlive="1" name="Query - RBC Enhanced Savings®" description="Connection to the 'RBC Enhanced Savings®' query in the workbook." type="5" refreshedVersion="6" background="1" saveData="1">
    <dbPr connection="Provider=Microsoft.Mashup.OleDb.1;Data Source=$Workbook$;Location=RBC Enhanced Savings®;Extended Properties=&quot;&quot;" command="SELECT * FROM [RBC Enhanced Savings®]"/>
  </connection>
  <connection id="25" xr16:uid="{00000000-0015-0000-FFFF-FFFF18000000}" keepAlive="1" name="Query - RBC High Interest eSavings®" description="Connection to the 'RBC High Interest eSavings®' query in the workbook." type="5" refreshedVersion="6" background="1" saveData="1">
    <dbPr connection="Provider=Microsoft.Mashup.OleDb.1;Data Source=$Workbook$;Location=RBC High Interest eSavings®;Extended Properties=&quot;&quot;" command="SELECT * FROM [RBC High Interest eSavings®]"/>
  </connection>
  <connection id="26" xr16:uid="{00000000-0015-0000-FFFF-FFFF19000000}" keepAlive="1" name="Query - RBC Leo's Young Savers Account®" description="Connection to the 'RBC Leo's Young Savers Account®' query in the workbook." type="5" refreshedVersion="6" background="1" saveData="1">
    <dbPr connection="Provider=Microsoft.Mashup.OleDb.1;Data Source=$Workbook$;Location=&quot;RBC Leo's Young Savers Account®&quot;;Extended Properties=&quot;&quot;" command="SELECT * FROM [RBC Leo's Young Savers Account®]"/>
  </connection>
  <connection id="27" xr16:uid="{00000000-0015-0000-FFFF-FFFF1A000000}" keepAlive="1" name="Query - RBC Normal Savings" description="Connection to the 'RBC Normal Savings' query in the workbook." type="5" refreshedVersion="6" background="1" saveData="1">
    <dbPr connection="Provider=Microsoft.Mashup.OleDb.1;Data Source=$Workbook$;Location=RBC Normal Savings;Extended Properties=&quot;&quot;" command="SELECT * FROM [RBC Normal Savings]"/>
  </connection>
  <connection id="28" xr16:uid="{00000000-0015-0000-FFFF-FFFF1B000000}" keepAlive="1" name="Query - RBC US$ Investment Savings Account" description="Connection to the 'RBC US$ Investment Savings Account' query in the workbook." type="5" refreshedVersion="6" background="1" saveData="1">
    <dbPr connection="Provider=Microsoft.Mashup.OleDb.1;Data Source=$Workbook$;Location=RBC US$ Investment Savings Account;Extended Properties=&quot;&quot;" command="SELECT * FROM [RBC US$ Investment Savings Account]"/>
  </connection>
  <connection id="29" xr16:uid="{00000000-0015-0000-FFFF-FFFF1C000000}" keepAlive="1" name="Query - RSP Savings Account" description="Connection to the 'RSP Savings Account' query in the workbook." type="5" refreshedVersion="6" background="1" saveData="1">
    <dbPr connection="Provider=Microsoft.Mashup.OleDb.1;Data Source=$Workbook$;Location=RSP Savings Account;Extended Properties=&quot;&quot;" command="SELECT * FROM [RSP Savings Account]"/>
  </connection>
  <connection id="30" xr16:uid="{00000000-0015-0000-FFFF-FFFF1D000000}" keepAlive="1" name="Query - Savings Builder Account1" description="Connection to the 'Savings Builder Account1' query in the workbook." type="5" refreshedVersion="0" background="1">
    <dbPr connection="Provider=Microsoft.Mashup.OleDb.1;Data Source=$Workbook$;Location=&quot;Savings Builder Account1&quot;;Extended Properties=&quot;&quot;" command="SELECT * FROM [Savings Builder Account1]"/>
  </connection>
  <connection id="31" xr16:uid="{00000000-0015-0000-FFFF-FFFF1E000000}" keepAlive="1" name="Query - Scotia US Dollar Daily Interest Account" description="Connection to the 'Scotia US Dollar Daily Interest Account' query in the workbook." type="5" refreshedVersion="6" background="1" saveData="1">
    <dbPr connection="Provider=Microsoft.Mashup.OleDb.1;Data Source=$Workbook$;Location=Scotia US Dollar Daily Interest Account;Extended Properties=&quot;&quot;" command="SELECT * FROM [Scotia US Dollar Daily Interest Account]"/>
  </connection>
  <connection id="32" xr16:uid="{00000000-0015-0000-FFFF-FFFF1F000000}" keepAlive="1" name="Query - Simplii Rates" description="Connection to the 'Simplii Rates' query in the workbook." type="5" refreshedVersion="6" background="1">
    <dbPr connection="Provider=Microsoft.Mashup.OleDb.1;Data Source=$Workbook$;Location=Simplii Rates;Extended Properties=&quot;&quot;" command="SELECT * FROM [Simplii Rates]"/>
  </connection>
  <connection id="33" xr16:uid="{00000000-0015-0000-FFFF-FFFF20000000}" keepAlive="1" name="Query - Smart Saver Account1" description="Connection to the 'Smart Saver Account1' query in the workbook." type="5" refreshedVersion="0" background="1">
    <dbPr connection="Provider=Microsoft.Mashup.OleDb.1;Data Source=$Workbook$;Location=&quot;Smart Saver Account1&quot;;Extended Properties=&quot;&quot;" command="SELECT * FROM [Smart Saver Account1]"/>
  </connection>
  <connection id="34" xr16:uid="{00000000-0015-0000-FFFF-FFFF21000000}" keepAlive="1" name="Query - Table 0 (2)" description="Connection to the 'Table 0 (2)' query in the workbook." type="5" refreshedVersion="0" background="1">
    <dbPr connection="Provider=Microsoft.Mashup.OleDb.1;Data Source=$Workbook$;Location=&quot;Table 0 (2)&quot;;Extended Properties=&quot;&quot;" command="SELECT * FROM [Table 0 (2)]"/>
  </connection>
  <connection id="35" xr16:uid="{00000000-0015-0000-FFFF-FFFF22000000}" keepAlive="1" name="Query - Table 2 (2)" description="Connection to the 'Table 2 (2)' query in the workbook." type="5" refreshedVersion="0" background="1">
    <dbPr connection="Provider=Microsoft.Mashup.OleDb.1;Data Source=$Workbook$;Location=&quot;Table 2 (2)&quot;;Extended Properties=&quot;&quot;" command="SELECT * FROM [Table 2 (2)]"/>
  </connection>
  <connection id="36" xr16:uid="{00000000-0015-0000-FFFF-FFFF23000000}" keepAlive="1" name="Query - Table 3" description="Connection to the 'Table 3' query in the workbook." type="5" refreshedVersion="0" background="1">
    <dbPr connection="Provider=Microsoft.Mashup.OleDb.1;Data Source=$Workbook$;Location=&quot;Table 3&quot;;Extended Properties=&quot;&quot;" command="SELECT * FROM [Table 3]"/>
  </connection>
  <connection id="37" xr16:uid="{00000000-0015-0000-FFFF-FFFF24000000}" keepAlive="1" name="Query - TD Investment Savings Account" description="Connection to the 'TD Investment Savings Account' query in the workbook." type="5" refreshedVersion="6" background="1" saveData="1">
    <dbPr connection="Provider=Microsoft.Mashup.OleDb.1;Data Source=$Workbook$;Location=TD Investment Savings Account;Extended Properties=&quot;&quot;" command="SELECT * FROM [TD Investment Savings Account]"/>
  </connection>
  <connection id="38" xr16:uid="{00000000-0015-0000-FFFF-FFFF25000000}" keepAlive="1" name="Query - TD Rate Retail" description="Connection to the 'TD Rate Retail' query in the workbook." type="5" refreshedVersion="6" background="1" saveData="1">
    <dbPr connection="Provider=Microsoft.Mashup.OleDb.1;Data Source=$Workbook$;Location=TD Rate Retail;Extended Properties=&quot;&quot;" command="SELECT * FROM [TD Rate Retail]"/>
  </connection>
  <connection id="39" xr16:uid="{00000000-0015-0000-FFFF-FFFF26000000}" keepAlive="1" name="Query - TD TFSA" description="Connection to the 'TD TFSA' query in the workbook." type="5" refreshedVersion="6" background="1" saveData="1">
    <dbPr connection="Provider=Microsoft.Mashup.OleDb.1;Data Source=$Workbook$;Location=TD TFSA;Extended Properties=&quot;&quot;" command="SELECT * FROM [TD TFSA]"/>
  </connection>
</connections>
</file>

<file path=xl/sharedStrings.xml><?xml version="1.0" encoding="utf-8"?>
<sst xmlns="http://schemas.openxmlformats.org/spreadsheetml/2006/main" count="1266" uniqueCount="658">
  <si>
    <t xml:space="preserve">High Interest Savings Accounts - Retail </t>
  </si>
  <si>
    <t>Market Comparative Jul 18, 2018)</t>
  </si>
  <si>
    <t>CIBC</t>
  </si>
  <si>
    <t>TDCT</t>
  </si>
  <si>
    <t>BMO</t>
  </si>
  <si>
    <t xml:space="preserve">BMO </t>
  </si>
  <si>
    <t>BNS</t>
  </si>
  <si>
    <t>RBC</t>
  </si>
  <si>
    <t>TANGERINE</t>
  </si>
  <si>
    <t>Simplii</t>
  </si>
  <si>
    <t>PCF</t>
  </si>
  <si>
    <t>ICICI*</t>
  </si>
  <si>
    <t>National Bank</t>
  </si>
  <si>
    <t xml:space="preserve">Manulife </t>
  </si>
  <si>
    <t>HSBC</t>
  </si>
  <si>
    <t>CDN TIRE</t>
  </si>
  <si>
    <t>B2B Bank</t>
  </si>
  <si>
    <t>Scotia iTrade</t>
  </si>
  <si>
    <t xml:space="preserve">Meridian Credit </t>
  </si>
  <si>
    <t>EQ Bank</t>
  </si>
  <si>
    <t>eAdvantage Savings Account</t>
  </si>
  <si>
    <t>Bonus Savings Account</t>
  </si>
  <si>
    <t>Premium Growth Account</t>
  </si>
  <si>
    <t>Everyday Savings Account</t>
  </si>
  <si>
    <t>High Interest Savings Account</t>
  </si>
  <si>
    <t>ePremium Savings Account</t>
  </si>
  <si>
    <t>Savings Builder Account (a)</t>
  </si>
  <si>
    <t>SMART SAVER</t>
  </si>
  <si>
    <t>PREMIUM RATE</t>
  </si>
  <si>
    <t>MomentumPLUS Savings</t>
  </si>
  <si>
    <t>MONEY MASTER</t>
  </si>
  <si>
    <t>Savings Accelerator</t>
  </si>
  <si>
    <t>HIGH INTEREST eSAVINGS</t>
  </si>
  <si>
    <t>ENHANCED SAVINGS</t>
  </si>
  <si>
    <t>Day to Day Savings Account</t>
  </si>
  <si>
    <t>SAVINGS ACCOUNT</t>
  </si>
  <si>
    <t>INTEREST PLUS
SAVINGS ACCOUNT</t>
  </si>
  <si>
    <t>HiSAVE SAVINGS</t>
  </si>
  <si>
    <t>High-Interest Savings Account</t>
  </si>
  <si>
    <t>Advantage Account</t>
  </si>
  <si>
    <t>High Rate Savings*</t>
  </si>
  <si>
    <t>High Interest Savings</t>
  </si>
  <si>
    <t>Cash Optimizer Investment</t>
  </si>
  <si>
    <t xml:space="preserve"> Union High Interest Savings Account </t>
  </si>
  <si>
    <t>Savings Plus Account</t>
  </si>
  <si>
    <t>250,000+</t>
  </si>
  <si>
    <t xml:space="preserve">150,000 - $249,999 </t>
  </si>
  <si>
    <t xml:space="preserve">100,000 - $149,999 </t>
  </si>
  <si>
    <t>60,000 - 99,999</t>
  </si>
  <si>
    <t>50,000 - 59,999</t>
  </si>
  <si>
    <t>25,000 - 49,999</t>
  </si>
  <si>
    <t>10,000 - 24,999</t>
  </si>
  <si>
    <t>5,000 - 9,999</t>
  </si>
  <si>
    <t>3000-4,999</t>
  </si>
  <si>
    <t>1000-2999</t>
  </si>
  <si>
    <t>0- 999</t>
  </si>
  <si>
    <t>Rate Effective Date</t>
  </si>
  <si>
    <t>Original Launch Date</t>
  </si>
  <si>
    <t>N/A</t>
  </si>
  <si>
    <t xml:space="preserve">US$ Personal Accounts </t>
  </si>
  <si>
    <t>Market Comparative (Jul 4, 2018)</t>
  </si>
  <si>
    <t>CIBC US$ Personal Account</t>
  </si>
  <si>
    <t>Renaissance High Interest Savings Account (USD)</t>
  </si>
  <si>
    <t>TDCT US$ Daily Interest Chequing &amp; Borderless Account</t>
  </si>
  <si>
    <t>TD Investment Savings Account (US$)</t>
  </si>
  <si>
    <t>RBC US$ High Interest eSavings Account</t>
  </si>
  <si>
    <t>RBC US$ Personal Account</t>
  </si>
  <si>
    <t>RBC US$ Investment Savings Account</t>
  </si>
  <si>
    <t>BMO US$ Premium Rate Savings Account</t>
  </si>
  <si>
    <t>BNS Scotia McLeod US$ Investment Savings Account</t>
  </si>
  <si>
    <t>BNS Hollis US$ Investment Savings Account</t>
  </si>
  <si>
    <t>BNS US$ Investment Savings Account</t>
  </si>
  <si>
    <t>BNS US$ Daily Interest Account</t>
  </si>
  <si>
    <t>TANGERINE US$ Savings Account</t>
  </si>
  <si>
    <t>ICICI US$ HiSave Savings Account</t>
  </si>
  <si>
    <t>Manulife US$ Advantage Account</t>
  </si>
  <si>
    <t>Manulife US$ Investment Savings Account</t>
  </si>
  <si>
    <t>Altamira  US$  Cash Performer</t>
  </si>
  <si>
    <t>Scotiaitrade Cash Optimizer US$ Account</t>
  </si>
  <si>
    <t>$60,000+</t>
  </si>
  <si>
    <t>(p)</t>
  </si>
  <si>
    <t>$25,000 - $59,999</t>
  </si>
  <si>
    <t>$10,000 - $24,999</t>
  </si>
  <si>
    <t>$5,000 - $9,999</t>
  </si>
  <si>
    <t>$3,000 - $4,999</t>
  </si>
  <si>
    <t>$1,000 - $2,999</t>
  </si>
  <si>
    <t>$0 - $999</t>
  </si>
  <si>
    <t>Type</t>
  </si>
  <si>
    <t>Retail</t>
  </si>
  <si>
    <t>Broker</t>
  </si>
  <si>
    <t>CDN High Interest Savings Accounts - Broker Class A</t>
  </si>
  <si>
    <t>Market Comparative Jul 17, 2018)</t>
  </si>
  <si>
    <t>TD/CT</t>
  </si>
  <si>
    <t>Altamira</t>
  </si>
  <si>
    <t>Home Trust</t>
  </si>
  <si>
    <t>High Interest Savings Account(CTC)</t>
  </si>
  <si>
    <t>High Interest Savings Account(CMI)</t>
  </si>
  <si>
    <t xml:space="preserve">Renaissance High Interest Savings Account </t>
  </si>
  <si>
    <t>Investment Savings Account</t>
  </si>
  <si>
    <t>Scotia McLeod Investment Savings Account</t>
  </si>
  <si>
    <t>Hollis Investment Savings Account</t>
  </si>
  <si>
    <t>INVESTMENT SAVINGS ACCOUNT</t>
  </si>
  <si>
    <t>High-Interest Cash Performer (NBC, NBT, NTC)</t>
  </si>
  <si>
    <t>High Interest Investment Account</t>
  </si>
  <si>
    <t>High Interest Savings Account Rate</t>
  </si>
  <si>
    <t>100,000 +</t>
  </si>
  <si>
    <t>Rate</t>
  </si>
  <si>
    <t>RBC High Interest eSavings</t>
  </si>
  <si>
    <t>RBC Enhanced Savings</t>
  </si>
  <si>
    <t>RBC Day to Day Savings</t>
  </si>
  <si>
    <t>RBC Leo's Young Savers Account</t>
  </si>
  <si>
    <t>GICs</t>
  </si>
  <si>
    <t>Column1</t>
  </si>
  <si>
    <t>Column2</t>
  </si>
  <si>
    <t>Column3</t>
  </si>
  <si>
    <t>Description</t>
  </si>
  <si>
    <t>Categories</t>
  </si>
  <si>
    <t>Interest Rate</t>
  </si>
  <si>
    <t>All balances</t>
  </si>
  <si>
    <t>1.05</t>
  </si>
  <si>
    <t>If balance is</t>
  </si>
  <si>
    <t>Interest Rate [%]</t>
  </si>
  <si>
    <t>$250,000.00 and over</t>
  </si>
  <si>
    <t>0.150 P</t>
  </si>
  <si>
    <t>$150,000.00 to $249,999.99</t>
  </si>
  <si>
    <t>$100,000.00 to $149,999.99</t>
  </si>
  <si>
    <t>0.050 P</t>
  </si>
  <si>
    <t>$60,000.00 to $99,999.99</t>
  </si>
  <si>
    <t>0.025 P</t>
  </si>
  <si>
    <t>$25,000.00 to $59,999.99</t>
  </si>
  <si>
    <t>0.010</t>
  </si>
  <si>
    <t>$10,000.00 to $24,999.99</t>
  </si>
  <si>
    <t>0.005</t>
  </si>
  <si>
    <t>$5,000.00 to $9,999.99</t>
  </si>
  <si>
    <t>0.001</t>
  </si>
  <si>
    <t>$0.00 to $4,999.99</t>
  </si>
  <si>
    <t>0.000</t>
  </si>
  <si>
    <t>$5,000.00 and over</t>
  </si>
  <si>
    <t>$3,000.00 to $4,999.99</t>
  </si>
  <si>
    <t>0.020 P</t>
  </si>
  <si>
    <t>$1,000.00 to $2,999.99</t>
  </si>
  <si>
    <t>$0.00 to $999.99</t>
  </si>
  <si>
    <t>0.15</t>
  </si>
  <si>
    <t>0.010 P</t>
  </si>
  <si>
    <t>Annual Rates</t>
  </si>
  <si>
    <t>1 Year</t>
  </si>
  <si>
    <t>2 Year</t>
  </si>
  <si>
    <t/>
  </si>
  <si>
    <t>Products</t>
  </si>
  <si>
    <t>Data.Column1</t>
  </si>
  <si>
    <t>Data.Column2</t>
  </si>
  <si>
    <t>No Fee Chequing Account</t>
  </si>
  <si>
    <t>On the Portion of Balance Between:</t>
  </si>
  <si>
    <t>Annual Rate (%)</t>
  </si>
  <si>
    <t>$0.00 - $1,000.00</t>
  </si>
  <si>
    <t>0.05</t>
  </si>
  <si>
    <t>$1,000.01 - $5,000.00</t>
  </si>
  <si>
    <t>0.10</t>
  </si>
  <si>
    <t>$5,000.01 - $10,000.00</t>
  </si>
  <si>
    <t>$10,000.01 - $25,000.00</t>
  </si>
  <si>
    <t>$25,000.01 and up</t>
  </si>
  <si>
    <t>0.50</t>
  </si>
  <si>
    <t>Overdraft</t>
  </si>
  <si>
    <t>Daily Balance</t>
  </si>
  <si>
    <t>On all overdraft balances</t>
  </si>
  <si>
    <t>19.00</t>
  </si>
  <si>
    <t>$0.00 and up</t>
  </si>
  <si>
    <t>Variable Rate Mortgages</t>
  </si>
  <si>
    <t>Term</t>
  </si>
  <si>
    <t>Posted Rate %</t>
  </si>
  <si>
    <t>5 year</t>
  </si>
  <si>
    <t>3.70</t>
  </si>
  <si>
    <t>Fixed Rate Mortgages</t>
  </si>
  <si>
    <t>2 year</t>
  </si>
  <si>
    <t>3 year</t>
  </si>
  <si>
    <t>4 year</t>
  </si>
  <si>
    <t>4.19</t>
  </si>
  <si>
    <t>4.79</t>
  </si>
  <si>
    <t>7 year</t>
  </si>
  <si>
    <t>5.14</t>
  </si>
  <si>
    <t>10 year</t>
  </si>
  <si>
    <t>6.05</t>
  </si>
  <si>
    <t>Cashback Mortgages</t>
  </si>
  <si>
    <t>Cash Back %1</t>
  </si>
  <si>
    <t>1.5%</t>
  </si>
  <si>
    <t>2%</t>
  </si>
  <si>
    <t>3%</t>
  </si>
  <si>
    <t>5%</t>
  </si>
  <si>
    <t>4%</t>
  </si>
  <si>
    <t>Convertible Mortgages</t>
  </si>
  <si>
    <t>Posted Rates (%)</t>
  </si>
  <si>
    <t>6 month</t>
  </si>
  <si>
    <t>6.19</t>
  </si>
  <si>
    <t>12 month</t>
  </si>
  <si>
    <t>3.54</t>
  </si>
  <si>
    <t>Discontinued Mortgage Products</t>
  </si>
  <si>
    <t>Starter Mortgage</t>
  </si>
  <si>
    <t>3.39</t>
  </si>
  <si>
    <t>3.64</t>
  </si>
  <si>
    <t>4.24</t>
  </si>
  <si>
    <t>4.84</t>
  </si>
  <si>
    <t>5.19</t>
  </si>
  <si>
    <t>6.10</t>
  </si>
  <si>
    <t>GIC/RGIC</t>
  </si>
  <si>
    <t>GIC/RGIC term</t>
  </si>
  <si>
    <t>Rate (%)1</t>
  </si>
  <si>
    <t>1 year</t>
  </si>
  <si>
    <t>2.570</t>
  </si>
  <si>
    <t>2.716</t>
  </si>
  <si>
    <t>RRSP Savings Account</t>
  </si>
  <si>
    <t>Tax-Free Savings Account</t>
  </si>
  <si>
    <t>Annual Rate (%)*</t>
  </si>
  <si>
    <t>On all outstanding balances</t>
  </si>
  <si>
    <t>Competitive rate based on prime*</t>
  </si>
  <si>
    <t>Get a competitive low rate on our secured line of credit**</t>
  </si>
  <si>
    <t>Term of Loan</t>
  </si>
  <si>
    <t>Annual Rate</t>
  </si>
  <si>
    <t>Competitive fixed rates***</t>
  </si>
  <si>
    <t>Prime Rate</t>
  </si>
  <si>
    <t>Effective Date</t>
  </si>
  <si>
    <t>Prime Rate (%)*</t>
  </si>
  <si>
    <t>July 12, 2018</t>
  </si>
  <si>
    <t>SAVING ACCOUNTS</t>
  </si>
  <si>
    <t>HiSAVE Savings Account</t>
  </si>
  <si>
    <t>Premium Savings Account</t>
  </si>
  <si>
    <t>Young Stars Savings Account</t>
  </si>
  <si>
    <t>Canadian Dollar</t>
  </si>
  <si>
    <t>1.35% p.a.</t>
  </si>
  <si>
    <t>0.65% p.a.</t>
  </si>
  <si>
    <t>0.40% p.a.</t>
  </si>
  <si>
    <t>Daily closing balance</t>
  </si>
  <si>
    <t>Monthly</t>
  </si>
  <si>
    <t>US Dollar</t>
  </si>
  <si>
    <t>0.30% p.a.</t>
  </si>
  <si>
    <t>0.25% p.a.</t>
  </si>
  <si>
    <t>CHEQUING ACCOUNTS</t>
  </si>
  <si>
    <t>INTEREST RATES</t>
  </si>
  <si>
    <t>Canadian Dollar HiVALUE® PLUS Chequing Account Effective June 4, 2018</t>
  </si>
  <si>
    <t>Canadian Dollar HiVALUE® Chequing Account Effective June 4, 2018</t>
  </si>
  <si>
    <t>US Dollar HiVALUE® Chequing Account Effective September 22, 2009</t>
  </si>
  <si>
    <t>Canadian Dollar Basic Chequing Account Effective June 4, 2018</t>
  </si>
  <si>
    <t>First C$ 1,000.00 (balance between C$ 0.00 to C$ 1,000.00)</t>
  </si>
  <si>
    <t>0.00%</t>
  </si>
  <si>
    <t>Next C$ 1,500.00 (balance between C$ 1,000.01 to C$ 2,500)</t>
  </si>
  <si>
    <t>Over C$ 2,500.00 (balance from C$ 2,500.01 and above)</t>
  </si>
  <si>
    <t>0.15%</t>
  </si>
  <si>
    <t>Interest calculation</t>
  </si>
  <si>
    <t>Daily, on closing balance</t>
  </si>
  <si>
    <t>Interest payment</t>
  </si>
  <si>
    <t>Data.Term/Currency</t>
  </si>
  <si>
    <t>Data.CAD GIC</t>
  </si>
  <si>
    <t>Data.USD Term Deposit</t>
  </si>
  <si>
    <t>Data.Term</t>
  </si>
  <si>
    <t>Data.CAD Non-Redeemable GICs</t>
  </si>
  <si>
    <t>2.05%</t>
  </si>
  <si>
    <t>0.65%</t>
  </si>
  <si>
    <t>2 Years</t>
  </si>
  <si>
    <t>2.30%</t>
  </si>
  <si>
    <t>0.90%</t>
  </si>
  <si>
    <t>3 Years</t>
  </si>
  <si>
    <t>2.35%</t>
  </si>
  <si>
    <t>1.50%</t>
  </si>
  <si>
    <t>4 Years</t>
  </si>
  <si>
    <t>2.40%</t>
  </si>
  <si>
    <t>2.00%</t>
  </si>
  <si>
    <t>5 Years</t>
  </si>
  <si>
    <t>2.70%</t>
  </si>
  <si>
    <t>2.25%</t>
  </si>
  <si>
    <t>Rates are as of June 04, 2018._x000D_
_x000D_
Early redemption is available only on GICs/Term Deposits with terms of 1 year and above at 0.50% for CAD GICs and 0.25% for USD Term Deposits (interest is paid only if early redemption is made at least 6 months after opening the GIC/Term Deposit). No interest is paid for early redemption on GICs/Term Deposits with terms of 1 year and above if the redemption is made within 6 months of opening the GIC/Term Deposit. GIC and Term Deposit interest is compounded annually and payable at the end of term. Minimum of 1,000 is required in the currency of deposit. All interest rates are expressed on a per annum basis and are subject to change any time without notice. Other conditions may apply.</t>
  </si>
  <si>
    <t>2.60%</t>
  </si>
  <si>
    <t>2.65%</t>
  </si>
  <si>
    <t>3.00%</t>
  </si>
  <si>
    <t>Rates are as of June 04, 2018._x000D_
Minimum of C$1,000 is required. All interest rates are expressed on a per annum basis and are subject to change at any time without notice. Non-Redeemable GIC interest is compounded annually and payable at the end of term. Other conditions may apply.</t>
  </si>
  <si>
    <t>TFSA</t>
  </si>
  <si>
    <t>Kind</t>
  </si>
  <si>
    <t>Name</t>
  </si>
  <si>
    <t>Text</t>
  </si>
  <si>
    <t>1.35%</t>
  </si>
  <si>
    <t>TF GIC</t>
  </si>
  <si>
    <t>Tax-Free GIC</t>
  </si>
  <si>
    <t>RSP</t>
  </si>
  <si>
    <t>RSP Savings Account</t>
  </si>
  <si>
    <t>RSP GIC</t>
  </si>
  <si>
    <t>PRIME</t>
  </si>
  <si>
    <t>ICICI Bank Canada Prime Rate:</t>
  </si>
  <si>
    <t>Element</t>
  </si>
  <si>
    <t>BR</t>
  </si>
  <si>
    <t xml:space="preserve"> CAD 3.70% p.a.</t>
  </si>
  <si>
    <t xml:space="preserve"> USD 5.00% p.a.</t>
  </si>
  <si>
    <t xml:space="preserve"> </t>
  </si>
  <si>
    <t>A</t>
  </si>
  <si>
    <t>Data.Column3</t>
  </si>
  <si>
    <t>Savings Account</t>
  </si>
  <si>
    <t>Special Project Savings Account</t>
  </si>
  <si>
    <t>0.100</t>
  </si>
  <si>
    <t>Youth savings*</t>
  </si>
  <si>
    <t>Daily interest savings account*</t>
  </si>
  <si>
    <t>Corporate chequing-savings account*</t>
  </si>
  <si>
    <t>0.050</t>
  </si>
  <si>
    <t>Corporate savings account*</t>
  </si>
  <si>
    <t>CDN $ Progress Account</t>
  </si>
  <si>
    <t>$0.00 to $1,999.99</t>
  </si>
  <si>
    <t>$2,000.00 to $9,999.99</t>
  </si>
  <si>
    <t>0.020</t>
  </si>
  <si>
    <t>$100,000.00 and +</t>
  </si>
  <si>
    <t>0.150</t>
  </si>
  <si>
    <t xml:space="preserve">High Interest Savings Account </t>
  </si>
  <si>
    <t>$0 to $4,999</t>
  </si>
  <si>
    <t>$5,000 and +</t>
  </si>
  <si>
    <t>US $ Progress Account</t>
  </si>
  <si>
    <t>$0 and +</t>
  </si>
  <si>
    <t>$1,000 and +</t>
  </si>
  <si>
    <t>$2,000 and +</t>
  </si>
  <si>
    <t>$10,000 and +</t>
  </si>
  <si>
    <t>Strategist Account or Natcan Strategist Account</t>
  </si>
  <si>
    <t>$25,000 and +</t>
  </si>
  <si>
    <t>$60,000 and +</t>
  </si>
  <si>
    <t>$100,000 and +</t>
  </si>
  <si>
    <t>0.250</t>
  </si>
  <si>
    <t>Crescendo Account</t>
  </si>
  <si>
    <t>$3,000 and +</t>
  </si>
  <si>
    <t>0.200</t>
  </si>
  <si>
    <t>$30,000 and +</t>
  </si>
  <si>
    <t>0.400</t>
  </si>
  <si>
    <t>Overdraft Rate applicable on personal and business accounts</t>
  </si>
  <si>
    <t>CDN $</t>
  </si>
  <si>
    <t>21.000</t>
  </si>
  <si>
    <t>US $</t>
  </si>
  <si>
    <t>Data.Column4</t>
  </si>
  <si>
    <t>Credit cards</t>
  </si>
  <si>
    <t>ManulifeMONEY+ Visa Infinite* Card</t>
  </si>
  <si>
    <t>View</t>
  </si>
  <si>
    <t>ManulifeMONEY+ Visa* Platinum Card</t>
  </si>
  <si>
    <t>Deposit Accounts</t>
  </si>
  <si>
    <t>1.25%</t>
  </si>
  <si>
    <t>Business Advantage Account</t>
  </si>
  <si>
    <t>Tax-Free Advantage Account</t>
  </si>
  <si>
    <t>Registered Advantage Account</t>
  </si>
  <si>
    <t>$US Advantage Account</t>
  </si>
  <si>
    <t>0.25%</t>
  </si>
  <si>
    <t>$US Business Advantage Account</t>
  </si>
  <si>
    <t>Dealer Trust Accounts</t>
  </si>
  <si>
    <t>Investment Savings Account (MIP 510)</t>
  </si>
  <si>
    <t>1.10%</t>
  </si>
  <si>
    <t>$US Investment Savings Account (MIP 511)</t>
  </si>
  <si>
    <t>1.20%</t>
  </si>
  <si>
    <t>Short-term Deposits (RSP and non-registered)</t>
  </si>
  <si>
    <t>Days</t>
  </si>
  <si>
    <t>$25,000 -_x000D_
$49,999.99</t>
  </si>
  <si>
    <t>$50,000 -_x000D_
$99,999.99</t>
  </si>
  <si>
    <t>$100,000 +</t>
  </si>
  <si>
    <t>30 - 59 days</t>
  </si>
  <si>
    <t>60 - 89 days</t>
  </si>
  <si>
    <t>90 - 179 days</t>
  </si>
  <si>
    <t>180 - 269 days</t>
  </si>
  <si>
    <t>270 - 364 days</t>
  </si>
  <si>
    <t>Guaranteed Investment Certificates (RSP and non-registered)</t>
  </si>
  <si>
    <t>Annual interest</t>
  </si>
  <si>
    <t>Monthly interest</t>
  </si>
  <si>
    <t>Semi-annual interest</t>
  </si>
  <si>
    <t>2.10%</t>
  </si>
  <si>
    <t>3 Year</t>
  </si>
  <si>
    <t>2.75%</t>
  </si>
  <si>
    <t>4 Year</t>
  </si>
  <si>
    <t>2.85%</t>
  </si>
  <si>
    <t>2.80%</t>
  </si>
  <si>
    <t>5 Year</t>
  </si>
  <si>
    <t>2.90%</t>
  </si>
  <si>
    <t>Tax-Free Guaranteed Investment Certificates</t>
  </si>
  <si>
    <t>1 Year</t>
  </si>
  <si>
    <t>2 Year</t>
  </si>
  <si>
    <t>3 Year</t>
  </si>
  <si>
    <t>4 Year</t>
  </si>
  <si>
    <t>5 Year</t>
  </si>
  <si>
    <t>Manulife One</t>
  </si>
  <si>
    <t>Manulife One Base Rate</t>
  </si>
  <si>
    <t>4.20%</t>
  </si>
  <si>
    <t>Interest rate for positive balances</t>
  </si>
  <si>
    <t>Variable Rate Sub-Account Terms</t>
  </si>
  <si>
    <t>*APR [%]</t>
  </si>
  <si>
    <t>5 Year Open Manulife One Base Rate (4.20%) plus/minus 0.00%</t>
  </si>
  <si>
    <t>Fixed Rate Sub-Account Terms</t>
  </si>
  <si>
    <t>6 month Closed</t>
  </si>
  <si>
    <t>4.45%</t>
  </si>
  <si>
    <t>1 Year Open</t>
  </si>
  <si>
    <t>1 Year Closed</t>
  </si>
  <si>
    <t>3.34%</t>
  </si>
  <si>
    <t>2 Year Closed</t>
  </si>
  <si>
    <t>3.44%</t>
  </si>
  <si>
    <t>3 Year Closed</t>
  </si>
  <si>
    <t>3.54%</t>
  </si>
  <si>
    <t>4 Year Closed</t>
  </si>
  <si>
    <t>3.64%</t>
  </si>
  <si>
    <t>5 Year Closed</t>
  </si>
  <si>
    <t>3.84%</t>
  </si>
  <si>
    <t>7 Year Closed</t>
  </si>
  <si>
    <t>4.29%</t>
  </si>
  <si>
    <t>10 year Closed</t>
  </si>
  <si>
    <t>4.39%</t>
  </si>
  <si>
    <t>Manulife Bank Select</t>
  </si>
  <si>
    <t>Variable Rate Terms</t>
  </si>
  <si>
    <t>5 Year Closed (Manulife Bank Prime)</t>
  </si>
  <si>
    <t>3.70%</t>
  </si>
  <si>
    <t>5 Year Open (Manulife Bank Prime plus 0.80%)</t>
  </si>
  <si>
    <t>4.50%</t>
  </si>
  <si>
    <t>Fixed Rate Terms</t>
  </si>
  <si>
    <t>6 month closed</t>
  </si>
  <si>
    <t>1 Year Open</t>
  </si>
  <si>
    <t>1 Year Closed</t>
  </si>
  <si>
    <t>2 Year Closed</t>
  </si>
  <si>
    <t>3 Year Closed</t>
  </si>
  <si>
    <t>4 Year Closed</t>
  </si>
  <si>
    <t>5 Year Closed</t>
  </si>
  <si>
    <t>7 Year Closed</t>
  </si>
  <si>
    <t>10 Year Closed</t>
  </si>
  <si>
    <t>Preferred Rate Mortgage</t>
  </si>
  <si>
    <t>6 Months Closed</t>
  </si>
  <si>
    <t>1 Year Open</t>
  </si>
  <si>
    <t>2 Year Closed</t>
  </si>
  <si>
    <t>3 Year Closed</t>
  </si>
  <si>
    <t>4 Year Closed</t>
  </si>
  <si>
    <t>5 Year Closed</t>
  </si>
  <si>
    <t>10 Year Closed</t>
  </si>
  <si>
    <t>Investment Loans</t>
  </si>
  <si>
    <t>Loan Type</t>
  </si>
  <si>
    <t>Less than $100,000</t>
  </si>
  <si>
    <t>$100,000 or Greater</t>
  </si>
  <si>
    <t>100% Financed Loans</t>
  </si>
  <si>
    <t>4.70%</t>
  </si>
  <si>
    <t>Multiplier Loans</t>
  </si>
  <si>
    <t>RRSP Loans</t>
  </si>
  <si>
    <t>Standard RRSP Loans</t>
  </si>
  <si>
    <t>Lines of Credit</t>
  </si>
  <si>
    <t>Access Line of Credit/Plus</t>
  </si>
  <si>
    <t>Manuplus</t>
  </si>
  <si>
    <t>$0 - $2,999.99</t>
  </si>
  <si>
    <t>$3,000 - $9,999.99</t>
  </si>
  <si>
    <t>$10,000 - $24,999.99</t>
  </si>
  <si>
    <t>$25,000 - $49,999.99</t>
  </si>
  <si>
    <t>$50,000 - $99,999.99</t>
  </si>
  <si>
    <t>$100,000 +</t>
  </si>
  <si>
    <t>High Interest Savings*</t>
  </si>
  <si>
    <t>RBC - US$ High Interest eSavings™</t>
  </si>
  <si>
    <t>All Balances</t>
  </si>
  <si>
    <t>RBC - US$  Personal™ Account</t>
  </si>
  <si>
    <t>Regular Interest Rate*</t>
  </si>
  <si>
    <t>Premium Interest Rate▾</t>
  </si>
  <si>
    <t>The longer you save, the more interest you can earn.</t>
  </si>
  <si>
    <t>Regular_x000D_
Interest_x000D_
Rate*</t>
  </si>
  <si>
    <t>Premium_x000D_
Interest_x000D_
Rate▾</t>
  </si>
  <si>
    <t>Total_x000D_
Annual_x000D_
Interest_x000D_
Rate</t>
  </si>
  <si>
    <t>MomentumPLUS</t>
  </si>
  <si>
    <t>1.050%</t>
  </si>
  <si>
    <t>90-Day Premium Period</t>
  </si>
  <si>
    <t>0.750%</t>
  </si>
  <si>
    <t>1.800%</t>
  </si>
  <si>
    <t>180-Day Premium Period</t>
  </si>
  <si>
    <t>0.800%</t>
  </si>
  <si>
    <t>1.850%</t>
  </si>
  <si>
    <t>270-Day Premium Period</t>
  </si>
  <si>
    <t>0.850%</t>
  </si>
  <si>
    <t>1.900%</t>
  </si>
  <si>
    <t>360-Day Premium Period</t>
  </si>
  <si>
    <t>0.900%</t>
  </si>
  <si>
    <t>1.950%</t>
  </si>
  <si>
    <t>Annual interest rate is paid on the entire _x000D_
balance based on the tier within which the _x000D_
daily account closing balance falls</t>
  </si>
  <si>
    <t>Annual Interest Rate*</t>
  </si>
  <si>
    <t>$5,000 or more</t>
  </si>
  <si>
    <t>0.020%</t>
  </si>
  <si>
    <t>Under $5,000</t>
  </si>
  <si>
    <t>Highest rate will be paid on the entire balance _x000D_
as it increases.</t>
  </si>
  <si>
    <t>$250,000 or more</t>
  </si>
  <si>
    <t>1.150%</t>
  </si>
  <si>
    <t>$5,000 - $249,999</t>
  </si>
  <si>
    <t>$0 - $4,999</t>
  </si>
  <si>
    <t>0.050%</t>
  </si>
  <si>
    <t>Accounts</t>
  </si>
  <si>
    <t>CAD $6</t>
  </si>
  <si>
    <t>U.S. $6</t>
  </si>
  <si>
    <t>Cash Optimizer Investment Account _x000D_
									        In effect August 22, 2016</t>
  </si>
  <si>
    <t>Prime Rate _x000D_
									        As of July 12, 2018</t>
  </si>
  <si>
    <t>Cash Optimizer Investment Account</t>
  </si>
  <si>
    <t>Amount</t>
  </si>
  <si>
    <t>Interest Rates</t>
  </si>
  <si>
    <t>On the entire balance up to $250,000.00, you earn</t>
  </si>
  <si>
    <t>On the entire balance up to $250,000.00 when you increase your balance by $200.00 or more per month</t>
  </si>
  <si>
    <t>On all balances $250,000.01 and over</t>
  </si>
  <si>
    <t>On the balance up to $4,999.99</t>
  </si>
  <si>
    <t>On the entire balance when the balance is $5,000.00 and over</t>
  </si>
  <si>
    <t>Up to $59,999.99</t>
  </si>
  <si>
    <t>$60,000.00 and over</t>
  </si>
  <si>
    <t>1.40%</t>
  </si>
  <si>
    <t>1.30%</t>
  </si>
  <si>
    <t>Savings Builder Account</t>
  </si>
  <si>
    <t>Smart Saver Account</t>
  </si>
  <si>
    <t>Premium Rate Savings Account</t>
  </si>
  <si>
    <t xml:space="preserve">Scotiabank® MomentumPLUS Savings Account </t>
  </si>
  <si>
    <t>Money Master® Savings Account</t>
  </si>
  <si>
    <t xml:space="preserve">Scotiabank® Savings Accelerator Account </t>
  </si>
  <si>
    <t>Banking Services</t>
  </si>
  <si>
    <t>High Interest Investment Account (HIIA)</t>
  </si>
  <si>
    <t>Money Maximizer</t>
  </si>
  <si>
    <t>High Interest Savings Account (HISA) (no longer available for sale)</t>
  </si>
  <si>
    <t>Business High Interest Savings Account (Business HISA) (no longer available for sale)</t>
  </si>
  <si>
    <t>Unlimited Chequing Account (no longer available for sale)</t>
  </si>
  <si>
    <t>2.15%</t>
  </si>
  <si>
    <t>2.50%</t>
  </si>
  <si>
    <t>2.55%</t>
  </si>
  <si>
    <t>3.05%</t>
  </si>
  <si>
    <t>3.10%</t>
  </si>
  <si>
    <t>1.25</t>
  </si>
  <si>
    <t>1.35% A Series_x000D_
BTB 100</t>
  </si>
  <si>
    <t>1.60% F Series²_x000D_
BTB 101</t>
  </si>
  <si>
    <t>0.85%</t>
  </si>
  <si>
    <t>Data.Daily Closing Balance</t>
  </si>
  <si>
    <t>Data.Rate</t>
  </si>
  <si>
    <t>Balance $5,000 or more</t>
  </si>
  <si>
    <t>1.05%</t>
  </si>
  <si>
    <t>Balance up to $2,999,99</t>
  </si>
  <si>
    <t>0.05%</t>
  </si>
  <si>
    <t>Balance $3,000 or more</t>
  </si>
  <si>
    <t>0.10%</t>
  </si>
  <si>
    <t>Portion up to $999.99</t>
  </si>
  <si>
    <t>Portion $1,000 to $4,999.99</t>
  </si>
  <si>
    <t>Portion $5,000 to $24,999.99</t>
  </si>
  <si>
    <t>Portion $25,000 to $59,999.99</t>
  </si>
  <si>
    <t>Portion $60,000 and over</t>
  </si>
  <si>
    <t>0.40%</t>
  </si>
  <si>
    <t>Balance up to $2,999.99</t>
  </si>
  <si>
    <t>Balance $3,000 to $9,999.99</t>
  </si>
  <si>
    <t>Balance $10,000 to $24,999.99</t>
  </si>
  <si>
    <t>Balance $25,000 to $59,999.99</t>
  </si>
  <si>
    <t>CIBC eAdvantage® Savings Account</t>
  </si>
  <si>
    <t>CIBC Bonus Savings Account</t>
  </si>
  <si>
    <t>CIBC Premium Growth Account</t>
  </si>
  <si>
    <t>CIBC Advantage® for Youth</t>
  </si>
  <si>
    <t>CIBC PremierService® Account</t>
  </si>
  <si>
    <t>Account Balance</t>
  </si>
  <si>
    <t>TD Every Day Savings Account1</t>
  </si>
  <si>
    <t>$0 to $999.99</t>
  </si>
  <si>
    <t>$1,000 to $4,999.99</t>
  </si>
  <si>
    <t>$5,000 to $9,999.99</t>
  </si>
  <si>
    <t>$10,000 to $24,999.99</t>
  </si>
  <si>
    <t>$25,000 to $59,999.99</t>
  </si>
  <si>
    <t>$60,000 and over</t>
  </si>
  <si>
    <t>TD High Interest Savings Account2</t>
  </si>
  <si>
    <t>$0 to $4,999.99</t>
  </si>
  <si>
    <t>0.50%</t>
  </si>
  <si>
    <t>$60,000 to $5,000,000.00</t>
  </si>
  <si>
    <t>$5,000,000.01 and over</t>
  </si>
  <si>
    <t>TD ePremium Savings Account2</t>
  </si>
  <si>
    <t>Youth Account3,4</t>
  </si>
  <si>
    <t>$5,000 and over</t>
  </si>
  <si>
    <t>CAD High Rate Savings</t>
  </si>
  <si>
    <t>on the entire balance when your daily closing balance is up to $24,999.99</t>
  </si>
  <si>
    <t>on the entire balance when your daily closing balance is between $25,000 and $49,999.99</t>
  </si>
  <si>
    <t>on the entire balance when your daily closing balance is between $50,000 and $99,999.99</t>
  </si>
  <si>
    <t>On the entire balance when your daily closing balance is $100,000.00 and over</t>
  </si>
  <si>
    <t>Product</t>
  </si>
  <si>
    <t>Get Started</t>
  </si>
  <si>
    <t>Open Online</t>
  </si>
  <si>
    <t>TFSA High Interest Savings</t>
  </si>
  <si>
    <t>RRSP High Interest Savings</t>
  </si>
  <si>
    <t>RRIF High Interest Savings</t>
  </si>
  <si>
    <t>Find a Branch</t>
  </si>
  <si>
    <t>Step 1: Scan websites for latest rates</t>
  </si>
  <si>
    <t>Step 2: Export Reports</t>
  </si>
  <si>
    <t>One Click Automation</t>
  </si>
  <si>
    <t>Competitive Review Webscraper</t>
  </si>
  <si>
    <t>Interest Rates(3)</t>
  </si>
  <si>
    <t>CAD</t>
  </si>
  <si>
    <t>USD</t>
  </si>
  <si>
    <t>Series A</t>
  </si>
  <si>
    <t>1.350% [QA]</t>
  </si>
  <si>
    <t>1.200% [QA]</t>
  </si>
  <si>
    <t>Series F</t>
  </si>
  <si>
    <t>1.600% [QA]</t>
  </si>
  <si>
    <t>1.450% [QA]</t>
  </si>
  <si>
    <t>Corporate Series A</t>
  </si>
  <si>
    <t>Corporate Series F</t>
  </si>
  <si>
    <t>1.300% [QA]</t>
  </si>
  <si>
    <t>Notice Period Series A</t>
  </si>
  <si>
    <t>Notice Period Series F</t>
  </si>
  <si>
    <t>RBC - US$  Investment Savings Account</t>
  </si>
  <si>
    <t>US$ Premium Rate Savings Account</t>
  </si>
  <si>
    <t>Paid on the portion of the balance  within each tier</t>
  </si>
  <si>
    <t>Paid on the portion of the balance _x000D_
within each tier</t>
  </si>
  <si>
    <t>$60,000 or more</t>
  </si>
  <si>
    <t>0.150%</t>
  </si>
  <si>
    <t>0.100%</t>
  </si>
  <si>
    <t>0.025%</t>
  </si>
  <si>
    <t>$1,000 - $4,999</t>
  </si>
  <si>
    <t>0.010%</t>
  </si>
  <si>
    <t>Under $1,000</t>
  </si>
  <si>
    <t>0.000%</t>
  </si>
  <si>
    <t>Scotia U.S. Dollar Daily Interest Account</t>
  </si>
  <si>
    <t>Column4</t>
  </si>
  <si>
    <t>Column5</t>
  </si>
  <si>
    <t>Column6</t>
  </si>
  <si>
    <t>NBI Altamira_x000D_
 CashPerformerAccount and NBI_x000D_
 Altamira U.S. CashPerformer_x000D_
 Account1</t>
  </si>
  <si>
    <t>FundSERV_x000D_
 Codes</t>
  </si>
  <si>
    <t>Rates2</t>
  </si>
  <si>
    <t>Minimum_x000D_
 investment</t>
  </si>
  <si>
    <t>Maximum_x000D_
 investment3</t>
  </si>
  <si>
    <t>NBI Altamira CashPerformer Account</t>
  </si>
  <si>
    <t>National Bank of Canada (NBC) _x000D_
 A Series</t>
  </si>
  <si>
    <t>NBC100</t>
  </si>
  <si>
    <t>$1,000</t>
  </si>
  <si>
    <t>$5,000,000</t>
  </si>
  <si>
    <t>National Bank of Canada (NBC)_x000D_
 F Series</t>
  </si>
  <si>
    <t>NBC200</t>
  </si>
  <si>
    <t>1.60%</t>
  </si>
  <si>
    <t>National Bank Trust (NBT)  _x000D_
 A Series</t>
  </si>
  <si>
    <t>NBC6100</t>
  </si>
  <si>
    <t>$150,000</t>
  </si>
  <si>
    <t>National Bank Trust (NBT)  _x000D_
 F Series</t>
  </si>
  <si>
    <t>NBC6200</t>
  </si>
  <si>
    <t>Natcan Trust Company (NTC)  _x000D_
 A Series</t>
  </si>
  <si>
    <t>NBC8100</t>
  </si>
  <si>
    <t>Natcan Trust Company (NTC)  _x000D_
 F Series</t>
  </si>
  <si>
    <t>NBC8200</t>
  </si>
  <si>
    <t>NBI Altamira U.S. CashPerformer Account</t>
  </si>
  <si>
    <t>National Bank of Canada (NBC)  _x000D_
 A Series</t>
  </si>
  <si>
    <t>NBC101</t>
  </si>
  <si>
    <t>1.15%</t>
  </si>
  <si>
    <t>National Bank of Canada (NBC)  _x000D_
 F Series</t>
  </si>
  <si>
    <t>NBC201</t>
  </si>
  <si>
    <t>Account Name</t>
  </si>
  <si>
    <t>Currency</t>
  </si>
  <si>
    <t>Minimum1</t>
  </si>
  <si>
    <t>Maximum</t>
  </si>
  <si>
    <t>Current Rate2</t>
  </si>
  <si>
    <t>TD Investment Savings Account
_x000D_
TDB8150</t>
  </si>
  <si>
    <t>$5 Million</t>
  </si>
  <si>
    <t>TD Investment Savings Account
_x000D_
TDB8152</t>
  </si>
  <si>
    <t>TD Investment Savings Account (TDMC)
_x000D_
TDB8155</t>
  </si>
  <si>
    <t>TD Investment Savings Account (TDPMC)
_x000D_
TDB8157</t>
  </si>
  <si>
    <t>TD Investment Savings Account (CTC)
_x000D_
TDB8159</t>
  </si>
  <si>
    <t>High Interest TFSA Savings Account1</t>
  </si>
  <si>
    <t>1.00%</t>
  </si>
  <si>
    <t>DAILY INTEREST SAVINGS ACCOUNT RSP/LIRA/RLSP/LRRSP1</t>
  </si>
  <si>
    <t>$5,000 to $24,999.99</t>
  </si>
  <si>
    <t>0.20%</t>
  </si>
  <si>
    <t>DAILY INTEREST SAVINGS ACCOUNT RIF/RESP/LIF/RLIF/LRIF/PRIF1</t>
  </si>
  <si>
    <t>1.050</t>
  </si>
  <si>
    <t>Date</t>
  </si>
  <si>
    <t>Change Author</t>
  </si>
  <si>
    <t>Summary of changes</t>
  </si>
  <si>
    <t>Author AD ID</t>
  </si>
  <si>
    <t>Sean R. Smith</t>
  </si>
  <si>
    <t>smitsean</t>
  </si>
  <si>
    <t>Add error handler for the case of a broken query in the Refresh Data method.
   Handler notifies user of broken query with message box and continues after acknowledgment of error.
Add Dev Change Log for traceability.
Add Colours to User Tabs (Menu, reports sheets) for visual reference.</t>
  </si>
  <si>
    <r>
      <t xml:space="preserve">This table is a summary of changes made to the tool by developers. 
</t>
    </r>
    <r>
      <rPr>
        <b/>
        <sz val="11"/>
        <color theme="1"/>
        <rFont val="Calibri"/>
        <family val="2"/>
        <scheme val="minor"/>
      </rPr>
      <t>New entries should be added to the top</t>
    </r>
    <r>
      <rPr>
        <sz val="11"/>
        <color theme="1"/>
        <rFont val="Calibri"/>
        <family val="2"/>
        <scheme val="minor"/>
      </rPr>
      <t xml:space="preserve"> of the table.
 [ </t>
    </r>
    <r>
      <rPr>
        <b/>
        <sz val="11"/>
        <color theme="1"/>
        <rFont val="Calibri"/>
        <family val="2"/>
        <scheme val="minor"/>
      </rPr>
      <t xml:space="preserve">Alt + Enter </t>
    </r>
    <r>
      <rPr>
        <sz val="11"/>
        <color theme="1"/>
        <rFont val="Calibri"/>
        <family val="2"/>
        <scheme val="minor"/>
      </rPr>
      <t xml:space="preserve">] - add a new line to a cell
[ </t>
    </r>
    <r>
      <rPr>
        <b/>
        <sz val="11"/>
        <color theme="1"/>
        <rFont val="Calibri"/>
        <family val="2"/>
        <scheme val="minor"/>
      </rPr>
      <t xml:space="preserve">Ctrl + ; </t>
    </r>
    <r>
      <rPr>
        <sz val="11"/>
        <color theme="1"/>
        <rFont val="Calibri"/>
        <family val="2"/>
        <scheme val="minor"/>
      </rPr>
      <t xml:space="preserve">] - insert current date to a cell </t>
    </r>
  </si>
  <si>
    <t>3.44</t>
  </si>
  <si>
    <t>3.69</t>
  </si>
  <si>
    <t>2.619</t>
  </si>
  <si>
    <t>2.668</t>
  </si>
  <si>
    <t>3.057</t>
  </si>
</sst>
</file>

<file path=xl/styles.xml><?xml version="1.0" encoding="utf-8"?>
<styleSheet xmlns="http://schemas.openxmlformats.org/spreadsheetml/2006/main" xmlns:mc="http://schemas.openxmlformats.org/markup-compatibility/2006" xmlns:x14ac="http://schemas.microsoft.com/office/spreadsheetml/2009/9/ac" xmlns:x16r2="http://schemas.microsoft.com/office/spreadsheetml/2015/02/main" xmlns:xr="http://schemas.microsoft.com/office/spreadsheetml/2014/revision" mc:Ignorable="x14ac x16r2 xr">
  <numFmts count="3">
    <numFmt numFmtId="164" formatCode="dd\-mmm\-yy"/>
    <numFmt numFmtId="165" formatCode="0.0"/>
    <numFmt numFmtId="166" formatCode="[$-409]d\-mmm\-yy;@"/>
  </numFmts>
  <fonts count="16" x14ac:knownFonts="1">
    <font>
      <sz val="11"/>
      <color theme="1"/>
      <name val="Calibri"/>
      <family val="2"/>
      <scheme val="minor"/>
    </font>
    <font>
      <sz val="9"/>
      <color rgb="FF333333"/>
      <name val="Arial"/>
      <family val="2"/>
    </font>
    <font>
      <b/>
      <sz val="20"/>
      <name val="Times New Roman"/>
      <family val="1"/>
    </font>
    <font>
      <sz val="10"/>
      <name val="Times New Roman"/>
      <family val="1"/>
    </font>
    <font>
      <b/>
      <u/>
      <sz val="20"/>
      <name val="Times New Roman"/>
      <family val="1"/>
    </font>
    <font>
      <b/>
      <u/>
      <sz val="10"/>
      <name val="Times New Roman"/>
      <family val="1"/>
    </font>
    <font>
      <b/>
      <sz val="10"/>
      <name val="Times New Roman"/>
      <family val="1"/>
    </font>
    <font>
      <sz val="10"/>
      <name val="Arial"/>
      <family val="2"/>
    </font>
    <font>
      <b/>
      <u/>
      <sz val="10"/>
      <name val="Arial"/>
      <family val="2"/>
    </font>
    <font>
      <b/>
      <sz val="10"/>
      <name val="Arial"/>
      <family val="2"/>
    </font>
    <font>
      <b/>
      <sz val="9"/>
      <color indexed="81"/>
      <name val="Tahoma"/>
      <family val="2"/>
    </font>
    <font>
      <sz val="9"/>
      <color indexed="81"/>
      <name val="Tahoma"/>
      <family val="2"/>
    </font>
    <font>
      <sz val="11"/>
      <color rgb="FF000000"/>
      <name val="Calibri"/>
      <family val="2"/>
    </font>
    <font>
      <sz val="22"/>
      <color theme="0"/>
      <name val="Calibri"/>
      <family val="2"/>
      <scheme val="minor"/>
    </font>
    <font>
      <b/>
      <sz val="11"/>
      <color theme="1"/>
      <name val="Calibri"/>
      <family val="2"/>
      <scheme val="minor"/>
    </font>
    <font>
      <b/>
      <sz val="12"/>
      <color theme="1"/>
      <name val="Calibri"/>
      <family val="2"/>
      <scheme val="minor"/>
    </font>
  </fonts>
  <fills count="11">
    <fill>
      <patternFill patternType="none"/>
    </fill>
    <fill>
      <patternFill patternType="gray125"/>
    </fill>
    <fill>
      <patternFill patternType="solid">
        <fgColor theme="2" tint="-9.9978637043366805E-2"/>
        <bgColor indexed="64"/>
      </patternFill>
    </fill>
    <fill>
      <patternFill patternType="solid">
        <fgColor indexed="9"/>
        <bgColor indexed="64"/>
      </patternFill>
    </fill>
    <fill>
      <patternFill patternType="solid">
        <fgColor indexed="22"/>
        <bgColor indexed="64"/>
      </patternFill>
    </fill>
    <fill>
      <patternFill patternType="solid">
        <fgColor theme="0" tint="-0.249977111117893"/>
        <bgColor indexed="64"/>
      </patternFill>
    </fill>
    <fill>
      <patternFill patternType="solid">
        <fgColor theme="0"/>
        <bgColor indexed="64"/>
      </patternFill>
    </fill>
    <fill>
      <patternFill patternType="solid">
        <fgColor rgb="FF9A0A0A"/>
        <bgColor indexed="64"/>
      </patternFill>
    </fill>
    <fill>
      <patternFill patternType="solid">
        <fgColor theme="0" tint="-0.14999847407452621"/>
        <bgColor indexed="64"/>
      </patternFill>
    </fill>
    <fill>
      <patternFill patternType="solid">
        <fgColor theme="0" tint="-0.499984740745262"/>
        <bgColor indexed="64"/>
      </patternFill>
    </fill>
    <fill>
      <patternFill patternType="solid">
        <fgColor theme="4" tint="0.59999389629810485"/>
        <bgColor indexed="64"/>
      </patternFill>
    </fill>
  </fills>
  <borders count="24">
    <border>
      <left/>
      <right/>
      <top/>
      <bottom/>
      <diagonal/>
    </border>
    <border>
      <left style="thin">
        <color indexed="64"/>
      </left>
      <right style="thin">
        <color indexed="64"/>
      </right>
      <top style="thin">
        <color indexed="64"/>
      </top>
      <bottom style="thin">
        <color indexed="64"/>
      </bottom>
      <diagonal/>
    </border>
    <border>
      <left style="thin">
        <color indexed="64"/>
      </left>
      <right style="thin">
        <color indexed="64"/>
      </right>
      <top/>
      <bottom style="thin">
        <color indexed="64"/>
      </bottom>
      <diagonal/>
    </border>
    <border>
      <left style="medium">
        <color indexed="64"/>
      </left>
      <right/>
      <top style="medium">
        <color indexed="64"/>
      </top>
      <bottom style="medium">
        <color indexed="64"/>
      </bottom>
      <diagonal/>
    </border>
    <border>
      <left/>
      <right/>
      <top style="medium">
        <color indexed="64"/>
      </top>
      <bottom style="medium">
        <color indexed="64"/>
      </bottom>
      <diagonal/>
    </border>
    <border>
      <left style="thin">
        <color indexed="64"/>
      </left>
      <right/>
      <top style="medium">
        <color indexed="64"/>
      </top>
      <bottom style="medium">
        <color indexed="64"/>
      </bottom>
      <diagonal/>
    </border>
    <border>
      <left/>
      <right style="thin">
        <color indexed="64"/>
      </right>
      <top style="medium">
        <color indexed="64"/>
      </top>
      <bottom style="medium">
        <color indexed="64"/>
      </bottom>
      <diagonal/>
    </border>
    <border>
      <left style="thin">
        <color indexed="64"/>
      </left>
      <right style="thin">
        <color indexed="64"/>
      </right>
      <top style="medium">
        <color indexed="64"/>
      </top>
      <bottom style="medium">
        <color indexed="64"/>
      </bottom>
      <diagonal/>
    </border>
    <border>
      <left style="medium">
        <color indexed="64"/>
      </left>
      <right/>
      <top/>
      <bottom/>
      <diagonal/>
    </border>
    <border>
      <left style="thin">
        <color indexed="64"/>
      </left>
      <right/>
      <top/>
      <bottom/>
      <diagonal/>
    </border>
    <border>
      <left/>
      <right style="thin">
        <color indexed="64"/>
      </right>
      <top style="medium">
        <color indexed="64"/>
      </top>
      <bottom/>
      <diagonal/>
    </border>
    <border>
      <left style="thin">
        <color indexed="64"/>
      </left>
      <right style="thin">
        <color indexed="64"/>
      </right>
      <top/>
      <bottom/>
      <diagonal/>
    </border>
    <border>
      <left/>
      <right style="thin">
        <color indexed="64"/>
      </right>
      <top/>
      <bottom/>
      <diagonal/>
    </border>
    <border>
      <left style="medium">
        <color indexed="64"/>
      </left>
      <right/>
      <top/>
      <bottom style="thin">
        <color indexed="64"/>
      </bottom>
      <diagonal/>
    </border>
    <border>
      <left/>
      <right/>
      <top/>
      <bottom style="thin">
        <color indexed="64"/>
      </bottom>
      <diagonal/>
    </border>
    <border>
      <left style="thin">
        <color indexed="64"/>
      </left>
      <right/>
      <top/>
      <bottom style="thin">
        <color indexed="64"/>
      </bottom>
      <diagonal/>
    </border>
    <border>
      <left/>
      <right style="thin">
        <color indexed="64"/>
      </right>
      <top/>
      <bottom style="thin">
        <color indexed="64"/>
      </bottom>
      <diagonal/>
    </border>
    <border>
      <left style="medium">
        <color indexed="64"/>
      </left>
      <right/>
      <top/>
      <bottom style="medium">
        <color indexed="64"/>
      </bottom>
      <diagonal/>
    </border>
    <border>
      <left/>
      <right/>
      <top/>
      <bottom style="medium">
        <color indexed="64"/>
      </bottom>
      <diagonal/>
    </border>
    <border>
      <left style="thin">
        <color indexed="64"/>
      </left>
      <right/>
      <top style="thin">
        <color indexed="64"/>
      </top>
      <bottom style="medium">
        <color indexed="64"/>
      </bottom>
      <diagonal/>
    </border>
    <border>
      <left/>
      <right style="thin">
        <color indexed="64"/>
      </right>
      <top/>
      <bottom style="medium">
        <color indexed="64"/>
      </bottom>
      <diagonal/>
    </border>
    <border>
      <left style="thin">
        <color indexed="64"/>
      </left>
      <right style="thin">
        <color indexed="64"/>
      </right>
      <top/>
      <bottom style="medium">
        <color indexed="64"/>
      </bottom>
      <diagonal/>
    </border>
    <border>
      <left style="thin">
        <color indexed="64"/>
      </left>
      <right/>
      <top/>
      <bottom style="medium">
        <color indexed="64"/>
      </bottom>
      <diagonal/>
    </border>
    <border>
      <left style="thin">
        <color indexed="64"/>
      </left>
      <right style="thin">
        <color indexed="64"/>
      </right>
      <top style="thin">
        <color indexed="64"/>
      </top>
      <bottom style="medium">
        <color indexed="64"/>
      </bottom>
      <diagonal/>
    </border>
  </borders>
  <cellStyleXfs count="1">
    <xf numFmtId="0" fontId="0" fillId="0" borderId="0"/>
  </cellStyleXfs>
  <cellXfs count="120">
    <xf numFmtId="0" fontId="0" fillId="0" borderId="0" xfId="0"/>
    <xf numFmtId="0" fontId="0" fillId="2" borderId="0" xfId="0" applyFill="1"/>
    <xf numFmtId="0" fontId="1" fillId="0" borderId="0" xfId="0" applyFont="1"/>
    <xf numFmtId="0" fontId="3" fillId="0" borderId="0" xfId="0" applyFont="1"/>
    <xf numFmtId="0" fontId="4" fillId="0" borderId="0" xfId="0" applyFont="1"/>
    <xf numFmtId="0" fontId="3" fillId="3" borderId="0" xfId="0" applyFont="1" applyFill="1"/>
    <xf numFmtId="0" fontId="3" fillId="3" borderId="0" xfId="0" applyFont="1" applyFill="1" applyAlignment="1">
      <alignment horizontal="center"/>
    </xf>
    <xf numFmtId="0" fontId="5" fillId="0" borderId="0" xfId="0" quotePrefix="1" applyFont="1" applyAlignment="1">
      <alignment horizontal="left"/>
    </xf>
    <xf numFmtId="0" fontId="5" fillId="0" borderId="0" xfId="0" applyFont="1"/>
    <xf numFmtId="0" fontId="6" fillId="0" borderId="0" xfId="0" applyFont="1"/>
    <xf numFmtId="0" fontId="3" fillId="4" borderId="0" xfId="0" applyFont="1" applyFill="1"/>
    <xf numFmtId="0" fontId="3" fillId="4" borderId="0" xfId="0" applyFont="1" applyFill="1" applyAlignment="1">
      <alignment horizontal="center"/>
    </xf>
    <xf numFmtId="0" fontId="3" fillId="5" borderId="0" xfId="0" applyFont="1" applyFill="1" applyAlignment="1">
      <alignment horizontal="center" wrapText="1"/>
    </xf>
    <xf numFmtId="0" fontId="3" fillId="4" borderId="0" xfId="0" applyFont="1" applyFill="1" applyAlignment="1">
      <alignment horizontal="center" wrapText="1"/>
    </xf>
    <xf numFmtId="0" fontId="3" fillId="4" borderId="0" xfId="0" applyFont="1" applyFill="1" applyAlignment="1">
      <alignment horizontal="center" vertical="distributed" wrapText="1"/>
    </xf>
    <xf numFmtId="0" fontId="3" fillId="0" borderId="1" xfId="0" applyFont="1" applyBorder="1" applyAlignment="1">
      <alignment horizontal="center"/>
    </xf>
    <xf numFmtId="0" fontId="3" fillId="3" borderId="1" xfId="0" applyFont="1" applyFill="1" applyBorder="1" applyAlignment="1">
      <alignment horizontal="center"/>
    </xf>
    <xf numFmtId="1" fontId="7" fillId="0" borderId="2" xfId="0" applyNumberFormat="1" applyFont="1" applyBorder="1" applyAlignment="1">
      <alignment horizontal="center"/>
    </xf>
    <xf numFmtId="0" fontId="3" fillId="6" borderId="1" xfId="0" applyFont="1" applyFill="1" applyBorder="1" applyAlignment="1">
      <alignment horizontal="center"/>
    </xf>
    <xf numFmtId="0" fontId="3" fillId="0" borderId="0" xfId="0" applyFont="1" applyAlignment="1">
      <alignment horizontal="center"/>
    </xf>
    <xf numFmtId="0" fontId="3" fillId="0" borderId="1" xfId="0" applyFont="1" applyBorder="1" applyAlignment="1">
      <alignment horizontal="left"/>
    </xf>
    <xf numFmtId="164" fontId="3" fillId="0" borderId="1" xfId="0" applyNumberFormat="1" applyFont="1" applyBorder="1" applyAlignment="1">
      <alignment horizontal="center"/>
    </xf>
    <xf numFmtId="164" fontId="3" fillId="3" borderId="1" xfId="0" applyNumberFormat="1" applyFont="1" applyFill="1" applyBorder="1" applyAlignment="1">
      <alignment horizontal="center"/>
    </xf>
    <xf numFmtId="164" fontId="3" fillId="6" borderId="1" xfId="0" applyNumberFormat="1" applyFont="1" applyFill="1" applyBorder="1" applyAlignment="1">
      <alignment horizontal="center"/>
    </xf>
    <xf numFmtId="0" fontId="3" fillId="0" borderId="1" xfId="0" applyFont="1" applyBorder="1"/>
    <xf numFmtId="17" fontId="3" fillId="0" borderId="1" xfId="0" applyNumberFormat="1" applyFont="1" applyBorder="1" applyAlignment="1">
      <alignment horizontal="center"/>
    </xf>
    <xf numFmtId="17" fontId="3" fillId="3" borderId="1" xfId="0" applyNumberFormat="1" applyFont="1" applyFill="1" applyBorder="1" applyAlignment="1">
      <alignment horizontal="center"/>
    </xf>
    <xf numFmtId="0" fontId="0" fillId="3" borderId="0" xfId="0" applyFill="1"/>
    <xf numFmtId="0" fontId="4" fillId="3" borderId="0" xfId="0" applyFont="1" applyFill="1"/>
    <xf numFmtId="0" fontId="8" fillId="3" borderId="0" xfId="0" applyFont="1" applyFill="1"/>
    <xf numFmtId="0" fontId="0" fillId="4" borderId="3" xfId="0" applyFill="1" applyBorder="1" applyAlignment="1">
      <alignment wrapText="1"/>
    </xf>
    <xf numFmtId="0" fontId="0" fillId="4" borderId="4" xfId="0" applyFill="1" applyBorder="1" applyAlignment="1">
      <alignment wrapText="1"/>
    </xf>
    <xf numFmtId="0" fontId="9" fillId="4" borderId="5" xfId="0" applyFont="1" applyFill="1" applyBorder="1" applyAlignment="1">
      <alignment horizontal="center" wrapText="1"/>
    </xf>
    <xf numFmtId="0" fontId="9" fillId="4" borderId="6" xfId="0" applyFont="1" applyFill="1" applyBorder="1" applyAlignment="1">
      <alignment horizontal="center" wrapText="1"/>
    </xf>
    <xf numFmtId="0" fontId="9" fillId="4" borderId="7" xfId="0" applyFont="1" applyFill="1" applyBorder="1" applyAlignment="1">
      <alignment horizontal="center" wrapText="1"/>
    </xf>
    <xf numFmtId="0" fontId="0" fillId="3" borderId="8" xfId="0" applyFill="1" applyBorder="1"/>
    <xf numFmtId="0" fontId="0" fillId="3" borderId="9" xfId="0" applyFill="1" applyBorder="1"/>
    <xf numFmtId="0" fontId="0" fillId="3" borderId="10" xfId="0" applyFill="1" applyBorder="1"/>
    <xf numFmtId="0" fontId="7" fillId="0" borderId="0" xfId="0" applyFont="1"/>
    <xf numFmtId="0" fontId="0" fillId="3" borderId="11" xfId="0" applyFill="1" applyBorder="1"/>
    <xf numFmtId="0" fontId="7" fillId="0" borderId="11" xfId="0" applyFont="1" applyBorder="1"/>
    <xf numFmtId="0" fontId="0" fillId="0" borderId="11" xfId="0" applyBorder="1"/>
    <xf numFmtId="0" fontId="7" fillId="0" borderId="12" xfId="0" applyFont="1" applyBorder="1"/>
    <xf numFmtId="0" fontId="0" fillId="3" borderId="13" xfId="0" applyFill="1" applyBorder="1"/>
    <xf numFmtId="0" fontId="0" fillId="3" borderId="14" xfId="0" applyFill="1" applyBorder="1"/>
    <xf numFmtId="1" fontId="7" fillId="0" borderId="15" xfId="0" applyNumberFormat="1" applyFont="1" applyBorder="1" applyAlignment="1">
      <alignment horizontal="center"/>
    </xf>
    <xf numFmtId="1" fontId="7" fillId="0" borderId="16" xfId="0" applyNumberFormat="1" applyFont="1" applyBorder="1" applyAlignment="1">
      <alignment horizontal="center"/>
    </xf>
    <xf numFmtId="1" fontId="7" fillId="3" borderId="15" xfId="0" applyNumberFormat="1" applyFont="1" applyFill="1" applyBorder="1" applyAlignment="1">
      <alignment horizontal="center"/>
    </xf>
    <xf numFmtId="1" fontId="7" fillId="3" borderId="16" xfId="0" applyNumberFormat="1" applyFont="1" applyFill="1" applyBorder="1" applyAlignment="1">
      <alignment horizontal="center"/>
    </xf>
    <xf numFmtId="1" fontId="7" fillId="3" borderId="2" xfId="0" applyNumberFormat="1" applyFont="1" applyFill="1" applyBorder="1" applyAlignment="1">
      <alignment horizontal="center"/>
    </xf>
    <xf numFmtId="1" fontId="0" fillId="0" borderId="2" xfId="0" applyNumberFormat="1" applyBorder="1" applyAlignment="1">
      <alignment horizontal="center"/>
    </xf>
    <xf numFmtId="1" fontId="0" fillId="3" borderId="2" xfId="0" applyNumberFormat="1" applyFill="1" applyBorder="1" applyAlignment="1">
      <alignment horizontal="center"/>
    </xf>
    <xf numFmtId="165" fontId="7" fillId="3" borderId="15" xfId="0" applyNumberFormat="1" applyFont="1" applyFill="1" applyBorder="1" applyAlignment="1">
      <alignment horizontal="center"/>
    </xf>
    <xf numFmtId="0" fontId="0" fillId="3" borderId="17" xfId="0" applyFill="1" applyBorder="1"/>
    <xf numFmtId="0" fontId="0" fillId="3" borderId="18" xfId="0" applyFill="1" applyBorder="1"/>
    <xf numFmtId="1" fontId="7" fillId="0" borderId="19" xfId="0" applyNumberFormat="1" applyFont="1" applyBorder="1" applyAlignment="1">
      <alignment horizontal="center"/>
    </xf>
    <xf numFmtId="1" fontId="7" fillId="0" borderId="20" xfId="0" applyNumberFormat="1" applyFont="1" applyBorder="1" applyAlignment="1">
      <alignment horizontal="center"/>
    </xf>
    <xf numFmtId="1" fontId="7" fillId="0" borderId="21" xfId="0" applyNumberFormat="1" applyFont="1" applyBorder="1" applyAlignment="1">
      <alignment horizontal="center"/>
    </xf>
    <xf numFmtId="1" fontId="7" fillId="3" borderId="22" xfId="0" applyNumberFormat="1" applyFont="1" applyFill="1" applyBorder="1" applyAlignment="1">
      <alignment horizontal="center"/>
    </xf>
    <xf numFmtId="1" fontId="7" fillId="3" borderId="20" xfId="0" applyNumberFormat="1" applyFont="1" applyFill="1" applyBorder="1" applyAlignment="1">
      <alignment horizontal="center"/>
    </xf>
    <xf numFmtId="1" fontId="7" fillId="3" borderId="21" xfId="0" applyNumberFormat="1" applyFont="1" applyFill="1" applyBorder="1" applyAlignment="1">
      <alignment horizontal="center"/>
    </xf>
    <xf numFmtId="1" fontId="7" fillId="0" borderId="22" xfId="0" applyNumberFormat="1" applyFont="1" applyBorder="1" applyAlignment="1">
      <alignment horizontal="center"/>
    </xf>
    <xf numFmtId="1" fontId="7" fillId="0" borderId="23" xfId="0" applyNumberFormat="1" applyFont="1" applyBorder="1" applyAlignment="1">
      <alignment horizontal="center"/>
    </xf>
    <xf numFmtId="1" fontId="0" fillId="3" borderId="21" xfId="0" applyNumberFormat="1" applyFill="1" applyBorder="1" applyAlignment="1">
      <alignment horizontal="center"/>
    </xf>
    <xf numFmtId="0" fontId="9" fillId="0" borderId="9" xfId="0" applyFont="1" applyBorder="1"/>
    <xf numFmtId="0" fontId="9" fillId="0" borderId="12" xfId="0" applyFont="1" applyBorder="1"/>
    <xf numFmtId="0" fontId="7" fillId="3" borderId="9" xfId="0" applyFont="1" applyFill="1" applyBorder="1"/>
    <xf numFmtId="0" fontId="7" fillId="3" borderId="12" xfId="0" applyFont="1" applyFill="1" applyBorder="1"/>
    <xf numFmtId="0" fontId="7" fillId="3" borderId="11" xfId="0" applyFont="1" applyFill="1" applyBorder="1"/>
    <xf numFmtId="0" fontId="9" fillId="0" borderId="11" xfId="0" applyFont="1" applyBorder="1"/>
    <xf numFmtId="166" fontId="7" fillId="0" borderId="21" xfId="0" applyNumberFormat="1" applyFont="1" applyBorder="1" applyAlignment="1">
      <alignment horizontal="center"/>
    </xf>
    <xf numFmtId="166" fontId="7" fillId="3" borderId="21" xfId="0" applyNumberFormat="1" applyFont="1" applyFill="1" applyBorder="1" applyAlignment="1">
      <alignment horizontal="center"/>
    </xf>
    <xf numFmtId="166" fontId="0" fillId="0" borderId="21" xfId="0" applyNumberFormat="1" applyBorder="1" applyAlignment="1">
      <alignment horizontal="center"/>
    </xf>
    <xf numFmtId="166" fontId="0" fillId="3" borderId="21" xfId="0" applyNumberFormat="1" applyFill="1" applyBorder="1" applyAlignment="1">
      <alignment horizontal="center"/>
    </xf>
    <xf numFmtId="166" fontId="7" fillId="0" borderId="20" xfId="0" applyNumberFormat="1" applyFont="1" applyBorder="1" applyAlignment="1">
      <alignment horizontal="center"/>
    </xf>
    <xf numFmtId="166" fontId="7" fillId="0" borderId="18" xfId="0" applyNumberFormat="1" applyFont="1" applyBorder="1" applyAlignment="1">
      <alignment horizontal="center"/>
    </xf>
    <xf numFmtId="0" fontId="3" fillId="5" borderId="0" xfId="0" applyFont="1" applyFill="1" applyAlignment="1">
      <alignment horizontal="center"/>
    </xf>
    <xf numFmtId="0" fontId="3" fillId="4" borderId="0" xfId="0" applyFont="1" applyFill="1" applyAlignment="1">
      <alignment horizontal="center" vertical="center" wrapText="1"/>
    </xf>
    <xf numFmtId="14" fontId="0" fillId="0" borderId="0" xfId="0" applyNumberFormat="1"/>
    <xf numFmtId="0" fontId="0" fillId="0" borderId="0" xfId="0" applyNumberFormat="1"/>
    <xf numFmtId="10" fontId="0" fillId="0" borderId="0" xfId="0" applyNumberFormat="1"/>
    <xf numFmtId="0" fontId="0" fillId="6" borderId="0" xfId="0" applyFill="1" applyBorder="1"/>
    <xf numFmtId="0" fontId="13" fillId="7" borderId="1" xfId="0" applyFont="1" applyFill="1" applyBorder="1" applyAlignment="1">
      <alignment horizontal="center" vertical="center"/>
    </xf>
    <xf numFmtId="0" fontId="14" fillId="6" borderId="1" xfId="0" applyFont="1" applyFill="1" applyBorder="1" applyAlignment="1">
      <alignment horizontal="center"/>
    </xf>
    <xf numFmtId="0" fontId="0" fillId="9" borderId="1" xfId="0" applyFill="1" applyBorder="1"/>
    <xf numFmtId="0" fontId="0" fillId="8" borderId="1" xfId="0" applyFill="1" applyBorder="1"/>
    <xf numFmtId="0" fontId="0" fillId="7" borderId="1" xfId="0" applyFill="1" applyBorder="1"/>
    <xf numFmtId="0" fontId="6" fillId="0" borderId="1" xfId="0" applyFont="1" applyFill="1" applyBorder="1" applyAlignment="1">
      <alignment horizontal="center"/>
    </xf>
    <xf numFmtId="164" fontId="6" fillId="0" borderId="1" xfId="0" applyNumberFormat="1" applyFont="1" applyFill="1" applyBorder="1" applyAlignment="1">
      <alignment horizontal="center"/>
    </xf>
    <xf numFmtId="1" fontId="9" fillId="0" borderId="2" xfId="0" applyNumberFormat="1" applyFont="1" applyFill="1" applyBorder="1" applyAlignment="1">
      <alignment horizontal="center"/>
    </xf>
    <xf numFmtId="1" fontId="9" fillId="0" borderId="23" xfId="0" applyNumberFormat="1" applyFont="1" applyFill="1" applyBorder="1" applyAlignment="1">
      <alignment horizontal="center"/>
    </xf>
    <xf numFmtId="0" fontId="7" fillId="0" borderId="11" xfId="0" applyFont="1" applyFill="1" applyBorder="1"/>
    <xf numFmtId="0" fontId="9" fillId="0" borderId="11" xfId="0" applyFont="1" applyFill="1" applyBorder="1"/>
    <xf numFmtId="166" fontId="9" fillId="0" borderId="21" xfId="0" applyNumberFormat="1" applyFont="1" applyFill="1" applyBorder="1" applyAlignment="1">
      <alignment horizontal="center"/>
    </xf>
    <xf numFmtId="0" fontId="3" fillId="0" borderId="0" xfId="0" applyFont="1" applyFill="1" applyAlignment="1">
      <alignment horizontal="center"/>
    </xf>
    <xf numFmtId="0" fontId="3" fillId="0" borderId="1" xfId="0" applyFont="1" applyFill="1" applyBorder="1" applyAlignment="1">
      <alignment horizontal="center"/>
    </xf>
    <xf numFmtId="1" fontId="7" fillId="0" borderId="2" xfId="0" applyNumberFormat="1" applyFont="1" applyFill="1" applyBorder="1" applyAlignment="1">
      <alignment horizontal="center"/>
    </xf>
    <xf numFmtId="0" fontId="15" fillId="0" borderId="0" xfId="0" applyFont="1" applyAlignment="1">
      <alignment vertical="top"/>
    </xf>
    <xf numFmtId="49" fontId="15" fillId="0" borderId="0" xfId="0" applyNumberFormat="1" applyFont="1" applyAlignment="1">
      <alignment vertical="top" wrapText="1"/>
    </xf>
    <xf numFmtId="14" fontId="15" fillId="0" borderId="0" xfId="0" applyNumberFormat="1" applyFont="1" applyAlignment="1">
      <alignment vertical="top"/>
    </xf>
    <xf numFmtId="14" fontId="0" fillId="0" borderId="0" xfId="0" applyNumberFormat="1" applyAlignment="1">
      <alignment vertical="top"/>
    </xf>
    <xf numFmtId="49" fontId="0" fillId="0" borderId="0" xfId="0" applyNumberFormat="1" applyAlignment="1">
      <alignment vertical="top" wrapText="1"/>
    </xf>
    <xf numFmtId="0" fontId="0" fillId="0" borderId="0" xfId="0" applyAlignment="1">
      <alignment vertical="top"/>
    </xf>
    <xf numFmtId="14" fontId="0" fillId="0" borderId="0" xfId="0" applyNumberFormat="1" applyAlignment="1">
      <alignment horizontal="center" vertical="center" wrapText="1"/>
    </xf>
    <xf numFmtId="14" fontId="0" fillId="0" borderId="0" xfId="0" applyNumberFormat="1" applyAlignment="1">
      <alignment horizontal="center" vertical="center"/>
    </xf>
    <xf numFmtId="0" fontId="2" fillId="0" borderId="0" xfId="0" applyFont="1" applyAlignment="1">
      <alignment horizontal="center"/>
    </xf>
    <xf numFmtId="166" fontId="7" fillId="0" borderId="22" xfId="0" applyNumberFormat="1" applyFont="1" applyBorder="1" applyAlignment="1">
      <alignment horizontal="center"/>
    </xf>
    <xf numFmtId="166" fontId="7" fillId="0" borderId="20" xfId="0" applyNumberFormat="1" applyFont="1" applyBorder="1" applyAlignment="1">
      <alignment horizontal="center"/>
    </xf>
    <xf numFmtId="166" fontId="7" fillId="3" borderId="22" xfId="0" applyNumberFormat="1" applyFont="1" applyFill="1" applyBorder="1" applyAlignment="1">
      <alignment horizontal="center"/>
    </xf>
    <xf numFmtId="166" fontId="7" fillId="3" borderId="20" xfId="0" applyNumberFormat="1" applyFont="1" applyFill="1" applyBorder="1" applyAlignment="1">
      <alignment horizontal="center"/>
    </xf>
    <xf numFmtId="0" fontId="4" fillId="3" borderId="0" xfId="0" applyFont="1" applyFill="1" applyAlignment="1">
      <alignment horizontal="center"/>
    </xf>
    <xf numFmtId="0" fontId="9" fillId="4" borderId="5" xfId="0" applyFont="1" applyFill="1" applyBorder="1" applyAlignment="1">
      <alignment horizontal="center" wrapText="1"/>
    </xf>
    <xf numFmtId="0" fontId="9" fillId="4" borderId="6" xfId="0" applyFont="1" applyFill="1" applyBorder="1" applyAlignment="1">
      <alignment horizontal="center" wrapText="1"/>
    </xf>
    <xf numFmtId="166" fontId="9" fillId="0" borderId="22" xfId="0" applyNumberFormat="1" applyFont="1" applyBorder="1" applyAlignment="1">
      <alignment horizontal="center"/>
    </xf>
    <xf numFmtId="166" fontId="9" fillId="0" borderId="20" xfId="0" applyNumberFormat="1" applyFont="1" applyBorder="1" applyAlignment="1">
      <alignment horizontal="center"/>
    </xf>
    <xf numFmtId="166" fontId="9" fillId="3" borderId="22" xfId="0" applyNumberFormat="1" applyFont="1" applyFill="1" applyBorder="1" applyAlignment="1">
      <alignment horizontal="center"/>
    </xf>
    <xf numFmtId="166" fontId="9" fillId="3" borderId="20" xfId="0" applyNumberFormat="1" applyFont="1" applyFill="1" applyBorder="1" applyAlignment="1">
      <alignment horizontal="center"/>
    </xf>
    <xf numFmtId="0" fontId="4" fillId="0" borderId="0" xfId="0" applyFont="1" applyAlignment="1">
      <alignment horizontal="center"/>
    </xf>
    <xf numFmtId="14" fontId="0" fillId="10" borderId="0" xfId="0" applyNumberFormat="1" applyFill="1" applyAlignment="1">
      <alignment horizontal="center" vertical="center" wrapText="1"/>
    </xf>
    <xf numFmtId="14" fontId="0" fillId="10" borderId="0" xfId="0" applyNumberFormat="1" applyFill="1" applyAlignment="1">
      <alignment horizontal="center" vertical="center"/>
    </xf>
  </cellXfs>
  <cellStyles count="1">
    <cellStyle name="Normal" xfId="0" builtinId="0"/>
  </cellStyles>
  <dxfs count="67">
    <dxf>
      <numFmt numFmtId="0" formatCode="General"/>
    </dxf>
    <dxf>
      <numFmt numFmtId="0" formatCode="General"/>
    </dxf>
    <dxf>
      <numFmt numFmtId="0" formatCode="General"/>
    </dxf>
    <dxf>
      <numFmt numFmtId="0" formatCode="General"/>
    </dxf>
    <dxf>
      <numFmt numFmtId="0" formatCode="General"/>
    </dxf>
    <dxf>
      <numFmt numFmtId="0" formatCode="General"/>
    </dxf>
    <dxf>
      <numFmt numFmtId="0" formatCode="General"/>
    </dxf>
    <dxf>
      <numFmt numFmtId="0" formatCode="General"/>
    </dxf>
    <dxf>
      <numFmt numFmtId="0" formatCode="General"/>
    </dxf>
    <dxf>
      <numFmt numFmtId="0" formatCode="General"/>
    </dxf>
    <dxf>
      <numFmt numFmtId="0" formatCode="General"/>
    </dxf>
    <dxf>
      <numFmt numFmtId="0" formatCode="General"/>
    </dxf>
    <dxf>
      <numFmt numFmtId="0" formatCode="General"/>
    </dxf>
    <dxf>
      <numFmt numFmtId="0" formatCode="General"/>
    </dxf>
    <dxf>
      <numFmt numFmtId="0" formatCode="General"/>
    </dxf>
    <dxf>
      <numFmt numFmtId="0" formatCode="General"/>
    </dxf>
    <dxf>
      <numFmt numFmtId="0" formatCode="General"/>
    </dxf>
    <dxf>
      <numFmt numFmtId="0" formatCode="General"/>
    </dxf>
    <dxf>
      <numFmt numFmtId="0" formatCode="General"/>
    </dxf>
    <dxf>
      <numFmt numFmtId="0" formatCode="General"/>
    </dxf>
    <dxf>
      <numFmt numFmtId="0" formatCode="General"/>
    </dxf>
    <dxf>
      <numFmt numFmtId="0" formatCode="General"/>
    </dxf>
    <dxf>
      <numFmt numFmtId="0" formatCode="General"/>
    </dxf>
    <dxf>
      <numFmt numFmtId="0" formatCode="General"/>
    </dxf>
    <dxf>
      <numFmt numFmtId="0" formatCode="General"/>
    </dxf>
    <dxf>
      <numFmt numFmtId="0" formatCode="General"/>
    </dxf>
    <dxf>
      <numFmt numFmtId="0" formatCode="General"/>
    </dxf>
    <dxf>
      <numFmt numFmtId="0" formatCode="General"/>
    </dxf>
    <dxf>
      <numFmt numFmtId="0" formatCode="General"/>
    </dxf>
    <dxf>
      <numFmt numFmtId="0" formatCode="General"/>
    </dxf>
    <dxf>
      <numFmt numFmtId="0" formatCode="General"/>
    </dxf>
    <dxf>
      <numFmt numFmtId="0" formatCode="General"/>
    </dxf>
    <dxf>
      <numFmt numFmtId="0" formatCode="General"/>
    </dxf>
    <dxf>
      <numFmt numFmtId="0" formatCode="General"/>
    </dxf>
    <dxf>
      <numFmt numFmtId="0" formatCode="General"/>
    </dxf>
    <dxf>
      <numFmt numFmtId="0" formatCode="General"/>
    </dxf>
    <dxf>
      <numFmt numFmtId="0" formatCode="General"/>
    </dxf>
    <dxf>
      <numFmt numFmtId="0" formatCode="General"/>
    </dxf>
    <dxf>
      <numFmt numFmtId="0" formatCode="General"/>
    </dxf>
    <dxf>
      <numFmt numFmtId="0" formatCode="General"/>
    </dxf>
    <dxf>
      <numFmt numFmtId="0" formatCode="General"/>
    </dxf>
    <dxf>
      <numFmt numFmtId="0" formatCode="General"/>
    </dxf>
    <dxf>
      <numFmt numFmtId="0" formatCode="General"/>
    </dxf>
    <dxf>
      <numFmt numFmtId="0" formatCode="General"/>
    </dxf>
    <dxf>
      <numFmt numFmtId="0" formatCode="General"/>
    </dxf>
    <dxf>
      <numFmt numFmtId="0" formatCode="General"/>
    </dxf>
    <dxf>
      <numFmt numFmtId="0" formatCode="General"/>
    </dxf>
    <dxf>
      <numFmt numFmtId="0" formatCode="General"/>
    </dxf>
    <dxf>
      <numFmt numFmtId="0" formatCode="General"/>
    </dxf>
    <dxf>
      <numFmt numFmtId="0" formatCode="General"/>
    </dxf>
    <dxf>
      <numFmt numFmtId="0" formatCode="General"/>
    </dxf>
    <dxf>
      <numFmt numFmtId="0" formatCode="General"/>
    </dxf>
    <dxf>
      <numFmt numFmtId="0" formatCode="General"/>
    </dxf>
    <dxf>
      <numFmt numFmtId="0" formatCode="General"/>
    </dxf>
    <dxf>
      <numFmt numFmtId="0" formatCode="General"/>
    </dxf>
    <dxf>
      <numFmt numFmtId="0" formatCode="General"/>
    </dxf>
    <dxf>
      <numFmt numFmtId="0" formatCode="General"/>
    </dxf>
    <dxf>
      <numFmt numFmtId="0" formatCode="General"/>
    </dxf>
    <dxf>
      <numFmt numFmtId="0" formatCode="General"/>
    </dxf>
    <dxf>
      <numFmt numFmtId="0" formatCode="General"/>
    </dxf>
    <dxf>
      <numFmt numFmtId="0" formatCode="General"/>
    </dxf>
    <dxf>
      <alignment horizontal="general" vertical="top" textRotation="0" indent="0" justifyLastLine="0" shrinkToFit="0" readingOrder="0"/>
    </dxf>
    <dxf>
      <alignment horizontal="general" vertical="top" textRotation="0" indent="0" justifyLastLine="0" shrinkToFit="0" readingOrder="0"/>
    </dxf>
    <dxf>
      <numFmt numFmtId="30" formatCode="@"/>
      <alignment horizontal="general" vertical="top" textRotation="0" wrapText="1" indent="0" justifyLastLine="0" shrinkToFit="0" readingOrder="0"/>
    </dxf>
    <dxf>
      <numFmt numFmtId="19" formatCode="m/d/yyyy"/>
      <alignment horizontal="general" vertical="top" textRotation="0" indent="0" justifyLastLine="0" shrinkToFit="0" readingOrder="0"/>
    </dxf>
    <dxf>
      <alignment horizontal="general" vertical="top" textRotation="0" indent="0" justifyLastLine="0" shrinkToFit="0" readingOrder="0"/>
    </dxf>
    <dxf>
      <font>
        <b/>
        <i val="0"/>
        <strike val="0"/>
        <condense val="0"/>
        <extend val="0"/>
        <outline val="0"/>
        <shadow val="0"/>
        <u val="none"/>
        <vertAlign val="baseline"/>
        <sz val="12"/>
        <color theme="1"/>
        <name val="Calibri"/>
        <family val="2"/>
        <scheme val="minor"/>
      </font>
      <alignment horizontal="general" vertical="top" textRotation="0" indent="0" justifyLastLine="0" shrinkToFit="0" readingOrder="0"/>
    </dxf>
  </dxfs>
  <tableStyles count="0" defaultTableStyle="TableStyleMedium2" defaultPivotStyle="PivotStyleLight16"/>
  <colors>
    <mruColors>
      <color rgb="FF9A0A0A"/>
      <color rgb="FF00FF00"/>
    </mruColors>
  </colors>
  <extLst>
    <ext xmlns:x14="http://schemas.microsoft.com/office/spreadsheetml/2009/9/main" uri="{EB79DEF2-80B8-43e5-95BD-54CBDDF9020C}">
      <x14:slicerStyles defaultSlicerStyle="SlicerStyleLight1"/>
    </ext>
    <ext xmlns:x15="http://schemas.microsoft.com/office/spreadsheetml/2010/11/main" uri="{9260A510-F301-46a8-8635-F512D64BE5F5}">
      <x15:timelineStyles defaultTimelineStyle="TimeSlicerStyleLight1"/>
    </ext>
  </extLst>
</styleSheet>
</file>

<file path=xl/_rels/workbook.xml.rels><?xml version="1.0" encoding="UTF-8" standalone="yes"?>
<Relationships xmlns="http://schemas.openxmlformats.org/package/2006/relationships"><Relationship Id="rId8" Type="http://schemas.openxmlformats.org/officeDocument/2006/relationships/worksheet" Target="worksheets/sheet8.xml"/><Relationship Id="rId13" Type="http://schemas.openxmlformats.org/officeDocument/2006/relationships/worksheet" Target="worksheets/sheet13.xml"/><Relationship Id="rId18" Type="http://schemas.openxmlformats.org/officeDocument/2006/relationships/worksheet" Target="worksheets/sheet18.xml"/><Relationship Id="rId26" Type="http://schemas.openxmlformats.org/officeDocument/2006/relationships/connections" Target="connections.xml"/><Relationship Id="rId3" Type="http://schemas.openxmlformats.org/officeDocument/2006/relationships/worksheet" Target="worksheets/sheet3.xml"/><Relationship Id="rId21" Type="http://schemas.openxmlformats.org/officeDocument/2006/relationships/worksheet" Target="worksheets/sheet21.xml"/><Relationship Id="rId7" Type="http://schemas.openxmlformats.org/officeDocument/2006/relationships/worksheet" Target="worksheets/sheet7.xml"/><Relationship Id="rId12" Type="http://schemas.openxmlformats.org/officeDocument/2006/relationships/worksheet" Target="worksheets/sheet12.xml"/><Relationship Id="rId17" Type="http://schemas.openxmlformats.org/officeDocument/2006/relationships/worksheet" Target="worksheets/sheet17.xml"/><Relationship Id="rId25" Type="http://schemas.openxmlformats.org/officeDocument/2006/relationships/theme" Target="theme/theme1.xml"/><Relationship Id="rId2" Type="http://schemas.openxmlformats.org/officeDocument/2006/relationships/worksheet" Target="worksheets/sheet2.xml"/><Relationship Id="rId16" Type="http://schemas.openxmlformats.org/officeDocument/2006/relationships/worksheet" Target="worksheets/sheet16.xml"/><Relationship Id="rId20" Type="http://schemas.openxmlformats.org/officeDocument/2006/relationships/worksheet" Target="worksheets/sheet20.xml"/><Relationship Id="rId29" Type="http://schemas.openxmlformats.org/officeDocument/2006/relationships/calcChain" Target="calcChain.xml"/><Relationship Id="rId1" Type="http://schemas.openxmlformats.org/officeDocument/2006/relationships/worksheet" Target="worksheets/sheet1.xml"/><Relationship Id="rId6" Type="http://schemas.openxmlformats.org/officeDocument/2006/relationships/worksheet" Target="worksheets/sheet6.xml"/><Relationship Id="rId11" Type="http://schemas.openxmlformats.org/officeDocument/2006/relationships/worksheet" Target="worksheets/sheet11.xml"/><Relationship Id="rId24" Type="http://schemas.openxmlformats.org/officeDocument/2006/relationships/worksheet" Target="worksheets/sheet24.xml"/><Relationship Id="rId5" Type="http://schemas.openxmlformats.org/officeDocument/2006/relationships/worksheet" Target="worksheets/sheet5.xml"/><Relationship Id="rId15" Type="http://schemas.openxmlformats.org/officeDocument/2006/relationships/worksheet" Target="worksheets/sheet15.xml"/><Relationship Id="rId23" Type="http://schemas.openxmlformats.org/officeDocument/2006/relationships/worksheet" Target="worksheets/sheet23.xml"/><Relationship Id="rId28" Type="http://schemas.openxmlformats.org/officeDocument/2006/relationships/sharedStrings" Target="sharedStrings.xml"/><Relationship Id="rId10" Type="http://schemas.openxmlformats.org/officeDocument/2006/relationships/worksheet" Target="worksheets/sheet10.xml"/><Relationship Id="rId19" Type="http://schemas.openxmlformats.org/officeDocument/2006/relationships/worksheet" Target="worksheets/sheet19.xml"/><Relationship Id="rId31" Type="http://schemas.microsoft.com/office/2006/relationships/vbaProject" Target="vbaProject.bin"/><Relationship Id="rId4" Type="http://schemas.openxmlformats.org/officeDocument/2006/relationships/worksheet" Target="worksheets/sheet4.xml"/><Relationship Id="rId9" Type="http://schemas.openxmlformats.org/officeDocument/2006/relationships/worksheet" Target="worksheets/sheet9.xml"/><Relationship Id="rId14" Type="http://schemas.openxmlformats.org/officeDocument/2006/relationships/worksheet" Target="worksheets/sheet14.xml"/><Relationship Id="rId22" Type="http://schemas.openxmlformats.org/officeDocument/2006/relationships/worksheet" Target="worksheets/sheet22.xml"/><Relationship Id="rId27" Type="http://schemas.openxmlformats.org/officeDocument/2006/relationships/styles" Target="styles.xml"/><Relationship Id="rId30" Type="http://schemas.openxmlformats.org/officeDocument/2006/relationships/customXml" Target="../customXml/item1.xml"/></Relationships>
</file>

<file path=xl/ctrlProps/ctrlProp1.xml><?xml version="1.0" encoding="utf-8"?>
<formControlPr xmlns="http://schemas.microsoft.com/office/spreadsheetml/2009/9/main" objectType="Button" lockText="1"/>
</file>

<file path=xl/ctrlProps/ctrlProp2.xml><?xml version="1.0" encoding="utf-8"?>
<formControlPr xmlns="http://schemas.microsoft.com/office/spreadsheetml/2009/9/main" objectType="Button" lockText="1"/>
</file>

<file path=xl/ctrlProps/ctrlProp3.xml><?xml version="1.0" encoding="utf-8"?>
<formControlPr xmlns="http://schemas.microsoft.com/office/spreadsheetml/2009/9/main" objectType="Button" lockText="1"/>
</file>

<file path=xl/ctrlProps/ctrlProp4.xml><?xml version="1.0" encoding="utf-8"?>
<formControlPr xmlns="http://schemas.microsoft.com/office/spreadsheetml/2009/9/main" objectType="Button" lockText="1"/>
</file>

<file path=xl/ctrlProps/ctrlProp5.xml><?xml version="1.0" encoding="utf-8"?>
<formControlPr xmlns="http://schemas.microsoft.com/office/spreadsheetml/2009/9/main" objectType="Button" lockText="1"/>
</file>

<file path=xl/ctrlProps/ctrlProp6.xml><?xml version="1.0" encoding="utf-8"?>
<formControlPr xmlns="http://schemas.microsoft.com/office/spreadsheetml/2009/9/main" objectType="Button" lockText="1"/>
</file>

<file path=xl/drawings/_rels/drawing2.xml.rels><?xml version="1.0" encoding="UTF-8" standalone="yes"?>
<Relationships xmlns="http://schemas.openxmlformats.org/package/2006/relationships"><Relationship Id="rId1" Type="http://schemas.openxmlformats.org/officeDocument/2006/relationships/image" Target="../media/image1.png"/></Relationships>
</file>

<file path=xl/drawings/_rels/drawing3.xml.rels><?xml version="1.0" encoding="UTF-8" standalone="yes"?>
<Relationships xmlns="http://schemas.openxmlformats.org/package/2006/relationships"><Relationship Id="rId1" Type="http://schemas.openxmlformats.org/officeDocument/2006/relationships/image" Target="../media/image2.png"/></Relationships>
</file>

<file path=xl/drawings/_rels/drawing4.xml.rels><?xml version="1.0" encoding="UTF-8" standalone="yes"?>
<Relationships xmlns="http://schemas.openxmlformats.org/package/2006/relationships"><Relationship Id="rId1" Type="http://schemas.openxmlformats.org/officeDocument/2006/relationships/image" Target="../media/image3.png"/></Relationships>
</file>

<file path=xl/drawings/drawing1.xml><?xml version="1.0" encoding="utf-8"?>
<xdr:wsDr xmlns:xdr="http://schemas.openxmlformats.org/drawingml/2006/spreadsheetDrawing" xmlns:a="http://schemas.openxmlformats.org/drawingml/2006/main">
  <mc:AlternateContent xmlns:mc="http://schemas.openxmlformats.org/markup-compatibility/2006">
    <mc:Choice xmlns:a14="http://schemas.microsoft.com/office/drawing/2010/main" Requires="a14">
      <xdr:twoCellAnchor>
        <xdr:from>
          <xdr:col>1</xdr:col>
          <xdr:colOff>323850</xdr:colOff>
          <xdr:row>8</xdr:row>
          <xdr:rowOff>209550</xdr:rowOff>
        </xdr:from>
        <xdr:to>
          <xdr:col>1</xdr:col>
          <xdr:colOff>1714500</xdr:colOff>
          <xdr:row>8</xdr:row>
          <xdr:rowOff>581025</xdr:rowOff>
        </xdr:to>
        <xdr:sp macro="" textlink="">
          <xdr:nvSpPr>
            <xdr:cNvPr id="23553" name="Button 1" hidden="1">
              <a:extLst>
                <a:ext uri="{63B3BB69-23CF-44E3-9099-C40C66FF867C}">
                  <a14:compatExt spid="_x0000_s23553"/>
                </a:ext>
                <a:ext uri="{FF2B5EF4-FFF2-40B4-BE49-F238E27FC236}">
                  <a16:creationId xmlns:a16="http://schemas.microsoft.com/office/drawing/2014/main" id="{00000000-0008-0000-0000-0000015C0000}"/>
                </a:ext>
              </a:extLst>
            </xdr:cNvPr>
            <xdr:cNvSpPr/>
          </xdr:nvSpPr>
          <xdr:spPr bwMode="auto">
            <a:xfrm>
              <a:off x="0" y="0"/>
              <a:ext cx="0" cy="0"/>
            </a:xfrm>
            <a:prstGeom prst="rect">
              <a:avLst/>
            </a:prstGeom>
            <a:noFill/>
            <a:ln w="9525">
              <a:miter lim="800000"/>
              <a:headEnd/>
              <a:tailEnd/>
            </a:ln>
          </xdr:spPr>
          <xdr:txBody>
            <a:bodyPr vertOverflow="clip" wrap="square" lIns="27432" tIns="27432" rIns="27432" bIns="27432" anchor="ctr" upright="1"/>
            <a:lstStyle/>
            <a:p>
              <a:pPr algn="ctr" rtl="0">
                <a:defRPr sz="1000"/>
              </a:pPr>
              <a:r>
                <a:rPr lang="en-US" sz="1100" b="0" i="0" u="none" strike="noStrike" baseline="0">
                  <a:solidFill>
                    <a:srgbClr val="000000"/>
                  </a:solidFill>
                  <a:latin typeface="Calibri"/>
                  <a:cs typeface="Calibri"/>
                </a:rPr>
                <a:t>Export Retail</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1</xdr:col>
          <xdr:colOff>2000250</xdr:colOff>
          <xdr:row>8</xdr:row>
          <xdr:rowOff>209550</xdr:rowOff>
        </xdr:from>
        <xdr:to>
          <xdr:col>1</xdr:col>
          <xdr:colOff>3390900</xdr:colOff>
          <xdr:row>8</xdr:row>
          <xdr:rowOff>581025</xdr:rowOff>
        </xdr:to>
        <xdr:sp macro="" textlink="">
          <xdr:nvSpPr>
            <xdr:cNvPr id="23554" name="Button 2" hidden="1">
              <a:extLst>
                <a:ext uri="{63B3BB69-23CF-44E3-9099-C40C66FF867C}">
                  <a14:compatExt spid="_x0000_s23554"/>
                </a:ext>
                <a:ext uri="{FF2B5EF4-FFF2-40B4-BE49-F238E27FC236}">
                  <a16:creationId xmlns:a16="http://schemas.microsoft.com/office/drawing/2014/main" id="{00000000-0008-0000-0000-0000025C0000}"/>
                </a:ext>
              </a:extLst>
            </xdr:cNvPr>
            <xdr:cNvSpPr/>
          </xdr:nvSpPr>
          <xdr:spPr bwMode="auto">
            <a:xfrm>
              <a:off x="0" y="0"/>
              <a:ext cx="0" cy="0"/>
            </a:xfrm>
            <a:prstGeom prst="rect">
              <a:avLst/>
            </a:prstGeom>
            <a:noFill/>
            <a:ln w="9525">
              <a:miter lim="800000"/>
              <a:headEnd/>
              <a:tailEnd/>
            </a:ln>
          </xdr:spPr>
          <xdr:txBody>
            <a:bodyPr vertOverflow="clip" wrap="square" lIns="27432" tIns="27432" rIns="27432" bIns="27432" anchor="ctr" upright="1"/>
            <a:lstStyle/>
            <a:p>
              <a:pPr algn="ctr" rtl="0">
                <a:defRPr sz="1000"/>
              </a:pPr>
              <a:r>
                <a:rPr lang="en-US" sz="1100" b="0" i="0" u="none" strike="noStrike" baseline="0">
                  <a:solidFill>
                    <a:srgbClr val="000000"/>
                  </a:solidFill>
                  <a:latin typeface="Calibri"/>
                  <a:cs typeface="Calibri"/>
                </a:rPr>
                <a:t>Export US$</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1</xdr:col>
          <xdr:colOff>3657600</xdr:colOff>
          <xdr:row>8</xdr:row>
          <xdr:rowOff>209550</xdr:rowOff>
        </xdr:from>
        <xdr:to>
          <xdr:col>1</xdr:col>
          <xdr:colOff>5048250</xdr:colOff>
          <xdr:row>8</xdr:row>
          <xdr:rowOff>581025</xdr:rowOff>
        </xdr:to>
        <xdr:sp macro="" textlink="">
          <xdr:nvSpPr>
            <xdr:cNvPr id="23555" name="Button 3" hidden="1">
              <a:extLst>
                <a:ext uri="{63B3BB69-23CF-44E3-9099-C40C66FF867C}">
                  <a14:compatExt spid="_x0000_s23555"/>
                </a:ext>
                <a:ext uri="{FF2B5EF4-FFF2-40B4-BE49-F238E27FC236}">
                  <a16:creationId xmlns:a16="http://schemas.microsoft.com/office/drawing/2014/main" id="{00000000-0008-0000-0000-0000035C0000}"/>
                </a:ext>
              </a:extLst>
            </xdr:cNvPr>
            <xdr:cNvSpPr/>
          </xdr:nvSpPr>
          <xdr:spPr bwMode="auto">
            <a:xfrm>
              <a:off x="0" y="0"/>
              <a:ext cx="0" cy="0"/>
            </a:xfrm>
            <a:prstGeom prst="rect">
              <a:avLst/>
            </a:prstGeom>
            <a:noFill/>
            <a:ln w="9525">
              <a:miter lim="800000"/>
              <a:headEnd/>
              <a:tailEnd/>
            </a:ln>
          </xdr:spPr>
          <xdr:txBody>
            <a:bodyPr vertOverflow="clip" wrap="square" lIns="27432" tIns="27432" rIns="27432" bIns="27432" anchor="ctr" upright="1"/>
            <a:lstStyle/>
            <a:p>
              <a:pPr algn="ctr" rtl="0">
                <a:defRPr sz="1000"/>
              </a:pPr>
              <a:r>
                <a:rPr lang="en-US" sz="1100" b="0" i="0" u="none" strike="noStrike" baseline="0">
                  <a:solidFill>
                    <a:srgbClr val="000000"/>
                  </a:solidFill>
                  <a:latin typeface="Calibri"/>
                  <a:cs typeface="Calibri"/>
                </a:rPr>
                <a:t>Export Broker</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1</xdr:col>
          <xdr:colOff>2114550</xdr:colOff>
          <xdr:row>5</xdr:row>
          <xdr:rowOff>76200</xdr:rowOff>
        </xdr:from>
        <xdr:to>
          <xdr:col>1</xdr:col>
          <xdr:colOff>3228975</xdr:colOff>
          <xdr:row>5</xdr:row>
          <xdr:rowOff>361950</xdr:rowOff>
        </xdr:to>
        <xdr:sp macro="" textlink="">
          <xdr:nvSpPr>
            <xdr:cNvPr id="23556" name="Button 4" hidden="1">
              <a:extLst>
                <a:ext uri="{63B3BB69-23CF-44E3-9099-C40C66FF867C}">
                  <a14:compatExt spid="_x0000_s23556"/>
                </a:ext>
                <a:ext uri="{FF2B5EF4-FFF2-40B4-BE49-F238E27FC236}">
                  <a16:creationId xmlns:a16="http://schemas.microsoft.com/office/drawing/2014/main" id="{00000000-0008-0000-0000-0000045C0000}"/>
                </a:ext>
              </a:extLst>
            </xdr:cNvPr>
            <xdr:cNvSpPr/>
          </xdr:nvSpPr>
          <xdr:spPr bwMode="auto">
            <a:xfrm>
              <a:off x="0" y="0"/>
              <a:ext cx="0" cy="0"/>
            </a:xfrm>
            <a:prstGeom prst="rect">
              <a:avLst/>
            </a:prstGeom>
            <a:noFill/>
            <a:ln w="9525">
              <a:miter lim="800000"/>
              <a:headEnd/>
              <a:tailEnd/>
            </a:ln>
          </xdr:spPr>
          <xdr:txBody>
            <a:bodyPr vertOverflow="clip" wrap="square" lIns="27432" tIns="27432" rIns="27432" bIns="27432" anchor="ctr" upright="1"/>
            <a:lstStyle/>
            <a:p>
              <a:pPr algn="ctr" rtl="0">
                <a:defRPr sz="1000"/>
              </a:pPr>
              <a:r>
                <a:rPr lang="en-US" sz="1100" b="0" i="0" u="none" strike="noStrike" baseline="0">
                  <a:solidFill>
                    <a:srgbClr val="000000"/>
                  </a:solidFill>
                  <a:latin typeface="Calibri"/>
                  <a:cs typeface="Calibri"/>
                </a:rPr>
                <a:t>Scans all rates</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1</xdr:col>
          <xdr:colOff>1428750</xdr:colOff>
          <xdr:row>8</xdr:row>
          <xdr:rowOff>781050</xdr:rowOff>
        </xdr:from>
        <xdr:to>
          <xdr:col>1</xdr:col>
          <xdr:colOff>3952875</xdr:colOff>
          <xdr:row>8</xdr:row>
          <xdr:rowOff>1162050</xdr:rowOff>
        </xdr:to>
        <xdr:sp macro="" textlink="">
          <xdr:nvSpPr>
            <xdr:cNvPr id="23557" name="Button 5" hidden="1">
              <a:extLst>
                <a:ext uri="{63B3BB69-23CF-44E3-9099-C40C66FF867C}">
                  <a14:compatExt spid="_x0000_s23557"/>
                </a:ext>
                <a:ext uri="{FF2B5EF4-FFF2-40B4-BE49-F238E27FC236}">
                  <a16:creationId xmlns:a16="http://schemas.microsoft.com/office/drawing/2014/main" id="{00000000-0008-0000-0000-0000055C0000}"/>
                </a:ext>
              </a:extLst>
            </xdr:cNvPr>
            <xdr:cNvSpPr/>
          </xdr:nvSpPr>
          <xdr:spPr bwMode="auto">
            <a:xfrm>
              <a:off x="0" y="0"/>
              <a:ext cx="0" cy="0"/>
            </a:xfrm>
            <a:prstGeom prst="rect">
              <a:avLst/>
            </a:prstGeom>
            <a:noFill/>
            <a:ln w="9525">
              <a:miter lim="800000"/>
              <a:headEnd/>
              <a:tailEnd/>
            </a:ln>
          </xdr:spPr>
          <xdr:txBody>
            <a:bodyPr vertOverflow="clip" wrap="square" lIns="27432" tIns="27432" rIns="27432" bIns="27432" anchor="ctr" upright="1"/>
            <a:lstStyle/>
            <a:p>
              <a:pPr algn="ctr" rtl="0">
                <a:defRPr sz="1000"/>
              </a:pPr>
              <a:r>
                <a:rPr lang="en-US" sz="1100" b="0" i="0" u="none" strike="noStrike" baseline="0">
                  <a:solidFill>
                    <a:srgbClr val="000000"/>
                  </a:solidFill>
                  <a:latin typeface="Calibri"/>
                  <a:cs typeface="Calibri"/>
                </a:rPr>
                <a:t>Export All Reports</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1</xdr:col>
          <xdr:colOff>1428750</xdr:colOff>
          <xdr:row>11</xdr:row>
          <xdr:rowOff>161925</xdr:rowOff>
        </xdr:from>
        <xdr:to>
          <xdr:col>1</xdr:col>
          <xdr:colOff>3952875</xdr:colOff>
          <xdr:row>11</xdr:row>
          <xdr:rowOff>771525</xdr:rowOff>
        </xdr:to>
        <xdr:sp macro="" textlink="">
          <xdr:nvSpPr>
            <xdr:cNvPr id="23558" name="Button 6" hidden="1">
              <a:extLst>
                <a:ext uri="{63B3BB69-23CF-44E3-9099-C40C66FF867C}">
                  <a14:compatExt spid="_x0000_s23558"/>
                </a:ext>
                <a:ext uri="{FF2B5EF4-FFF2-40B4-BE49-F238E27FC236}">
                  <a16:creationId xmlns:a16="http://schemas.microsoft.com/office/drawing/2014/main" id="{00000000-0008-0000-0000-0000065C0000}"/>
                </a:ext>
              </a:extLst>
            </xdr:cNvPr>
            <xdr:cNvSpPr/>
          </xdr:nvSpPr>
          <xdr:spPr bwMode="auto">
            <a:xfrm>
              <a:off x="0" y="0"/>
              <a:ext cx="0" cy="0"/>
            </a:xfrm>
            <a:prstGeom prst="rect">
              <a:avLst/>
            </a:prstGeom>
            <a:noFill/>
            <a:ln w="9525">
              <a:miter lim="800000"/>
              <a:headEnd/>
              <a:tailEnd/>
            </a:ln>
          </xdr:spPr>
          <xdr:txBody>
            <a:bodyPr vertOverflow="clip" wrap="square" lIns="27432" tIns="27432" rIns="27432" bIns="27432" anchor="ctr" upright="1"/>
            <a:lstStyle/>
            <a:p>
              <a:pPr algn="ctr" rtl="0">
                <a:defRPr sz="1000"/>
              </a:pPr>
              <a:r>
                <a:rPr lang="en-US" sz="1100" b="0" i="0" u="none" strike="noStrike" baseline="0">
                  <a:solidFill>
                    <a:srgbClr val="000000"/>
                  </a:solidFill>
                  <a:latin typeface="Calibri"/>
                  <a:cs typeface="Calibri"/>
                </a:rPr>
                <a:t>Scan &amp; Export All Reports</a:t>
              </a:r>
            </a:p>
          </xdr:txBody>
        </xdr:sp>
        <xdr:clientData fPrintsWithSheet="0"/>
      </xdr:twoCellAnchor>
    </mc:Choice>
    <mc:Fallback/>
  </mc:AlternateContent>
</xdr:wsDr>
</file>

<file path=xl/drawings/drawing2.xml><?xml version="1.0" encoding="utf-8"?>
<xdr:wsDr xmlns:xdr="http://schemas.openxmlformats.org/drawingml/2006/spreadsheetDrawing" xmlns:a="http://schemas.openxmlformats.org/drawingml/2006/main">
  <xdr:twoCellAnchor>
    <xdr:from>
      <xdr:col>0</xdr:col>
      <xdr:colOff>225799</xdr:colOff>
      <xdr:row>0</xdr:row>
      <xdr:rowOff>203387</xdr:rowOff>
    </xdr:from>
    <xdr:to>
      <xdr:col>0</xdr:col>
      <xdr:colOff>978274</xdr:colOff>
      <xdr:row>3</xdr:row>
      <xdr:rowOff>31937</xdr:rowOff>
    </xdr:to>
    <xdr:pic>
      <xdr:nvPicPr>
        <xdr:cNvPr id="2" name="Picture 1">
          <a:extLst>
            <a:ext uri="{FF2B5EF4-FFF2-40B4-BE49-F238E27FC236}">
              <a16:creationId xmlns:a16="http://schemas.microsoft.com/office/drawing/2014/main" id="{00000000-0008-0000-0100-000002000000}"/>
            </a:ext>
          </a:extLst>
        </xdr:cNvPr>
        <xdr:cNvPicPr>
          <a:picLocks noChangeAspect="1" noChangeArrowheads="1"/>
        </xdr:cNvPicPr>
      </xdr:nvPicPr>
      <xdr:blipFill>
        <a:blip xmlns:r="http://schemas.openxmlformats.org/officeDocument/2006/relationships" r:embed="rId1" cstate="print">
          <a:extLst>
            <a:ext uri="{28A0092B-C50C-407E-A947-70E740481C1C}">
              <a14:useLocalDpi xmlns:a14="http://schemas.microsoft.com/office/drawing/2010/main" val="0"/>
            </a:ext>
          </a:extLst>
        </a:blip>
        <a:srcRect/>
        <a:stretch>
          <a:fillRect/>
        </a:stretch>
      </xdr:blipFill>
      <xdr:spPr bwMode="auto">
        <a:xfrm>
          <a:off x="225799" y="203387"/>
          <a:ext cx="752475" cy="666750"/>
        </a:xfrm>
        <a:prstGeom prst="rect">
          <a:avLst/>
        </a:prstGeom>
        <a:noFill/>
        <a:ln>
          <a:noFill/>
        </a:ln>
        <a:extLst>
          <a:ext uri="{909E8E84-426E-40DD-AFC4-6F175D3DCCD1}">
            <a14:hiddenFill xmlns:a14="http://schemas.microsoft.com/office/drawing/2010/main">
              <a:solidFill>
                <a:srgbClr val="FFFFFF"/>
              </a:solidFill>
            </a14:hiddenFill>
          </a:ext>
          <a:ext uri="{91240B29-F687-4F45-9708-019B960494DF}">
            <a14:hiddenLine xmlns:a14="http://schemas.microsoft.com/office/drawing/2010/main" w="9525">
              <a:solidFill>
                <a:srgbClr val="000000"/>
              </a:solidFill>
              <a:miter lim="800000"/>
              <a:headEnd/>
              <a:tailEnd/>
            </a14:hiddenLine>
          </a:ext>
        </a:extLst>
      </xdr:spPr>
    </xdr:pic>
    <xdr:clientData/>
  </xdr:twoCellAnchor>
</xdr:wsDr>
</file>

<file path=xl/drawings/drawing3.xml><?xml version="1.0" encoding="utf-8"?>
<xdr:wsDr xmlns:xdr="http://schemas.openxmlformats.org/drawingml/2006/spreadsheetDrawing" xmlns:a="http://schemas.openxmlformats.org/drawingml/2006/main">
  <xdr:twoCellAnchor>
    <xdr:from>
      <xdr:col>0</xdr:col>
      <xdr:colOff>19050</xdr:colOff>
      <xdr:row>0</xdr:row>
      <xdr:rowOff>19050</xdr:rowOff>
    </xdr:from>
    <xdr:to>
      <xdr:col>1</xdr:col>
      <xdr:colOff>352425</xdr:colOff>
      <xdr:row>3</xdr:row>
      <xdr:rowOff>352425</xdr:rowOff>
    </xdr:to>
    <xdr:pic>
      <xdr:nvPicPr>
        <xdr:cNvPr id="3" name="Picture 3">
          <a:extLst>
            <a:ext uri="{FF2B5EF4-FFF2-40B4-BE49-F238E27FC236}">
              <a16:creationId xmlns:a16="http://schemas.microsoft.com/office/drawing/2014/main" id="{00000000-0008-0000-0200-000003000000}"/>
            </a:ext>
          </a:extLst>
        </xdr:cNvPr>
        <xdr:cNvPicPr>
          <a:picLocks noChangeAspect="1" noChangeArrowheads="1"/>
        </xdr:cNvPicPr>
      </xdr:nvPicPr>
      <xdr:blipFill>
        <a:blip xmlns:r="http://schemas.openxmlformats.org/officeDocument/2006/relationships" r:embed="rId1" cstate="print">
          <a:extLst>
            <a:ext uri="{28A0092B-C50C-407E-A947-70E740481C1C}">
              <a14:useLocalDpi xmlns:a14="http://schemas.microsoft.com/office/drawing/2010/main" val="0"/>
            </a:ext>
          </a:extLst>
        </a:blip>
        <a:srcRect/>
        <a:stretch>
          <a:fillRect/>
        </a:stretch>
      </xdr:blipFill>
      <xdr:spPr bwMode="auto">
        <a:xfrm>
          <a:off x="19050" y="19050"/>
          <a:ext cx="942975" cy="819150"/>
        </a:xfrm>
        <a:prstGeom prst="rect">
          <a:avLst/>
        </a:prstGeom>
        <a:noFill/>
        <a:ln>
          <a:noFill/>
        </a:ln>
        <a:extLst>
          <a:ext uri="{909E8E84-426E-40DD-AFC4-6F175D3DCCD1}">
            <a14:hiddenFill xmlns:a14="http://schemas.microsoft.com/office/drawing/2010/main">
              <a:solidFill>
                <a:srgbClr val="FFFFFF"/>
              </a:solidFill>
            </a14:hiddenFill>
          </a:ext>
          <a:ext uri="{91240B29-F687-4F45-9708-019B960494DF}">
            <a14:hiddenLine xmlns:a14="http://schemas.microsoft.com/office/drawing/2010/main" w="9525">
              <a:solidFill>
                <a:srgbClr val="000000"/>
              </a:solidFill>
              <a:miter lim="800000"/>
              <a:headEnd/>
              <a:tailEnd/>
            </a14:hiddenLine>
          </a:ext>
        </a:extLst>
      </xdr:spPr>
    </xdr:pic>
    <xdr:clientData/>
  </xdr:twoCellAnchor>
</xdr:wsDr>
</file>

<file path=xl/drawings/drawing4.xml><?xml version="1.0" encoding="utf-8"?>
<xdr:wsDr xmlns:xdr="http://schemas.openxmlformats.org/drawingml/2006/spreadsheetDrawing" xmlns:a="http://schemas.openxmlformats.org/drawingml/2006/main">
  <xdr:twoCellAnchor>
    <xdr:from>
      <xdr:col>0</xdr:col>
      <xdr:colOff>0</xdr:colOff>
      <xdr:row>0</xdr:row>
      <xdr:rowOff>9525</xdr:rowOff>
    </xdr:from>
    <xdr:to>
      <xdr:col>0</xdr:col>
      <xdr:colOff>952500</xdr:colOff>
      <xdr:row>2</xdr:row>
      <xdr:rowOff>28575</xdr:rowOff>
    </xdr:to>
    <xdr:pic>
      <xdr:nvPicPr>
        <xdr:cNvPr id="2" name="Picture 2">
          <a:extLst>
            <a:ext uri="{FF2B5EF4-FFF2-40B4-BE49-F238E27FC236}">
              <a16:creationId xmlns:a16="http://schemas.microsoft.com/office/drawing/2014/main" id="{00000000-0008-0000-0300-000002000000}"/>
            </a:ext>
          </a:extLst>
        </xdr:cNvPr>
        <xdr:cNvPicPr>
          <a:picLocks noChangeAspect="1" noChangeArrowheads="1"/>
        </xdr:cNvPicPr>
      </xdr:nvPicPr>
      <xdr:blipFill>
        <a:blip xmlns:r="http://schemas.openxmlformats.org/officeDocument/2006/relationships" r:embed="rId1" cstate="print">
          <a:extLst>
            <a:ext uri="{28A0092B-C50C-407E-A947-70E740481C1C}">
              <a14:useLocalDpi xmlns:a14="http://schemas.microsoft.com/office/drawing/2010/main" val="0"/>
            </a:ext>
          </a:extLst>
        </a:blip>
        <a:srcRect/>
        <a:stretch>
          <a:fillRect/>
        </a:stretch>
      </xdr:blipFill>
      <xdr:spPr bwMode="auto">
        <a:xfrm>
          <a:off x="0" y="9525"/>
          <a:ext cx="952500" cy="781050"/>
        </a:xfrm>
        <a:prstGeom prst="rect">
          <a:avLst/>
        </a:prstGeom>
        <a:noFill/>
        <a:ln>
          <a:noFill/>
        </a:ln>
        <a:extLst>
          <a:ext uri="{909E8E84-426E-40DD-AFC4-6F175D3DCCD1}">
            <a14:hiddenFill xmlns:a14="http://schemas.microsoft.com/office/drawing/2010/main">
              <a:solidFill>
                <a:srgbClr val="FFFFFF"/>
              </a:solidFill>
            </a14:hiddenFill>
          </a:ext>
          <a:ext uri="{91240B29-F687-4F45-9708-019B960494DF}">
            <a14:hiddenLine xmlns:a14="http://schemas.microsoft.com/office/drawing/2010/main" w="9525">
              <a:solidFill>
                <a:srgbClr val="000000"/>
              </a:solidFill>
              <a:miter lim="800000"/>
              <a:headEnd/>
              <a:tailEnd/>
            </a14:hiddenLine>
          </a:ext>
        </a:extLst>
      </xdr:spPr>
    </xdr:pic>
    <xdr:clientData/>
  </xdr:twoCellAnchor>
</xdr:wsDr>
</file>

<file path=xl/queryTables/queryTable1.xml><?xml version="1.0" encoding="utf-8"?>
<queryTable xmlns="http://schemas.openxmlformats.org/spreadsheetml/2006/main" xmlns:mc="http://schemas.openxmlformats.org/markup-compatibility/2006" xmlns:xr16="http://schemas.microsoft.com/office/spreadsheetml/2017/revision16" mc:Ignorable="xr16" name="ExternalData_2" connectionId="7" xr16:uid="{00000000-0016-0000-0500-000000000000}" autoFormatId="16" applyNumberFormats="0" applyBorderFormats="0" applyFontFormats="0" applyPatternFormats="0" applyAlignmentFormats="0" applyWidthHeightFormats="0">
  <queryTableRefresh nextId="3">
    <queryTableFields count="2">
      <queryTableField id="1" name="Data.Daily Closing Balance" tableColumnId="1"/>
      <queryTableField id="2" name="Data.Rate" tableColumnId="2"/>
    </queryTableFields>
  </queryTableRefresh>
</queryTable>
</file>

<file path=xl/queryTables/queryTable2.xml><?xml version="1.0" encoding="utf-8"?>
<queryTable xmlns="http://schemas.openxmlformats.org/spreadsheetml/2006/main" xmlns:mc="http://schemas.openxmlformats.org/markup-compatibility/2006" xmlns:xr16="http://schemas.microsoft.com/office/spreadsheetml/2017/revision16" mc:Ignorable="xr16" name="ExternalData_1" connectionId="38" xr16:uid="{00000000-0016-0000-0600-000001000000}" autoFormatId="16" applyNumberFormats="0" applyBorderFormats="0" applyFontFormats="0" applyPatternFormats="0" applyAlignmentFormats="0" applyWidthHeightFormats="0">
  <queryTableRefresh nextId="3">
    <queryTableFields count="2">
      <queryTableField id="1" name="Column1" tableColumnId="1"/>
      <queryTableField id="2" name="Column2" tableColumnId="2"/>
    </queryTableFields>
  </queryTableRefresh>
</queryTable>
</file>

<file path=xl/queryTables/queryTable3.xml><?xml version="1.0" encoding="utf-8"?>
<queryTable xmlns="http://schemas.openxmlformats.org/spreadsheetml/2006/main" xmlns:mc="http://schemas.openxmlformats.org/markup-compatibility/2006" xmlns:xr16="http://schemas.microsoft.com/office/spreadsheetml/2017/revision16" mc:Ignorable="xr16" name="ExternalData_12" connectionId="37" xr16:uid="{00000000-0016-0000-0600-000002000000}" autoFormatId="16" applyNumberFormats="0" applyBorderFormats="0" applyFontFormats="0" applyPatternFormats="0" applyAlignmentFormats="0" applyWidthHeightFormats="0">
  <queryTableRefresh nextId="6">
    <queryTableFields count="5">
      <queryTableField id="1" name="Account Name" tableColumnId="1"/>
      <queryTableField id="2" name="Currency" tableColumnId="2"/>
      <queryTableField id="3" name="Minimum1" tableColumnId="3"/>
      <queryTableField id="4" name="Maximum" tableColumnId="4"/>
      <queryTableField id="5" name="Current Rate2" tableColumnId="5"/>
    </queryTableFields>
  </queryTableRefresh>
</queryTable>
</file>

<file path=xl/queryTables/queryTable4.xml><?xml version="1.0" encoding="utf-8"?>
<queryTable xmlns="http://schemas.openxmlformats.org/spreadsheetml/2006/main" xmlns:mc="http://schemas.openxmlformats.org/markup-compatibility/2006" xmlns:xr16="http://schemas.microsoft.com/office/spreadsheetml/2017/revision16" mc:Ignorable="xr16" name="ExternalData_13" connectionId="39" xr16:uid="{00000000-0016-0000-0600-000003000000}" autoFormatId="16" applyNumberFormats="0" applyBorderFormats="0" applyFontFormats="0" applyPatternFormats="0" applyAlignmentFormats="0" applyWidthHeightFormats="0">
  <queryTableRefresh nextId="3">
    <queryTableFields count="2">
      <queryTableField id="1" name="Column1" tableColumnId="1"/>
      <queryTableField id="2" name="Column2" tableColumnId="2"/>
    </queryTableFields>
  </queryTableRefresh>
</queryTable>
</file>

<file path=xl/queryTables/queryTable5.xml><?xml version="1.0" encoding="utf-8"?>
<queryTable xmlns="http://schemas.openxmlformats.org/spreadsheetml/2006/main" xmlns:mc="http://schemas.openxmlformats.org/markup-compatibility/2006" xmlns:xr16="http://schemas.microsoft.com/office/spreadsheetml/2017/revision16" mc:Ignorable="xr16" name="Query - BMO - SBA_SSA_PRSA" connectionId="3" xr16:uid="{00000000-0016-0000-0700-000004000000}" autoFormatId="16" applyNumberFormats="0" applyBorderFormats="0" applyFontFormats="0" applyPatternFormats="0" applyAlignmentFormats="0" applyWidthHeightFormats="0">
  <queryTableRefresh nextId="3">
    <queryTableFields count="2">
      <queryTableField id="1" name="Amount" tableColumnId="1"/>
      <queryTableField id="2" name="Interest Rates" tableColumnId="2"/>
    </queryTableFields>
  </queryTableRefresh>
</queryTable>
</file>

<file path=xl/queryTables/queryTable6.xml><?xml version="1.0" encoding="utf-8"?>
<queryTable xmlns="http://schemas.openxmlformats.org/spreadsheetml/2006/main" xmlns:mc="http://schemas.openxmlformats.org/markup-compatibility/2006" xmlns:xr16="http://schemas.microsoft.com/office/spreadsheetml/2017/revision16" mc:Ignorable="xr16" name="ExternalData_1" connectionId="4" xr16:uid="{00000000-0016-0000-0700-000005000000}" autoFormatId="16" applyNumberFormats="0" applyBorderFormats="0" applyFontFormats="0" applyPatternFormats="0" applyAlignmentFormats="0" applyWidthHeightFormats="0">
  <queryTableRefresh nextId="3">
    <queryTableFields count="2">
      <queryTableField id="1" name="Amount" tableColumnId="1"/>
      <queryTableField id="2" name="Interest Rates" tableColumnId="2"/>
    </queryTableFields>
  </queryTableRefresh>
</queryTable>
</file>

<file path=xl/queryTables/queryTable7.xml><?xml version="1.0" encoding="utf-8"?>
<queryTable xmlns="http://schemas.openxmlformats.org/spreadsheetml/2006/main" xmlns:mc="http://schemas.openxmlformats.org/markup-compatibility/2006" xmlns:xr16="http://schemas.microsoft.com/office/spreadsheetml/2017/revision16" mc:Ignorable="xr16" name="Query - BNS - MPS_MM_SA" connectionId="5" xr16:uid="{00000000-0016-0000-0800-000006000000}" autoFormatId="16" applyNumberFormats="0" applyBorderFormats="0" applyFontFormats="0" applyPatternFormats="0" applyAlignmentFormats="0" applyWidthHeightFormats="0">
  <queryTableRefresh nextId="5">
    <queryTableFields count="4">
      <queryTableField id="1" name="Description" tableColumnId="1"/>
      <queryTableField id="2" name="Regular Interest Rate*" tableColumnId="2"/>
      <queryTableField id="3" name="Premium Interest Rate▾" tableColumnId="3"/>
      <queryTableField id="4" name="Annual Rate" tableColumnId="4"/>
    </queryTableFields>
  </queryTableRefresh>
</queryTable>
</file>

<file path=xl/queryTables/queryTable8.xml><?xml version="1.0" encoding="utf-8"?>
<queryTable xmlns="http://schemas.openxmlformats.org/spreadsheetml/2006/main" xmlns:mc="http://schemas.openxmlformats.org/markup-compatibility/2006" xmlns:xr16="http://schemas.microsoft.com/office/spreadsheetml/2017/revision16" mc:Ignorable="xr16" name="ExternalData_1" connectionId="6" xr16:uid="{00000000-0016-0000-0800-000007000000}" autoFormatId="16" applyNumberFormats="0" applyBorderFormats="0" applyFontFormats="0" applyPatternFormats="0" applyAlignmentFormats="0" applyWidthHeightFormats="0">
  <queryTableRefresh nextId="4">
    <queryTableFields count="3">
      <queryTableField id="1" name="Accounts" tableColumnId="1"/>
      <queryTableField id="2" name="CAD $6" tableColumnId="2"/>
      <queryTableField id="3" name="U.S. $6" tableColumnId="3"/>
    </queryTableFields>
  </queryTableRefresh>
</queryTable>
</file>

<file path=xl/queryTables/queryTable9.xml><?xml version="1.0" encoding="utf-8"?>
<queryTable xmlns="http://schemas.openxmlformats.org/spreadsheetml/2006/main" xmlns:mc="http://schemas.openxmlformats.org/markup-compatibility/2006" xmlns:xr16="http://schemas.microsoft.com/office/spreadsheetml/2017/revision16" mc:Ignorable="xr16" name="ExternalData_2" connectionId="31" xr16:uid="{00000000-0016-0000-0800-000008000000}" autoFormatId="16" applyNumberFormats="0" applyBorderFormats="0" applyFontFormats="0" applyPatternFormats="0" applyAlignmentFormats="0" applyWidthHeightFormats="0">
  <queryTableRefresh nextId="3">
    <queryTableFields count="2">
      <queryTableField id="1" name="Paid on the portion of the balance  within each tier" tableColumnId="1"/>
      <queryTableField id="2" name="Annual Interest Rate*" tableColumnId="2"/>
    </queryTableFields>
  </queryTableRefresh>
</queryTable>
</file>

<file path=xl/queryTables/queryTable10.xml><?xml version="1.0" encoding="utf-8"?>
<queryTable xmlns="http://schemas.openxmlformats.org/spreadsheetml/2006/main" xmlns:mc="http://schemas.openxmlformats.org/markup-compatibility/2006" xmlns:xr16="http://schemas.microsoft.com/office/spreadsheetml/2017/revision16" mc:Ignorable="xr16" name="ExternalData_10" connectionId="27" xr16:uid="{00000000-0016-0000-0900-000009000000}" autoFormatId="16" applyNumberFormats="0" applyBorderFormats="0" applyFontFormats="0" applyPatternFormats="0" applyAlignmentFormats="0" applyWidthHeightFormats="0">
  <queryTableRefresh nextId="4">
    <queryTableFields count="3">
      <queryTableField id="1" name="Description" tableColumnId="1"/>
      <queryTableField id="2" name="Categories" tableColumnId="2"/>
      <queryTableField id="3" name="Interest Rate" tableColumnId="3"/>
    </queryTableFields>
  </queryTableRefresh>
</queryTable>
</file>

<file path=xl/queryTables/queryTable11.xml><?xml version="1.0" encoding="utf-8"?>
<queryTable xmlns="http://schemas.openxmlformats.org/spreadsheetml/2006/main" xmlns:mc="http://schemas.openxmlformats.org/markup-compatibility/2006" xmlns:xr16="http://schemas.microsoft.com/office/spreadsheetml/2017/revision16" mc:Ignorable="xr16" name="Query - RBC - US$ High Interest eSavings™" connectionId="22" xr16:uid="{00000000-0016-0000-0900-00000A000000}" autoFormatId="16" applyNumberFormats="0" applyBorderFormats="0" applyFontFormats="0" applyPatternFormats="0" applyAlignmentFormats="0" applyWidthHeightFormats="0">
  <queryTableRefresh nextId="3">
    <queryTableFields count="2">
      <queryTableField id="1" name="If balance is" tableColumnId="1"/>
      <queryTableField id="2" name="Interest Rate [%]" tableColumnId="2"/>
    </queryTableFields>
  </queryTableRefresh>
</queryTable>
</file>

<file path=xl/queryTables/queryTable12.xml><?xml version="1.0" encoding="utf-8"?>
<queryTable xmlns="http://schemas.openxmlformats.org/spreadsheetml/2006/main" xmlns:mc="http://schemas.openxmlformats.org/markup-compatibility/2006" xmlns:xr16="http://schemas.microsoft.com/office/spreadsheetml/2017/revision16" mc:Ignorable="xr16" name="Query - RBC - US$ Personal™ Account" connectionId="21" xr16:uid="{00000000-0016-0000-0900-00000B000000}" autoFormatId="16" applyNumberFormats="0" applyBorderFormats="0" applyFontFormats="0" applyPatternFormats="0" applyAlignmentFormats="0" applyWidthHeightFormats="0">
  <queryTableRefresh nextId="3">
    <queryTableFields count="2">
      <queryTableField id="1" name="If balance is" tableColumnId="1"/>
      <queryTableField id="2" name="Interest Rate [%]" tableColumnId="2"/>
    </queryTableFields>
  </queryTableRefresh>
</queryTable>
</file>

<file path=xl/queryTables/queryTable13.xml><?xml version="1.0" encoding="utf-8"?>
<queryTable xmlns="http://schemas.openxmlformats.org/spreadsheetml/2006/main" xmlns:mc="http://schemas.openxmlformats.org/markup-compatibility/2006" xmlns:xr16="http://schemas.microsoft.com/office/spreadsheetml/2017/revision16" mc:Ignorable="xr16" name="ExternalData_11" connectionId="28" xr16:uid="{00000000-0016-0000-0900-00000C000000}" autoFormatId="16" applyNumberFormats="0" applyBorderFormats="0" applyFontFormats="0" applyPatternFormats="0" applyAlignmentFormats="0" applyWidthHeightFormats="0">
  <queryTableRefresh nextId="4">
    <queryTableFields count="3">
      <queryTableField id="1" name="Interest Rates(3)" tableColumnId="1"/>
      <queryTableField id="2" name="CAD" tableColumnId="2"/>
      <queryTableField id="3" name="USD" tableColumnId="3"/>
    </queryTableFields>
  </queryTableRefresh>
</queryTable>
</file>

<file path=xl/queryTables/queryTable14.xml><?xml version="1.0" encoding="utf-8"?>
<queryTable xmlns="http://schemas.openxmlformats.org/spreadsheetml/2006/main" xmlns:mc="http://schemas.openxmlformats.org/markup-compatibility/2006" xmlns:xr16="http://schemas.microsoft.com/office/spreadsheetml/2017/revision16" mc:Ignorable="xr16" name="ExternalData_9" connectionId="26" xr16:uid="{00000000-0016-0000-0A00-00000D000000}" autoFormatId="16" applyNumberFormats="0" applyBorderFormats="0" applyFontFormats="0" applyPatternFormats="0" applyAlignmentFormats="0" applyWidthHeightFormats="0">
  <queryTableRefresh nextId="3">
    <queryTableFields count="2">
      <queryTableField id="1" name="Column1" tableColumnId="1"/>
      <queryTableField id="2" name="Column2" tableColumnId="2"/>
    </queryTableFields>
  </queryTableRefresh>
</queryTable>
</file>

<file path=xl/queryTables/queryTable15.xml><?xml version="1.0" encoding="utf-8"?>
<queryTable xmlns="http://schemas.openxmlformats.org/spreadsheetml/2006/main" xmlns:mc="http://schemas.openxmlformats.org/markup-compatibility/2006" xmlns:xr16="http://schemas.microsoft.com/office/spreadsheetml/2017/revision16" mc:Ignorable="xr16" name="ExternalData_8" connectionId="9" xr16:uid="{00000000-0016-0000-0B00-00000E000000}" autoFormatId="16" applyNumberFormats="0" applyBorderFormats="0" applyFontFormats="0" applyPatternFormats="0" applyAlignmentFormats="0" applyWidthHeightFormats="0">
  <queryTableRefresh nextId="3">
    <queryTableFields count="2">
      <queryTableField id="1" name="If balance is" tableColumnId="1"/>
      <queryTableField id="2" name="Interest Rate [%]" tableColumnId="2"/>
    </queryTableFields>
  </queryTableRefresh>
</queryTable>
</file>

<file path=xl/queryTables/queryTable16.xml><?xml version="1.0" encoding="utf-8"?>
<queryTable xmlns="http://schemas.openxmlformats.org/spreadsheetml/2006/main" xmlns:mc="http://schemas.openxmlformats.org/markup-compatibility/2006" xmlns:xr16="http://schemas.microsoft.com/office/spreadsheetml/2017/revision16" mc:Ignorable="xr16" name="ExternalData_7" connectionId="23" xr16:uid="{00000000-0016-0000-0C00-00000F000000}" autoFormatId="16" applyNumberFormats="0" applyBorderFormats="0" applyFontFormats="0" applyPatternFormats="0" applyAlignmentFormats="0" applyWidthHeightFormats="0">
  <queryTableRefresh nextId="3">
    <queryTableFields count="2">
      <queryTableField id="1" name="Column1" tableColumnId="1"/>
      <queryTableField id="2" name="Column2" tableColumnId="2"/>
    </queryTableFields>
  </queryTableRefresh>
</queryTable>
</file>

<file path=xl/queryTables/queryTable17.xml><?xml version="1.0" encoding="utf-8"?>
<queryTable xmlns="http://schemas.openxmlformats.org/spreadsheetml/2006/main" xmlns:mc="http://schemas.openxmlformats.org/markup-compatibility/2006" xmlns:xr16="http://schemas.microsoft.com/office/spreadsheetml/2017/revision16" mc:Ignorable="xr16" name="ExternalData_6" connectionId="24" xr16:uid="{00000000-0016-0000-0D00-000010000000}" autoFormatId="16" applyNumberFormats="0" applyBorderFormats="0" applyFontFormats="0" applyPatternFormats="0" applyAlignmentFormats="0" applyWidthHeightFormats="0">
  <queryTableRefresh nextId="3">
    <queryTableFields count="2">
      <queryTableField id="1" name="Column1" tableColumnId="1"/>
      <queryTableField id="2" name="Column2" tableColumnId="2"/>
    </queryTableFields>
  </queryTableRefresh>
</queryTable>
</file>

<file path=xl/queryTables/queryTable18.xml><?xml version="1.0" encoding="utf-8"?>
<queryTable xmlns="http://schemas.openxmlformats.org/spreadsheetml/2006/main" xmlns:mc="http://schemas.openxmlformats.org/markup-compatibility/2006" xmlns:xr16="http://schemas.microsoft.com/office/spreadsheetml/2017/revision16" mc:Ignorable="xr16" name="ExternalData_5" connectionId="25" xr16:uid="{00000000-0016-0000-0E00-000011000000}" autoFormatId="16" applyNumberFormats="0" applyBorderFormats="0" applyFontFormats="0" applyPatternFormats="0" applyAlignmentFormats="0" applyWidthHeightFormats="0">
  <queryTableRefresh nextId="3">
    <queryTableFields count="2">
      <queryTableField id="1" name="If balance is" tableColumnId="1"/>
      <queryTableField id="2" name="Interest Rate [%]" tableColumnId="2"/>
    </queryTableFields>
  </queryTableRefresh>
</queryTable>
</file>

<file path=xl/queryTables/queryTable19.xml><?xml version="1.0" encoding="utf-8"?>
<queryTable xmlns="http://schemas.openxmlformats.org/spreadsheetml/2006/main" xmlns:mc="http://schemas.openxmlformats.org/markup-compatibility/2006" xmlns:xr16="http://schemas.microsoft.com/office/spreadsheetml/2017/revision16" mc:Ignorable="xr16" name="ExternalData_1" removeDataOnSave="1" connectionId="32" xr16:uid="{00000000-0016-0000-0F00-000012000000}" autoFormatId="16" applyNumberFormats="0" applyBorderFormats="0" applyFontFormats="0" applyPatternFormats="0" applyAlignmentFormats="0" applyWidthHeightFormats="0">
  <queryTableRefresh nextId="5">
    <queryTableFields count="2">
      <queryTableField id="3" name="Data.Column1" tableColumnId="3"/>
      <queryTableField id="4" name="Data.Column2" tableColumnId="4"/>
    </queryTableFields>
  </queryTableRefresh>
</queryTable>
</file>

<file path=xl/queryTables/queryTable20.xml><?xml version="1.0" encoding="utf-8"?>
<queryTable xmlns="http://schemas.openxmlformats.org/spreadsheetml/2006/main" xmlns:mc="http://schemas.openxmlformats.org/markup-compatibility/2006" xmlns:xr16="http://schemas.microsoft.com/office/spreadsheetml/2017/revision16" mc:Ignorable="xr16" name="ExternalData_1" connectionId="16" xr16:uid="{00000000-0016-0000-1000-000013000000}" autoFormatId="16" applyNumberFormats="0" applyBorderFormats="0" applyFontFormats="0" applyPatternFormats="0" applyAlignmentFormats="0" applyWidthHeightFormats="0">
  <queryTableRefresh nextId="7">
    <queryTableFields count="3">
      <queryTableField id="4" name="HiSAVE Savings Account" tableColumnId="1"/>
      <queryTableField id="5" name="Premium Savings Account" tableColumnId="2"/>
      <queryTableField id="6" name="Young Stars Savings Account" tableColumnId="3"/>
    </queryTableFields>
  </queryTableRefresh>
</queryTable>
</file>

<file path=xl/queryTables/queryTable21.xml><?xml version="1.0" encoding="utf-8"?>
<queryTable xmlns="http://schemas.openxmlformats.org/spreadsheetml/2006/main" xmlns:mc="http://schemas.openxmlformats.org/markup-compatibility/2006" xmlns:xr16="http://schemas.microsoft.com/office/spreadsheetml/2017/revision16" mc:Ignorable="xr16" name="ExternalData_2" connectionId="11" xr16:uid="{00000000-0016-0000-1000-000014000000}" autoFormatId="16" applyNumberFormats="0" applyBorderFormats="0" applyFontFormats="0" applyPatternFormats="0" applyAlignmentFormats="0" applyWidthHeightFormats="0">
  <queryTableRefresh nextId="6">
    <queryTableFields count="5">
      <queryTableField id="1" name="INTEREST RATES" tableColumnId="1"/>
      <queryTableField id="2" name="Canadian Dollar HiVALUE® PLUS Chequing Account Effective June 4, 2018" tableColumnId="2"/>
      <queryTableField id="3" name="Canadian Dollar HiVALUE® Chequing Account Effective June 4, 2018" tableColumnId="3"/>
      <queryTableField id="4" name="US Dollar HiVALUE® Chequing Account Effective September 22, 2009" tableColumnId="4"/>
      <queryTableField id="5" name="Canadian Dollar Basic Chequing Account Effective June 4, 2018" tableColumnId="5"/>
    </queryTableFields>
  </queryTableRefresh>
</queryTable>
</file>

<file path=xl/queryTables/queryTable22.xml><?xml version="1.0" encoding="utf-8"?>
<queryTable xmlns="http://schemas.openxmlformats.org/spreadsheetml/2006/main" xmlns:mc="http://schemas.openxmlformats.org/markup-compatibility/2006" xmlns:xr16="http://schemas.microsoft.com/office/spreadsheetml/2017/revision16" mc:Ignorable="xr16" name="ExternalData_3" connectionId="12" xr16:uid="{00000000-0016-0000-1000-000015000000}" autoFormatId="16" applyNumberFormats="0" applyBorderFormats="0" applyFontFormats="0" applyPatternFormats="0" applyAlignmentFormats="0" applyWidthHeightFormats="0">
  <queryTableRefresh nextId="6">
    <queryTableFields count="5">
      <queryTableField id="1" name="Data.Term/Currency" tableColumnId="1"/>
      <queryTableField id="2" name="Data.CAD GIC" tableColumnId="2"/>
      <queryTableField id="3" name="Data.USD Term Deposit" tableColumnId="3"/>
      <queryTableField id="4" name="Data.Term" tableColumnId="4"/>
      <queryTableField id="5" name="Data.CAD Non-Redeemable GICs" tableColumnId="5"/>
    </queryTableFields>
  </queryTableRefresh>
</queryTable>
</file>

<file path=xl/queryTables/queryTable23.xml><?xml version="1.0" encoding="utf-8"?>
<queryTable xmlns="http://schemas.openxmlformats.org/spreadsheetml/2006/main" xmlns:mc="http://schemas.openxmlformats.org/markup-compatibility/2006" xmlns:xr16="http://schemas.microsoft.com/office/spreadsheetml/2017/revision16" mc:Ignorable="xr16" name="ExternalData_5" connectionId="15" xr16:uid="{00000000-0016-0000-1000-000016000000}" autoFormatId="16" applyNumberFormats="0" applyBorderFormats="0" applyFontFormats="0" applyPatternFormats="0" applyAlignmentFormats="0" applyWidthHeightFormats="0">
  <queryTableRefresh nextId="4">
    <queryTableFields count="3">
      <queryTableField id="1" name="Column1" tableColumnId="1"/>
      <queryTableField id="2" name="Column2" tableColumnId="2"/>
      <queryTableField id="3" name="Column3" tableColumnId="3"/>
    </queryTableFields>
  </queryTableRefresh>
</queryTable>
</file>

<file path=xl/queryTables/queryTable24.xml><?xml version="1.0" encoding="utf-8"?>
<queryTable xmlns="http://schemas.openxmlformats.org/spreadsheetml/2006/main" xmlns:mc="http://schemas.openxmlformats.org/markup-compatibility/2006" xmlns:xr16="http://schemas.microsoft.com/office/spreadsheetml/2017/revision16" mc:Ignorable="xr16" name="ExternalData_6" connectionId="29" xr16:uid="{00000000-0016-0000-1000-000017000000}" autoFormatId="16" applyNumberFormats="0" applyBorderFormats="0" applyFontFormats="0" applyPatternFormats="0" applyAlignmentFormats="0" applyWidthHeightFormats="0">
  <queryTableRefresh nextId="4">
    <queryTableFields count="3">
      <queryTableField id="1" name="Kind" tableColumnId="1"/>
      <queryTableField id="2" name="Name" tableColumnId="2"/>
      <queryTableField id="3" name="Text" tableColumnId="3"/>
    </queryTableFields>
  </queryTableRefresh>
</queryTable>
</file>

<file path=xl/queryTables/queryTable25.xml><?xml version="1.0" encoding="utf-8"?>
<queryTable xmlns="http://schemas.openxmlformats.org/spreadsheetml/2006/main" xmlns:mc="http://schemas.openxmlformats.org/markup-compatibility/2006" xmlns:xr16="http://schemas.microsoft.com/office/spreadsheetml/2017/revision16" mc:Ignorable="xr16" name="ExternalData_7" connectionId="14" xr16:uid="{00000000-0016-0000-1000-000018000000}" autoFormatId="16" applyNumberFormats="0" applyBorderFormats="0" applyFontFormats="0" applyPatternFormats="0" applyAlignmentFormats="0" applyWidthHeightFormats="0">
  <queryTableRefresh nextId="4">
    <queryTableFields count="3">
      <queryTableField id="1" name="Column1" tableColumnId="1"/>
      <queryTableField id="2" name="Column2" tableColumnId="2"/>
      <queryTableField id="3" name="Column3" tableColumnId="3"/>
    </queryTableFields>
  </queryTableRefresh>
</queryTable>
</file>

<file path=xl/queryTables/queryTable26.xml><?xml version="1.0" encoding="utf-8"?>
<queryTable xmlns="http://schemas.openxmlformats.org/spreadsheetml/2006/main" xmlns:mc="http://schemas.openxmlformats.org/markup-compatibility/2006" xmlns:xr16="http://schemas.microsoft.com/office/spreadsheetml/2017/revision16" mc:Ignorable="xr16" name="ExternalData_8" connectionId="13" xr16:uid="{00000000-0016-0000-1000-000019000000}" autoFormatId="16" applyNumberFormats="0" applyBorderFormats="0" applyFontFormats="0" applyPatternFormats="0" applyAlignmentFormats="0" applyWidthHeightFormats="0">
  <queryTableRefresh nextId="4">
    <queryTableFields count="3">
      <queryTableField id="1" name="Kind" tableColumnId="1"/>
      <queryTableField id="2" name="Name" tableColumnId="2"/>
      <queryTableField id="3" name="Text" tableColumnId="3"/>
    </queryTableFields>
  </queryTableRefresh>
</queryTable>
</file>

<file path=xl/queryTables/queryTable27.xml><?xml version="1.0" encoding="utf-8"?>
<queryTable xmlns="http://schemas.openxmlformats.org/spreadsheetml/2006/main" xmlns:mc="http://schemas.openxmlformats.org/markup-compatibility/2006" xmlns:xr16="http://schemas.microsoft.com/office/spreadsheetml/2017/revision16" mc:Ignorable="xr16" name="ExternalData_1" connectionId="19" xr16:uid="{00000000-0016-0000-1100-00001A000000}" autoFormatId="16" applyNumberFormats="0" applyBorderFormats="0" applyFontFormats="0" applyPatternFormats="0" applyAlignmentFormats="0" applyWidthHeightFormats="0">
  <queryTableRefresh nextId="4">
    <queryTableFields count="3">
      <queryTableField id="1" name="Data.Column1" tableColumnId="1"/>
      <queryTableField id="2" name="Data.Column2" tableColumnId="2"/>
      <queryTableField id="3" name="Data.Column3" tableColumnId="3"/>
    </queryTableFields>
  </queryTableRefresh>
</queryTable>
</file>

<file path=xl/queryTables/queryTable28.xml><?xml version="1.0" encoding="utf-8"?>
<queryTable xmlns="http://schemas.openxmlformats.org/spreadsheetml/2006/main" xmlns:mc="http://schemas.openxmlformats.org/markup-compatibility/2006" xmlns:xr16="http://schemas.microsoft.com/office/spreadsheetml/2017/revision16" mc:Ignorable="xr16" name="ExternalData_1" connectionId="17" xr16:uid="{00000000-0016-0000-1200-00001B000000}" autoFormatId="16" applyNumberFormats="0" applyBorderFormats="0" applyFontFormats="0" applyPatternFormats="0" applyAlignmentFormats="0" applyWidthHeightFormats="0">
  <queryTableRefresh nextId="5">
    <queryTableFields count="4">
      <queryTableField id="1" name="Data.Column1" tableColumnId="1"/>
      <queryTableField id="2" name="Data.Column2" tableColumnId="2"/>
      <queryTableField id="3" name="Data.Column3" tableColumnId="3"/>
      <queryTableField id="4" name="Data.Column4" tableColumnId="4"/>
    </queryTableFields>
  </queryTableRefresh>
</queryTable>
</file>

<file path=xl/queryTables/queryTable29.xml><?xml version="1.0" encoding="utf-8"?>
<queryTable xmlns="http://schemas.openxmlformats.org/spreadsheetml/2006/main" xmlns:mc="http://schemas.openxmlformats.org/markup-compatibility/2006" xmlns:xr16="http://schemas.microsoft.com/office/spreadsheetml/2017/revision16" mc:Ignorable="xr16" name="ExternalData_1" connectionId="10" xr16:uid="{00000000-0016-0000-1300-00001C000000}" autoFormatId="16" applyNumberFormats="0" applyBorderFormats="0" applyFontFormats="0" applyPatternFormats="0" applyAlignmentFormats="0" applyWidthHeightFormats="0">
  <queryTableRefresh nextId="3">
    <queryTableFields count="2">
      <queryTableField id="1" name="Amount" tableColumnId="1"/>
      <queryTableField id="2" name="CAD High Rate Savings" tableColumnId="2"/>
    </queryTableFields>
  </queryTableRefresh>
</queryTable>
</file>

<file path=xl/queryTables/queryTable30.xml><?xml version="1.0" encoding="utf-8"?>
<queryTable xmlns="http://schemas.openxmlformats.org/spreadsheetml/2006/main" xmlns:mc="http://schemas.openxmlformats.org/markup-compatibility/2006" xmlns:xr16="http://schemas.microsoft.com/office/spreadsheetml/2017/revision16" mc:Ignorable="xr16" name="ExternalData_1" connectionId="8" xr16:uid="{00000000-0016-0000-1400-00001D000000}" autoFormatId="16" applyNumberFormats="0" applyBorderFormats="0" applyFontFormats="0" applyPatternFormats="0" applyAlignmentFormats="0" applyWidthHeightFormats="0">
  <queryTableRefresh nextId="3">
    <queryTableFields count="2">
      <queryTableField id="1" name="High Interest Savings*" tableColumnId="1"/>
      <queryTableField id="2" name="Annual Rates" tableColumnId="2"/>
    </queryTableFields>
  </queryTableRefresh>
</queryTable>
</file>

<file path=xl/queryTables/queryTable31.xml><?xml version="1.0" encoding="utf-8"?>
<queryTable xmlns="http://schemas.openxmlformats.org/spreadsheetml/2006/main" xmlns:mc="http://schemas.openxmlformats.org/markup-compatibility/2006" xmlns:xr16="http://schemas.microsoft.com/office/spreadsheetml/2017/revision16" mc:Ignorable="xr16" name="ExternalData_1" connectionId="2" xr16:uid="{00000000-0016-0000-1500-00001E000000}" autoFormatId="16" applyNumberFormats="0" applyBorderFormats="0" applyFontFormats="0" applyPatternFormats="0" applyAlignmentFormats="0" applyWidthHeightFormats="0">
  <queryTableRefresh nextId="7">
    <queryTableFields count="4">
      <queryTableField id="1" name="Banking Services" tableColumnId="1"/>
      <queryTableField id="2" name="High Interest Investment Account (HIIA)" tableColumnId="2"/>
      <queryTableField id="5" name="1.35% A Series_x000d__x000a__x000a_BTB 100" tableColumnId="3"/>
      <queryTableField id="6" name="1.60% F Series²_x000d__x000a__x000a_BTB 101" tableColumnId="4"/>
    </queryTableFields>
  </queryTableRefresh>
</queryTable>
</file>

<file path=xl/queryTables/queryTable32.xml><?xml version="1.0" encoding="utf-8"?>
<queryTable xmlns="http://schemas.openxmlformats.org/spreadsheetml/2006/main" xmlns:mc="http://schemas.openxmlformats.org/markup-compatibility/2006" xmlns:xr16="http://schemas.microsoft.com/office/spreadsheetml/2017/revision16" mc:Ignorable="xr16" name="ExternalData_1" connectionId="18" xr16:uid="{00000000-0016-0000-1600-00001F000000}" autoFormatId="16" applyNumberFormats="0" applyBorderFormats="0" applyFontFormats="0" applyPatternFormats="0" applyAlignmentFormats="0" applyWidthHeightFormats="0">
  <queryTableRefresh nextId="4">
    <queryTableFields count="3">
      <queryTableField id="1" name="Rate" tableColumnId="1"/>
      <queryTableField id="2" name="Product" tableColumnId="2"/>
      <queryTableField id="3" name="Get Started" tableColumnId="3"/>
    </queryTableFields>
  </queryTableRefresh>
</queryTable>
</file>

<file path=xl/queryTables/queryTable33.xml><?xml version="1.0" encoding="utf-8"?>
<queryTable xmlns="http://schemas.openxmlformats.org/spreadsheetml/2006/main" xmlns:mc="http://schemas.openxmlformats.org/markup-compatibility/2006" xmlns:xr16="http://schemas.microsoft.com/office/spreadsheetml/2017/revision16" mc:Ignorable="xr16" name="ExternalData_1" connectionId="1" xr16:uid="{00000000-0016-0000-1700-000020000000}" autoFormatId="16" applyNumberFormats="0" applyBorderFormats="0" applyFontFormats="0" applyPatternFormats="0" applyAlignmentFormats="0" applyWidthHeightFormats="0">
  <queryTableRefresh nextId="7">
    <queryTableFields count="6">
      <queryTableField id="1" name="Column1" tableColumnId="1"/>
      <queryTableField id="2" name="Column2" tableColumnId="2"/>
      <queryTableField id="3" name="Column3" tableColumnId="3"/>
      <queryTableField id="4" name="Column4" tableColumnId="4"/>
      <queryTableField id="5" name="Column5" tableColumnId="5"/>
      <queryTableField id="6" name="Column6" tableColumnId="6"/>
    </queryTableFields>
  </queryTableRefresh>
</queryTable>
</file>

<file path=xl/tables/_rels/table2.xml.rels><?xml version="1.0" encoding="UTF-8" standalone="yes"?>
<Relationships xmlns="http://schemas.openxmlformats.org/package/2006/relationships"><Relationship Id="rId1" Type="http://schemas.openxmlformats.org/officeDocument/2006/relationships/queryTable" Target="../queryTables/queryTable1.xml"/></Relationships>
</file>

<file path=xl/tables/_rels/table3.xml.rels><?xml version="1.0" encoding="UTF-8" standalone="yes"?>
<Relationships xmlns="http://schemas.openxmlformats.org/package/2006/relationships"><Relationship Id="rId1" Type="http://schemas.openxmlformats.org/officeDocument/2006/relationships/queryTable" Target="../queryTables/queryTable2.xml"/></Relationships>
</file>

<file path=xl/tables/_rels/table4.xml.rels><?xml version="1.0" encoding="UTF-8" standalone="yes"?>
<Relationships xmlns="http://schemas.openxmlformats.org/package/2006/relationships"><Relationship Id="rId1" Type="http://schemas.openxmlformats.org/officeDocument/2006/relationships/queryTable" Target="../queryTables/queryTable3.xml"/></Relationships>
</file>

<file path=xl/tables/_rels/table5.xml.rels><?xml version="1.0" encoding="UTF-8" standalone="yes"?>
<Relationships xmlns="http://schemas.openxmlformats.org/package/2006/relationships"><Relationship Id="rId1" Type="http://schemas.openxmlformats.org/officeDocument/2006/relationships/queryTable" Target="../queryTables/queryTable4.xml"/></Relationships>
</file>

<file path=xl/tables/_rels/table6.xml.rels><?xml version="1.0" encoding="UTF-8" standalone="yes"?>
<Relationships xmlns="http://schemas.openxmlformats.org/package/2006/relationships"><Relationship Id="rId1" Type="http://schemas.openxmlformats.org/officeDocument/2006/relationships/queryTable" Target="../queryTables/queryTable5.xml"/></Relationships>
</file>

<file path=xl/tables/_rels/table7.xml.rels><?xml version="1.0" encoding="UTF-8" standalone="yes"?>
<Relationships xmlns="http://schemas.openxmlformats.org/package/2006/relationships"><Relationship Id="rId1" Type="http://schemas.openxmlformats.org/officeDocument/2006/relationships/queryTable" Target="../queryTables/queryTable6.xml"/></Relationships>
</file>

<file path=xl/tables/_rels/table8.xml.rels><?xml version="1.0" encoding="UTF-8" standalone="yes"?>
<Relationships xmlns="http://schemas.openxmlformats.org/package/2006/relationships"><Relationship Id="rId1" Type="http://schemas.openxmlformats.org/officeDocument/2006/relationships/queryTable" Target="../queryTables/queryTable7.xml"/></Relationships>
</file>

<file path=xl/tables/_rels/table9.xml.rels><?xml version="1.0" encoding="UTF-8" standalone="yes"?>
<Relationships xmlns="http://schemas.openxmlformats.org/package/2006/relationships"><Relationship Id="rId1" Type="http://schemas.openxmlformats.org/officeDocument/2006/relationships/queryTable" Target="../queryTables/queryTable8.xml"/></Relationships>
</file>

<file path=xl/tables/_rels/table10.xml.rels><?xml version="1.0" encoding="UTF-8" standalone="yes"?>
<Relationships xmlns="http://schemas.openxmlformats.org/package/2006/relationships"><Relationship Id="rId1" Type="http://schemas.openxmlformats.org/officeDocument/2006/relationships/queryTable" Target="../queryTables/queryTable9.xml"/></Relationships>
</file>

<file path=xl/tables/_rels/table11.xml.rels><?xml version="1.0" encoding="UTF-8" standalone="yes"?>
<Relationships xmlns="http://schemas.openxmlformats.org/package/2006/relationships"><Relationship Id="rId1" Type="http://schemas.openxmlformats.org/officeDocument/2006/relationships/queryTable" Target="../queryTables/queryTable10.xml"/></Relationships>
</file>

<file path=xl/tables/_rels/table12.xml.rels><?xml version="1.0" encoding="UTF-8" standalone="yes"?>
<Relationships xmlns="http://schemas.openxmlformats.org/package/2006/relationships"><Relationship Id="rId1" Type="http://schemas.openxmlformats.org/officeDocument/2006/relationships/queryTable" Target="../queryTables/queryTable11.xml"/></Relationships>
</file>

<file path=xl/tables/_rels/table13.xml.rels><?xml version="1.0" encoding="UTF-8" standalone="yes"?>
<Relationships xmlns="http://schemas.openxmlformats.org/package/2006/relationships"><Relationship Id="rId1" Type="http://schemas.openxmlformats.org/officeDocument/2006/relationships/queryTable" Target="../queryTables/queryTable12.xml"/></Relationships>
</file>

<file path=xl/tables/_rels/table14.xml.rels><?xml version="1.0" encoding="UTF-8" standalone="yes"?>
<Relationships xmlns="http://schemas.openxmlformats.org/package/2006/relationships"><Relationship Id="rId1" Type="http://schemas.openxmlformats.org/officeDocument/2006/relationships/queryTable" Target="../queryTables/queryTable13.xml"/></Relationships>
</file>

<file path=xl/tables/_rels/table15.xml.rels><?xml version="1.0" encoding="UTF-8" standalone="yes"?>
<Relationships xmlns="http://schemas.openxmlformats.org/package/2006/relationships"><Relationship Id="rId1" Type="http://schemas.openxmlformats.org/officeDocument/2006/relationships/queryTable" Target="../queryTables/queryTable14.xml"/></Relationships>
</file>

<file path=xl/tables/_rels/table16.xml.rels><?xml version="1.0" encoding="UTF-8" standalone="yes"?>
<Relationships xmlns="http://schemas.openxmlformats.org/package/2006/relationships"><Relationship Id="rId1" Type="http://schemas.openxmlformats.org/officeDocument/2006/relationships/queryTable" Target="../queryTables/queryTable15.xml"/></Relationships>
</file>

<file path=xl/tables/_rels/table17.xml.rels><?xml version="1.0" encoding="UTF-8" standalone="yes"?>
<Relationships xmlns="http://schemas.openxmlformats.org/package/2006/relationships"><Relationship Id="rId1" Type="http://schemas.openxmlformats.org/officeDocument/2006/relationships/queryTable" Target="../queryTables/queryTable16.xml"/></Relationships>
</file>

<file path=xl/tables/_rels/table18.xml.rels><?xml version="1.0" encoding="UTF-8" standalone="yes"?>
<Relationships xmlns="http://schemas.openxmlformats.org/package/2006/relationships"><Relationship Id="rId1" Type="http://schemas.openxmlformats.org/officeDocument/2006/relationships/queryTable" Target="../queryTables/queryTable17.xml"/></Relationships>
</file>

<file path=xl/tables/_rels/table19.xml.rels><?xml version="1.0" encoding="UTF-8" standalone="yes"?>
<Relationships xmlns="http://schemas.openxmlformats.org/package/2006/relationships"><Relationship Id="rId1" Type="http://schemas.openxmlformats.org/officeDocument/2006/relationships/queryTable" Target="../queryTables/queryTable18.xml"/></Relationships>
</file>

<file path=xl/tables/_rels/table20.xml.rels><?xml version="1.0" encoding="UTF-8" standalone="yes"?>
<Relationships xmlns="http://schemas.openxmlformats.org/package/2006/relationships"><Relationship Id="rId1" Type="http://schemas.openxmlformats.org/officeDocument/2006/relationships/queryTable" Target="../queryTables/queryTable19.xml"/></Relationships>
</file>

<file path=xl/tables/_rels/table21.xml.rels><?xml version="1.0" encoding="UTF-8" standalone="yes"?>
<Relationships xmlns="http://schemas.openxmlformats.org/package/2006/relationships"><Relationship Id="rId1" Type="http://schemas.openxmlformats.org/officeDocument/2006/relationships/queryTable" Target="../queryTables/queryTable20.xml"/></Relationships>
</file>

<file path=xl/tables/_rels/table22.xml.rels><?xml version="1.0" encoding="UTF-8" standalone="yes"?>
<Relationships xmlns="http://schemas.openxmlformats.org/package/2006/relationships"><Relationship Id="rId1" Type="http://schemas.openxmlformats.org/officeDocument/2006/relationships/queryTable" Target="../queryTables/queryTable21.xml"/></Relationships>
</file>

<file path=xl/tables/_rels/table23.xml.rels><?xml version="1.0" encoding="UTF-8" standalone="yes"?>
<Relationships xmlns="http://schemas.openxmlformats.org/package/2006/relationships"><Relationship Id="rId1" Type="http://schemas.openxmlformats.org/officeDocument/2006/relationships/queryTable" Target="../queryTables/queryTable22.xml"/></Relationships>
</file>

<file path=xl/tables/_rels/table24.xml.rels><?xml version="1.0" encoding="UTF-8" standalone="yes"?>
<Relationships xmlns="http://schemas.openxmlformats.org/package/2006/relationships"><Relationship Id="rId1" Type="http://schemas.openxmlformats.org/officeDocument/2006/relationships/queryTable" Target="../queryTables/queryTable23.xml"/></Relationships>
</file>

<file path=xl/tables/_rels/table25.xml.rels><?xml version="1.0" encoding="UTF-8" standalone="yes"?>
<Relationships xmlns="http://schemas.openxmlformats.org/package/2006/relationships"><Relationship Id="rId1" Type="http://schemas.openxmlformats.org/officeDocument/2006/relationships/queryTable" Target="../queryTables/queryTable24.xml"/></Relationships>
</file>

<file path=xl/tables/_rels/table26.xml.rels><?xml version="1.0" encoding="UTF-8" standalone="yes"?>
<Relationships xmlns="http://schemas.openxmlformats.org/package/2006/relationships"><Relationship Id="rId1" Type="http://schemas.openxmlformats.org/officeDocument/2006/relationships/queryTable" Target="../queryTables/queryTable25.xml"/></Relationships>
</file>

<file path=xl/tables/_rels/table27.xml.rels><?xml version="1.0" encoding="UTF-8" standalone="yes"?>
<Relationships xmlns="http://schemas.openxmlformats.org/package/2006/relationships"><Relationship Id="rId1" Type="http://schemas.openxmlformats.org/officeDocument/2006/relationships/queryTable" Target="../queryTables/queryTable26.xml"/></Relationships>
</file>

<file path=xl/tables/_rels/table28.xml.rels><?xml version="1.0" encoding="UTF-8" standalone="yes"?>
<Relationships xmlns="http://schemas.openxmlformats.org/package/2006/relationships"><Relationship Id="rId1" Type="http://schemas.openxmlformats.org/officeDocument/2006/relationships/queryTable" Target="../queryTables/queryTable27.xml"/></Relationships>
</file>

<file path=xl/tables/_rels/table29.xml.rels><?xml version="1.0" encoding="UTF-8" standalone="yes"?>
<Relationships xmlns="http://schemas.openxmlformats.org/package/2006/relationships"><Relationship Id="rId1" Type="http://schemas.openxmlformats.org/officeDocument/2006/relationships/queryTable" Target="../queryTables/queryTable28.xml"/></Relationships>
</file>

<file path=xl/tables/_rels/table30.xml.rels><?xml version="1.0" encoding="UTF-8" standalone="yes"?>
<Relationships xmlns="http://schemas.openxmlformats.org/package/2006/relationships"><Relationship Id="rId1" Type="http://schemas.openxmlformats.org/officeDocument/2006/relationships/queryTable" Target="../queryTables/queryTable29.xml"/></Relationships>
</file>

<file path=xl/tables/_rels/table31.xml.rels><?xml version="1.0" encoding="UTF-8" standalone="yes"?>
<Relationships xmlns="http://schemas.openxmlformats.org/package/2006/relationships"><Relationship Id="rId1" Type="http://schemas.openxmlformats.org/officeDocument/2006/relationships/queryTable" Target="../queryTables/queryTable30.xml"/></Relationships>
</file>

<file path=xl/tables/_rels/table32.xml.rels><?xml version="1.0" encoding="UTF-8" standalone="yes"?>
<Relationships xmlns="http://schemas.openxmlformats.org/package/2006/relationships"><Relationship Id="rId1" Type="http://schemas.openxmlformats.org/officeDocument/2006/relationships/queryTable" Target="../queryTables/queryTable31.xml"/></Relationships>
</file>

<file path=xl/tables/_rels/table33.xml.rels><?xml version="1.0" encoding="UTF-8" standalone="yes"?>
<Relationships xmlns="http://schemas.openxmlformats.org/package/2006/relationships"><Relationship Id="rId1" Type="http://schemas.openxmlformats.org/officeDocument/2006/relationships/queryTable" Target="../queryTables/queryTable32.xml"/></Relationships>
</file>

<file path=xl/tables/_rels/table34.xml.rels><?xml version="1.0" encoding="UTF-8" standalone="yes"?>
<Relationships xmlns="http://schemas.openxmlformats.org/package/2006/relationships"><Relationship Id="rId1" Type="http://schemas.openxmlformats.org/officeDocument/2006/relationships/queryTable" Target="../queryTables/queryTable33.xml"/></Relationships>
</file>

<file path=xl/tables/table1.xml><?xml version="1.0" encoding="utf-8"?>
<table xmlns="http://schemas.openxmlformats.org/spreadsheetml/2006/main" xmlns:mc="http://schemas.openxmlformats.org/markup-compatibility/2006" xmlns:xr="http://schemas.microsoft.com/office/spreadsheetml/2014/revision" xmlns:xr3="http://schemas.microsoft.com/office/spreadsheetml/2016/revision3" mc:Ignorable="xr xr3" id="10" xr:uid="{D78D7AF4-EF9F-4F59-AEEB-42DF006712E7}" name="Table10" displayName="Table10" ref="A3:D6" totalsRowShown="0" headerRowDxfId="66" dataDxfId="65">
  <autoFilter ref="A3:D6" xr:uid="{3B004F2E-6CE8-48E1-A8CC-1DA6CD38B36C}"/>
  <tableColumns count="4">
    <tableColumn id="1" xr3:uid="{19A4ADB4-65C8-405B-8D69-E238ABA928F0}" name="Date" dataDxfId="64"/>
    <tableColumn id="2" xr3:uid="{F6FEA65B-FF28-42C9-8CC9-61F4CED1B86F}" name="Summary of changes" dataDxfId="63"/>
    <tableColumn id="3" xr3:uid="{B7F57500-225B-47B0-ACC8-DA347AD03334}" name="Change Author" dataDxfId="62"/>
    <tableColumn id="4" xr3:uid="{F323205A-8543-43A5-8E3B-3D09061A12DB}" name="Author AD ID" dataDxfId="61"/>
  </tableColumns>
  <tableStyleInfo name="TableStyleMedium4" showFirstColumn="0" showLastColumn="0" showRowStripes="1" showColumnStripes="0"/>
</table>
</file>

<file path=xl/tables/table2.xml><?xml version="1.0" encoding="utf-8"?>
<table xmlns="http://schemas.openxmlformats.org/spreadsheetml/2006/main" xmlns:mc="http://schemas.openxmlformats.org/markup-compatibility/2006" xmlns:xr="http://schemas.microsoft.com/office/spreadsheetml/2014/revision" xmlns:xr3="http://schemas.microsoft.com/office/spreadsheetml/2016/revision3" mc:Ignorable="xr xr3" id="18" xr:uid="{C101943E-7319-4273-9BE5-519A34E8DE6F}" name="CIBC_Rates" displayName="CIBC_Rates" ref="B1:C17" tableType="queryTable" totalsRowShown="0">
  <autoFilter ref="B1:C17" xr:uid="{78EB5C95-1C87-4C77-AD3C-94514783811B}"/>
  <tableColumns count="2">
    <tableColumn id="1" xr3:uid="{1805A14F-5D6B-441E-8BC4-691BAF9B7B84}" uniqueName="1" name="Data.Daily Closing Balance" queryTableFieldId="1"/>
    <tableColumn id="2" xr3:uid="{DD1044A9-F59B-46D0-8718-6C3BDE63183C}" uniqueName="2" name="Data.Rate" queryTableFieldId="2"/>
  </tableColumns>
  <tableStyleInfo name="TableStyleMedium7" showFirstColumn="0" showLastColumn="0" showRowStripes="1" showColumnStripes="0"/>
</table>
</file>

<file path=xl/tables/table3.xml><?xml version="1.0" encoding="utf-8"?>
<table xmlns="http://schemas.openxmlformats.org/spreadsheetml/2006/main" xmlns:mc="http://schemas.openxmlformats.org/markup-compatibility/2006" xmlns:xr="http://schemas.microsoft.com/office/spreadsheetml/2014/revision" xmlns:xr3="http://schemas.microsoft.com/office/spreadsheetml/2016/revision3" mc:Ignorable="xr xr3" id="30" xr:uid="{AD026BB7-2379-4E78-879E-1682542E0D99}" name="TD_Rate_Retail" displayName="TD_Rate_Retail" ref="A2:B27" tableType="queryTable" totalsRowShown="0">
  <autoFilter ref="A2:B27" xr:uid="{E85EAF5E-63B2-4399-A916-F370715F6655}"/>
  <tableColumns count="2">
    <tableColumn id="1" xr3:uid="{499B5814-0FBA-48B2-A5EF-D49DD7208A17}" uniqueName="1" name="Column1" queryTableFieldId="1" dataDxfId="60"/>
    <tableColumn id="2" xr3:uid="{199647BA-970A-4531-97DE-0F6B4CE818D0}" uniqueName="2" name="Column2" queryTableFieldId="2" dataDxfId="59"/>
  </tableColumns>
  <tableStyleInfo name="TableStyleMedium7" showFirstColumn="0" showLastColumn="0" showRowStripes="1" showColumnStripes="0"/>
</table>
</file>

<file path=xl/tables/table4.xml><?xml version="1.0" encoding="utf-8"?>
<table xmlns="http://schemas.openxmlformats.org/spreadsheetml/2006/main" xmlns:mc="http://schemas.openxmlformats.org/markup-compatibility/2006" xmlns:xr="http://schemas.microsoft.com/office/spreadsheetml/2014/revision" xmlns:xr3="http://schemas.microsoft.com/office/spreadsheetml/2016/revision3" mc:Ignorable="xr xr3" id="34" xr:uid="{F0427E5E-1FE2-4275-8594-CA161BF56BD6}" name="TD_Investment_Savings_Account" displayName="TD_Investment_Savings_Account" ref="A29:E34" tableType="queryTable" totalsRowShown="0">
  <autoFilter ref="A29:E34" xr:uid="{444F1D8B-39D1-4A95-A72C-3A111B214915}"/>
  <tableColumns count="5">
    <tableColumn id="1" xr3:uid="{CA448CAE-AEDE-4476-A37A-80F3676BE0D5}" uniqueName="1" name="Account Name" queryTableFieldId="1" dataDxfId="58"/>
    <tableColumn id="2" xr3:uid="{5B7C4811-4C53-41A6-96BF-5389107C4D47}" uniqueName="2" name="Currency" queryTableFieldId="2" dataDxfId="57"/>
    <tableColumn id="3" xr3:uid="{734665F7-5DB2-40AD-BD3B-98FD29CBE168}" uniqueName="3" name="Minimum1" queryTableFieldId="3"/>
    <tableColumn id="4" xr3:uid="{BDB4B9A1-7155-498E-B2E8-661728BDEEFB}" uniqueName="4" name="Maximum" queryTableFieldId="4" dataDxfId="56"/>
    <tableColumn id="5" xr3:uid="{EAF93AB2-FE49-4E47-8DDA-D993804F05B9}" uniqueName="5" name="Current Rate2" queryTableFieldId="5"/>
  </tableColumns>
  <tableStyleInfo name="TableStyleMedium7" showFirstColumn="0" showLastColumn="0" showRowStripes="1" showColumnStripes="0"/>
</table>
</file>

<file path=xl/tables/table5.xml><?xml version="1.0" encoding="utf-8"?>
<table xmlns="http://schemas.openxmlformats.org/spreadsheetml/2006/main" xmlns:mc="http://schemas.openxmlformats.org/markup-compatibility/2006" xmlns:xr="http://schemas.microsoft.com/office/spreadsheetml/2014/revision" xmlns:xr3="http://schemas.microsoft.com/office/spreadsheetml/2016/revision3" mc:Ignorable="xr xr3" id="35" xr:uid="{B1D4FB5F-05F9-4994-A324-AB936E62B952}" name="TD_TFSA" displayName="TD_TFSA" ref="A39:B57" tableType="queryTable" totalsRowShown="0">
  <autoFilter ref="A39:B57" xr:uid="{3ADD0D14-F355-4459-9089-D96A5357280D}"/>
  <tableColumns count="2">
    <tableColumn id="1" xr3:uid="{3A7F1B7E-1FD3-45E8-A895-8D70EACE1A5B}" uniqueName="1" name="Column1" queryTableFieldId="1" dataDxfId="55"/>
    <tableColumn id="2" xr3:uid="{F49E277B-9897-44FE-A3C8-A0BA1BD10B59}" uniqueName="2" name="Column2" queryTableFieldId="2" dataDxfId="54"/>
  </tableColumns>
  <tableStyleInfo name="TableStyleMedium7" showFirstColumn="0" showLastColumn="0" showRowStripes="1" showColumnStripes="0"/>
</table>
</file>

<file path=xl/tables/table6.xml><?xml version="1.0" encoding="utf-8"?>
<table xmlns="http://schemas.openxmlformats.org/spreadsheetml/2006/main" xmlns:mc="http://schemas.openxmlformats.org/markup-compatibility/2006" xmlns:xr="http://schemas.microsoft.com/office/spreadsheetml/2014/revision" xmlns:xr3="http://schemas.microsoft.com/office/spreadsheetml/2016/revision3" mc:Ignorable="xr xr3" id="28" xr:uid="{F901AD99-A037-42EF-9E0D-303B42DB408B}" name="BMO___SBA_SSA_PRSA" displayName="BMO___SBA_SSA_PRSA" ref="B1:C8" tableType="queryTable" totalsRowShown="0">
  <autoFilter ref="B1:C8" xr:uid="{68DC766F-4E6C-4F85-87F3-9DCA2D33FF70}"/>
  <tableColumns count="2">
    <tableColumn id="1" xr3:uid="{29E6FC5F-C395-4ED8-AB61-B1C0535FA499}" uniqueName="1" name="Amount" queryTableFieldId="1" dataDxfId="53"/>
    <tableColumn id="2" xr3:uid="{C372CCBE-8818-4E43-8CA0-725C6FCE3B7A}" uniqueName="2" name="Interest Rates" queryTableFieldId="2"/>
  </tableColumns>
  <tableStyleInfo name="TableStyleMedium7" showFirstColumn="0" showLastColumn="0" showRowStripes="1" showColumnStripes="0"/>
</table>
</file>

<file path=xl/tables/table7.xml><?xml version="1.0" encoding="utf-8"?>
<table xmlns="http://schemas.openxmlformats.org/spreadsheetml/2006/main" xmlns:mc="http://schemas.openxmlformats.org/markup-compatibility/2006" xmlns:xr="http://schemas.microsoft.com/office/spreadsheetml/2014/revision" xmlns:xr3="http://schemas.microsoft.com/office/spreadsheetml/2016/revision3" mc:Ignorable="xr xr3" id="2" xr:uid="{7B02DF4E-6783-422B-9DFF-D79F98E83D0B}" name="BMO_US__Premium_Rate_Savings_Account" displayName="BMO_US__Premium_Rate_Savings_Account" ref="B10:C12" tableType="queryTable" totalsRowShown="0">
  <autoFilter ref="B10:C12" xr:uid="{9CCC542C-E4E8-46C3-BF35-E04F78B5D5A3}"/>
  <tableColumns count="2">
    <tableColumn id="1" xr3:uid="{AA99A617-E719-47E6-A224-83FA5CD4E9B1}" uniqueName="1" name="Amount" queryTableFieldId="1" dataDxfId="52"/>
    <tableColumn id="2" xr3:uid="{7565BDCC-E3A2-4DAC-8B9A-E68D81BDD872}" uniqueName="2" name="Interest Rates" queryTableFieldId="2"/>
  </tableColumns>
  <tableStyleInfo name="TableStyleMedium7" showFirstColumn="0" showLastColumn="0" showRowStripes="1" showColumnStripes="0"/>
</table>
</file>

<file path=xl/tables/table8.xml><?xml version="1.0" encoding="utf-8"?>
<table xmlns="http://schemas.openxmlformats.org/spreadsheetml/2006/main" xmlns:mc="http://schemas.openxmlformats.org/markup-compatibility/2006" xmlns:xr="http://schemas.microsoft.com/office/spreadsheetml/2014/revision" xmlns:xr3="http://schemas.microsoft.com/office/spreadsheetml/2016/revision3" mc:Ignorable="xr xr3" id="26" xr:uid="{25A4E9E4-16F7-40FC-926B-6DD778060BFB}" name="BNS___MPS_MM_SA" displayName="BNS___MPS_MM_SA" ref="B1:E14" tableType="queryTable" totalsRowShown="0">
  <autoFilter ref="B1:E14" xr:uid="{37271CC5-D5B8-430F-8011-17D4CD39CE1F}"/>
  <tableColumns count="4">
    <tableColumn id="1" xr3:uid="{5FE45E18-67A4-4E2B-ADAD-B2873B51C187}" uniqueName="1" name="Description" queryTableFieldId="1" dataDxfId="51"/>
    <tableColumn id="2" xr3:uid="{E15D80D6-A17A-4487-B6C9-97A4B15E12AA}" uniqueName="2" name="Regular Interest Rate*" queryTableFieldId="2" dataDxfId="50"/>
    <tableColumn id="3" xr3:uid="{3407D02B-7CB1-466E-86C9-DEC17B953A52}" uniqueName="3" name="Premium Interest Rate▾" queryTableFieldId="3" dataDxfId="49"/>
    <tableColumn id="4" xr3:uid="{177F3CE0-60F9-4977-8BC2-F6E736C44655}" uniqueName="4" name="Annual Rate" queryTableFieldId="4" dataDxfId="48"/>
  </tableColumns>
  <tableStyleInfo name="TableStyleMedium7" showFirstColumn="0" showLastColumn="0" showRowStripes="1" showColumnStripes="0"/>
</table>
</file>

<file path=xl/tables/table9.xml><?xml version="1.0" encoding="utf-8"?>
<table xmlns="http://schemas.openxmlformats.org/spreadsheetml/2006/main" xmlns:mc="http://schemas.openxmlformats.org/markup-compatibility/2006" xmlns:xr="http://schemas.microsoft.com/office/spreadsheetml/2014/revision" xmlns:xr3="http://schemas.microsoft.com/office/spreadsheetml/2016/revision3" mc:Ignorable="xr xr3" id="27" xr:uid="{C92CFA6E-9BE7-428D-8BAB-3C071E58455D}" name="BNS_Cash_Optimizer_Investment" displayName="BNS_Cash_Optimizer_Investment" ref="B16:D18" tableType="queryTable" totalsRowShown="0">
  <autoFilter ref="B16:D18" xr:uid="{C307930C-5D6D-4F72-8DB4-DAB111796004}"/>
  <tableColumns count="3">
    <tableColumn id="1" xr3:uid="{22152E8D-8B8D-4A04-A39A-CBB4FF0BD462}" uniqueName="1" name="Accounts" queryTableFieldId="1" dataDxfId="47"/>
    <tableColumn id="2" xr3:uid="{F4E3AA89-AF55-41C4-BA74-80BE36E45E0A}" uniqueName="2" name="CAD $6" queryTableFieldId="2"/>
    <tableColumn id="3" xr3:uid="{617E3CA4-D313-495E-A9E7-BB87D5900C2C}" uniqueName="3" name="U.S. $6" queryTableFieldId="3"/>
  </tableColumns>
  <tableStyleInfo name="TableStyleMedium7" showFirstColumn="0" showLastColumn="0" showRowStripes="1" showColumnStripes="0"/>
</table>
</file>

<file path=xl/tables/table10.xml><?xml version="1.0" encoding="utf-8"?>
<table xmlns="http://schemas.openxmlformats.org/spreadsheetml/2006/main" xmlns:mc="http://schemas.openxmlformats.org/markup-compatibility/2006" xmlns:xr="http://schemas.microsoft.com/office/spreadsheetml/2014/revision" xmlns:xr3="http://schemas.microsoft.com/office/spreadsheetml/2016/revision3" mc:Ignorable="xr xr3" id="3" xr:uid="{602260B4-5621-48A1-8361-4BE36E348FD1}" name="Scotia_US_Dollar_Daily_Interest_Account" displayName="Scotia_US_Dollar_Daily_Interest_Account" ref="B20:C27" tableType="queryTable" totalsRowShown="0">
  <autoFilter ref="B20:C27" xr:uid="{EC9C2641-8DCE-4A66-8966-B047AFD1AC24}"/>
  <tableColumns count="2">
    <tableColumn id="1" xr3:uid="{5BD6AD3B-FD28-4E4F-B8E6-3DED9B7BB96B}" uniqueName="1" name="Paid on the portion of the balance  within each tier" queryTableFieldId="1" dataDxfId="46"/>
    <tableColumn id="2" xr3:uid="{B3C93A99-EDD1-4C60-BDDF-72E163D07A3D}" uniqueName="2" name="Annual Interest Rate*" queryTableFieldId="2" dataDxfId="45"/>
  </tableColumns>
  <tableStyleInfo name="TableStyleMedium7" showFirstColumn="0" showLastColumn="0" showRowStripes="1" showColumnStripes="0"/>
</table>
</file>

<file path=xl/tables/table11.xml><?xml version="1.0" encoding="utf-8"?>
<table xmlns="http://schemas.openxmlformats.org/spreadsheetml/2006/main" xmlns:mc="http://schemas.openxmlformats.org/markup-compatibility/2006" xmlns:xr="http://schemas.microsoft.com/office/spreadsheetml/2014/revision" xmlns:xr3="http://schemas.microsoft.com/office/spreadsheetml/2016/revision3" mc:Ignorable="xr xr3" id="11" xr:uid="{00000000-000C-0000-FFFF-FFFF02000000}" name="RBC_Normal_Savings" displayName="RBC_Normal_Savings" ref="B1:D22" tableType="queryTable" totalsRowShown="0">
  <autoFilter ref="B1:D22" xr:uid="{0693CFA0-8957-4BDD-9FEE-FD7786F11970}"/>
  <tableColumns count="3">
    <tableColumn id="1" xr3:uid="{00000000-0010-0000-0200-000001000000}" uniqueName="1" name="Description" queryTableFieldId="1" dataDxfId="44"/>
    <tableColumn id="2" xr3:uid="{00000000-0010-0000-0200-000002000000}" uniqueName="2" name="Categories" queryTableFieldId="2" dataDxfId="43"/>
    <tableColumn id="3" xr3:uid="{00000000-0010-0000-0200-000003000000}" uniqueName="3" name="Interest Rate" queryTableFieldId="3" dataDxfId="42"/>
  </tableColumns>
  <tableStyleInfo name="TableStyleMedium7" showFirstColumn="0" showLastColumn="0" showRowStripes="1" showColumnStripes="0"/>
</table>
</file>

<file path=xl/tables/table12.xml><?xml version="1.0" encoding="utf-8"?>
<table xmlns="http://schemas.openxmlformats.org/spreadsheetml/2006/main" xmlns:mc="http://schemas.openxmlformats.org/markup-compatibility/2006" xmlns:xr="http://schemas.microsoft.com/office/spreadsheetml/2014/revision" xmlns:xr3="http://schemas.microsoft.com/office/spreadsheetml/2016/revision3" mc:Ignorable="xr xr3" id="12" xr:uid="{DC42F516-8EBE-4CB0-A9FC-2743E8CF37E2}" name="RBC___US__High_Interest_eSavings" displayName="RBC___US__High_Interest_eSavings" ref="B26:C27" tableType="queryTable" totalsRowShown="0">
  <autoFilter ref="B26:C27" xr:uid="{9971E45F-8E2A-4321-A6F6-2F7B9BF24E91}"/>
  <tableColumns count="2">
    <tableColumn id="1" xr3:uid="{43A3FFFA-7914-4E2D-8884-930AFA116061}" uniqueName="1" name="If balance is" queryTableFieldId="1" dataDxfId="41"/>
    <tableColumn id="2" xr3:uid="{926AAFFF-81C9-4102-92A6-BD7ADD3F60D5}" uniqueName="2" name="Interest Rate [%]" queryTableFieldId="2"/>
  </tableColumns>
  <tableStyleInfo name="TableStyleMedium7" showFirstColumn="0" showLastColumn="0" showRowStripes="1" showColumnStripes="0"/>
</table>
</file>

<file path=xl/tables/table13.xml><?xml version="1.0" encoding="utf-8"?>
<table xmlns="http://schemas.openxmlformats.org/spreadsheetml/2006/main" xmlns:mc="http://schemas.openxmlformats.org/markup-compatibility/2006" xmlns:xr="http://schemas.microsoft.com/office/spreadsheetml/2014/revision" xmlns:xr3="http://schemas.microsoft.com/office/spreadsheetml/2016/revision3" mc:Ignorable="xr xr3" id="25" xr:uid="{8105EDE5-343F-4458-A695-D68A02792AB1}" name="RBC___US___Personal__Account" displayName="RBC___US___Personal__Account" ref="B30:C31" tableType="queryTable" totalsRowShown="0">
  <autoFilter ref="B30:C31" xr:uid="{28B7A163-12E5-4907-94C4-AE6FC875C94F}"/>
  <tableColumns count="2">
    <tableColumn id="1" xr3:uid="{D22B4E0A-BDC0-4A14-B128-038B6061B10F}" uniqueName="1" name="If balance is" queryTableFieldId="1" dataDxfId="40"/>
    <tableColumn id="2" xr3:uid="{121E3B99-621B-4509-8976-09F32B66A2CA}" uniqueName="2" name="Interest Rate [%]" queryTableFieldId="2"/>
  </tableColumns>
  <tableStyleInfo name="TableStyleMedium7" showFirstColumn="0" showLastColumn="0" showRowStripes="1" showColumnStripes="0"/>
</table>
</file>

<file path=xl/tables/table14.xml><?xml version="1.0" encoding="utf-8"?>
<table xmlns="http://schemas.openxmlformats.org/spreadsheetml/2006/main" xmlns:mc="http://schemas.openxmlformats.org/markup-compatibility/2006" xmlns:xr="http://schemas.microsoft.com/office/spreadsheetml/2014/revision" xmlns:xr3="http://schemas.microsoft.com/office/spreadsheetml/2016/revision3" mc:Ignorable="xr xr3" id="1" xr:uid="{EBA57A47-67C2-4AFD-8DB8-8B55ACF68E62}" name="RBC_US__Investment_Savings_Account" displayName="RBC_US__Investment_Savings_Account" ref="B33:D39" tableType="queryTable" totalsRowShown="0">
  <autoFilter ref="B33:D39" xr:uid="{98F13C39-A8AD-42E5-B5A9-410AFC31426B}"/>
  <tableColumns count="3">
    <tableColumn id="1" xr3:uid="{635D282D-AB84-43A5-AC9D-A6C5ED53DE7D}" uniqueName="1" name="Interest Rates(3)" queryTableFieldId="1" dataDxfId="39"/>
    <tableColumn id="2" xr3:uid="{4AE896BD-D381-467D-8176-419D3E689BE8}" uniqueName="2" name="CAD" queryTableFieldId="2" dataDxfId="38"/>
    <tableColumn id="3" xr3:uid="{2D925FE1-9A86-40DB-8436-A34CDA33E76F}" uniqueName="3" name="USD" queryTableFieldId="3" dataDxfId="37"/>
  </tableColumns>
  <tableStyleInfo name="TableStyleMedium7" showFirstColumn="0" showLastColumn="0" showRowStripes="1" showColumnStripes="0"/>
</table>
</file>

<file path=xl/tables/table15.xml><?xml version="1.0" encoding="utf-8"?>
<table xmlns="http://schemas.openxmlformats.org/spreadsheetml/2006/main" xmlns:mc="http://schemas.openxmlformats.org/markup-compatibility/2006" xmlns:xr="http://schemas.microsoft.com/office/spreadsheetml/2014/revision" xmlns:xr3="http://schemas.microsoft.com/office/spreadsheetml/2016/revision3" mc:Ignorable="xr xr3" id="9" xr:uid="{00000000-000C-0000-FFFF-FFFF03000000}" name="RBC_Leo_s_Young_Savers_Account" displayName="RBC_Leo_s_Young_Savers_Account" ref="A1:B6" tableType="queryTable" totalsRowShown="0">
  <autoFilter ref="A1:B6" xr:uid="{FFA5C606-6CCE-4746-AE59-E991666FFD2C}"/>
  <tableColumns count="2">
    <tableColumn id="1" xr3:uid="{00000000-0010-0000-0300-000001000000}" uniqueName="1" name="Column1" queryTableFieldId="1" dataDxfId="36"/>
    <tableColumn id="2" xr3:uid="{00000000-0010-0000-0300-000002000000}" uniqueName="2" name="Column2" queryTableFieldId="2" dataDxfId="35"/>
  </tableColumns>
  <tableStyleInfo name="TableStyleMedium7" showFirstColumn="0" showLastColumn="0" showRowStripes="1" showColumnStripes="0"/>
</table>
</file>

<file path=xl/tables/table16.xml><?xml version="1.0" encoding="utf-8"?>
<table xmlns="http://schemas.openxmlformats.org/spreadsheetml/2006/main" xmlns:mc="http://schemas.openxmlformats.org/markup-compatibility/2006" xmlns:xr="http://schemas.microsoft.com/office/spreadsheetml/2014/revision" xmlns:xr3="http://schemas.microsoft.com/office/spreadsheetml/2016/revision3" mc:Ignorable="xr xr3" id="7" xr:uid="{00000000-000C-0000-FFFF-FFFF04000000}" name="Find___Save" displayName="Find___Save" ref="A1:B2" tableType="queryTable" totalsRowShown="0">
  <autoFilter ref="A1:B2" xr:uid="{D9B0C820-89B7-40F5-ACD5-33D8E983DEED}"/>
  <tableColumns count="2">
    <tableColumn id="1" xr3:uid="{00000000-0010-0000-0400-000001000000}" uniqueName="1" name="If balance is" queryTableFieldId="1" dataDxfId="34"/>
    <tableColumn id="2" xr3:uid="{00000000-0010-0000-0400-000002000000}" uniqueName="2" name="Interest Rate [%]" queryTableFieldId="2"/>
  </tableColumns>
  <tableStyleInfo name="TableStyleMedium7" showFirstColumn="0" showLastColumn="0" showRowStripes="1" showColumnStripes="0"/>
</table>
</file>

<file path=xl/tables/table17.xml><?xml version="1.0" encoding="utf-8"?>
<table xmlns="http://schemas.openxmlformats.org/spreadsheetml/2006/main" xmlns:mc="http://schemas.openxmlformats.org/markup-compatibility/2006" xmlns:xr="http://schemas.microsoft.com/office/spreadsheetml/2014/revision" xmlns:xr3="http://schemas.microsoft.com/office/spreadsheetml/2016/revision3" mc:Ignorable="xr xr3" id="8" xr:uid="{00000000-000C-0000-FFFF-FFFF05000000}" name="RBC_Day_to_Day_Savings" displayName="RBC_Day_to_Day_Savings" ref="A1:B6" tableType="queryTable" totalsRowShown="0">
  <autoFilter ref="A1:B6" xr:uid="{DF0463D1-5297-469B-BBFB-5BB1DBAF8C43}"/>
  <tableColumns count="2">
    <tableColumn id="1" xr3:uid="{00000000-0010-0000-0500-000001000000}" uniqueName="1" name="Column1" queryTableFieldId="1" dataDxfId="33"/>
    <tableColumn id="2" xr3:uid="{00000000-0010-0000-0500-000002000000}" uniqueName="2" name="Column2" queryTableFieldId="2" dataDxfId="32"/>
  </tableColumns>
  <tableStyleInfo name="TableStyleMedium7" showFirstColumn="0" showLastColumn="0" showRowStripes="1" showColumnStripes="0"/>
</table>
</file>

<file path=xl/tables/table18.xml><?xml version="1.0" encoding="utf-8"?>
<table xmlns="http://schemas.openxmlformats.org/spreadsheetml/2006/main" xmlns:mc="http://schemas.openxmlformats.org/markup-compatibility/2006" xmlns:xr="http://schemas.microsoft.com/office/spreadsheetml/2014/revision" xmlns:xr3="http://schemas.microsoft.com/office/spreadsheetml/2016/revision3" mc:Ignorable="xr xr3" id="6" xr:uid="{00000000-000C-0000-FFFF-FFFF06000000}" name="RBC_Enhanced_Savings" displayName="RBC_Enhanced_Savings" ref="A1:B10" tableType="queryTable" totalsRowShown="0">
  <autoFilter ref="A1:B10" xr:uid="{9D639999-82A5-414B-969A-F105491C5AB0}"/>
  <tableColumns count="2">
    <tableColumn id="1" xr3:uid="{00000000-0010-0000-0600-000001000000}" uniqueName="1" name="Column1" queryTableFieldId="1" dataDxfId="31"/>
    <tableColumn id="2" xr3:uid="{00000000-0010-0000-0600-000002000000}" uniqueName="2" name="Column2" queryTableFieldId="2" dataDxfId="30"/>
  </tableColumns>
  <tableStyleInfo name="TableStyleMedium7" showFirstColumn="0" showLastColumn="0" showRowStripes="1" showColumnStripes="0"/>
</table>
</file>

<file path=xl/tables/table19.xml><?xml version="1.0" encoding="utf-8"?>
<table xmlns="http://schemas.openxmlformats.org/spreadsheetml/2006/main" xmlns:mc="http://schemas.openxmlformats.org/markup-compatibility/2006" xmlns:xr="http://schemas.microsoft.com/office/spreadsheetml/2014/revision" xmlns:xr3="http://schemas.microsoft.com/office/spreadsheetml/2016/revision3" mc:Ignorable="xr xr3" id="5" xr:uid="{00000000-000C-0000-FFFF-FFFF07000000}" name="RBC_High_Interest_eSavings" displayName="RBC_High_Interest_eSavings" ref="A1:B2" tableType="queryTable" totalsRowShown="0">
  <autoFilter ref="A1:B2" xr:uid="{7C60992D-12FA-47BB-B8E9-0B8FBF00D1FC}"/>
  <tableColumns count="2">
    <tableColumn id="1" xr3:uid="{00000000-0010-0000-0700-000001000000}" uniqueName="1" name="If balance is" queryTableFieldId="1" dataDxfId="29"/>
    <tableColumn id="2" xr3:uid="{00000000-0010-0000-0700-000002000000}" uniqueName="2" name="Interest Rate [%]" queryTableFieldId="2"/>
  </tableColumns>
  <tableStyleInfo name="TableStyleMedium7" showFirstColumn="0" showLastColumn="0" showRowStripes="1" showColumnStripes="0"/>
</table>
</file>

<file path=xl/tables/table20.xml><?xml version="1.0" encoding="utf-8"?>
<table xmlns="http://schemas.openxmlformats.org/spreadsheetml/2006/main" xmlns:mc="http://schemas.openxmlformats.org/markup-compatibility/2006" xmlns:xr="http://schemas.microsoft.com/office/spreadsheetml/2014/revision" xmlns:xr3="http://schemas.microsoft.com/office/spreadsheetml/2016/revision3" mc:Ignorable="xr xr3" id="15" xr:uid="{CBCD1845-86B6-4B50-AE33-D5A038BD9613}" name="Simplii_Rates" displayName="Simplii_Rates" ref="B1:C58" tableType="queryTable" totalsRowShown="0">
  <autoFilter ref="B1:C58" xr:uid="{135F4A14-8BFF-49B1-96A3-EBFB90126498}"/>
  <tableColumns count="2">
    <tableColumn id="3" xr3:uid="{D91DB752-87AC-4284-B58A-A37AA5B066DE}" uniqueName="3" name="Data.Column1" queryTableFieldId="3"/>
    <tableColumn id="4" xr3:uid="{815473CC-B804-47AB-8D2F-B32CEB0851DC}" uniqueName="4" name="Data.Column2" queryTableFieldId="4"/>
  </tableColumns>
  <tableStyleInfo name="TableStyleMedium7" showFirstColumn="0" showLastColumn="0" showRowStripes="1" showColumnStripes="0"/>
</table>
</file>

<file path=xl/tables/table21.xml><?xml version="1.0" encoding="utf-8"?>
<table xmlns="http://schemas.openxmlformats.org/spreadsheetml/2006/main" xmlns:mc="http://schemas.openxmlformats.org/markup-compatibility/2006" xmlns:xr="http://schemas.microsoft.com/office/spreadsheetml/2014/revision" xmlns:xr3="http://schemas.microsoft.com/office/spreadsheetml/2016/revision3" mc:Ignorable="xr xr3" id="13" xr:uid="{3917AB9C-9517-4EFC-9033-86526F020593}" name="ICICI_Savings_Accounts" displayName="ICICI_Savings_Accounts" ref="B2:D9" tableType="queryTable" totalsRowShown="0">
  <autoFilter ref="B2:D9" xr:uid="{33491B27-3538-4FAA-87C0-D4F5B6016FB2}"/>
  <tableColumns count="3">
    <tableColumn id="1" xr3:uid="{2D2B38D7-76F5-4DA0-9D0B-17344D6B1AD2}" uniqueName="1" name="HiSAVE Savings Account" queryTableFieldId="4"/>
    <tableColumn id="2" xr3:uid="{F3BB5307-0992-4D0F-823A-6CBC0DBCE5D9}" uniqueName="2" name="Premium Savings Account" queryTableFieldId="5"/>
    <tableColumn id="3" xr3:uid="{974AD77F-CB34-4511-BAF3-DD698EDFAFD4}" uniqueName="3" name="Young Stars Savings Account" queryTableFieldId="6"/>
  </tableColumns>
  <tableStyleInfo name="TableStyleMedium7" showFirstColumn="0" showLastColumn="0" showRowStripes="1" showColumnStripes="0"/>
</table>
</file>

<file path=xl/tables/table22.xml><?xml version="1.0" encoding="utf-8"?>
<table xmlns="http://schemas.openxmlformats.org/spreadsheetml/2006/main" xmlns:mc="http://schemas.openxmlformats.org/markup-compatibility/2006" xmlns:xr="http://schemas.microsoft.com/office/spreadsheetml/2014/revision" xmlns:xr3="http://schemas.microsoft.com/office/spreadsheetml/2016/revision3" mc:Ignorable="xr xr3" id="14" xr:uid="{F96E2BBC-1E92-4BBC-84D8-06E947C7F283}" name="ICICI_Checquing_Accounts" displayName="ICICI_Checquing_Accounts" ref="B12:F17" tableType="queryTable" totalsRowShown="0">
  <autoFilter ref="B12:F17" xr:uid="{EE694B2F-42CD-4D21-9C1D-BE5C7B18B6A9}"/>
  <tableColumns count="5">
    <tableColumn id="1" xr3:uid="{3776E89B-6171-4B17-9C9D-F65B54025418}" uniqueName="1" name="INTEREST RATES" queryTableFieldId="1" dataDxfId="28"/>
    <tableColumn id="2" xr3:uid="{B292EAB2-BF2C-4CAD-8A14-7BBBF76C1211}" uniqueName="2" name="Canadian Dollar HiVALUE® PLUS Chequing Account Effective June 4, 2018" queryTableFieldId="2" dataDxfId="27"/>
    <tableColumn id="3" xr3:uid="{11EB0BC9-9511-408B-A44D-773F37D6DEF3}" uniqueName="3" name="Canadian Dollar HiVALUE® Chequing Account Effective June 4, 2018" queryTableFieldId="3" dataDxfId="26"/>
    <tableColumn id="4" xr3:uid="{81249BCC-D7D7-40B4-AA76-CA1AEA2E0F90}" uniqueName="4" name="US Dollar HiVALUE® Chequing Account Effective September 22, 2009" queryTableFieldId="4" dataDxfId="25"/>
    <tableColumn id="5" xr3:uid="{36D8C5DA-FD84-45A9-A62E-22D762459272}" uniqueName="5" name="Canadian Dollar Basic Chequing Account Effective June 4, 2018" queryTableFieldId="5" dataDxfId="24"/>
  </tableColumns>
  <tableStyleInfo name="TableStyleMedium7" showFirstColumn="0" showLastColumn="0" showRowStripes="1" showColumnStripes="0"/>
</table>
</file>

<file path=xl/tables/table23.xml><?xml version="1.0" encoding="utf-8"?>
<table xmlns="http://schemas.openxmlformats.org/spreadsheetml/2006/main" xmlns:mc="http://schemas.openxmlformats.org/markup-compatibility/2006" xmlns:xr="http://schemas.microsoft.com/office/spreadsheetml/2014/revision" xmlns:xr3="http://schemas.microsoft.com/office/spreadsheetml/2016/revision3" mc:Ignorable="xr xr3" id="16" xr:uid="{B133326B-DF5A-498D-8468-28108D8B00E1}" name="ICICI_GICs" displayName="ICICI_GICs" ref="B20:F33" tableType="queryTable" totalsRowShown="0">
  <autoFilter ref="B20:F33" xr:uid="{97265558-D915-44DD-AA0C-DD6DE465C14D}"/>
  <tableColumns count="5">
    <tableColumn id="1" xr3:uid="{0F23B3BB-0EAF-458D-82C2-7610C8F013A9}" uniqueName="1" name="Data.Term/Currency" queryTableFieldId="1"/>
    <tableColumn id="2" xr3:uid="{75E2F7F9-CC03-47BF-8055-2A8C1469EB1C}" uniqueName="2" name="Data.CAD GIC" queryTableFieldId="2"/>
    <tableColumn id="3" xr3:uid="{709F3C62-1F84-42CA-BF72-1F8CBEBB50FC}" uniqueName="3" name="Data.USD Term Deposit" queryTableFieldId="3"/>
    <tableColumn id="4" xr3:uid="{EAF92C63-7A6C-42E0-A6FC-DBEC37162552}" uniqueName="4" name="Data.Term" queryTableFieldId="4"/>
    <tableColumn id="5" xr3:uid="{AD3A91CF-ABAA-4B8F-9A10-9E44A3C4B6EA}" uniqueName="5" name="Data.CAD Non-Redeemable GICs" queryTableFieldId="5"/>
  </tableColumns>
  <tableStyleInfo name="TableStyleMedium7" showFirstColumn="0" showLastColumn="0" showRowStripes="1" showColumnStripes="0"/>
</table>
</file>

<file path=xl/tables/table24.xml><?xml version="1.0" encoding="utf-8"?>
<table xmlns="http://schemas.openxmlformats.org/spreadsheetml/2006/main" xmlns:mc="http://schemas.openxmlformats.org/markup-compatibility/2006" xmlns:xr="http://schemas.microsoft.com/office/spreadsheetml/2014/revision" xmlns:xr3="http://schemas.microsoft.com/office/spreadsheetml/2016/revision3" mc:Ignorable="xr xr3" id="17" xr:uid="{A7A58B40-A9DD-4240-B245-2EDEB3502E01}" name="ICICI_Tax_Free_GIC" displayName="ICICI_Tax_Free_GIC" ref="B37:D42" tableType="queryTable" totalsRowShown="0">
  <autoFilter ref="B37:D42" xr:uid="{C130B058-1DE6-4C4A-A94E-64039C6A37B5}"/>
  <tableColumns count="3">
    <tableColumn id="1" xr3:uid="{9835C19A-D0A6-4D4F-A5AF-78C2D7AE7B55}" uniqueName="1" name="Column1" queryTableFieldId="1" dataDxfId="23"/>
    <tableColumn id="2" xr3:uid="{E4B5B519-0F63-40ED-AE52-90FE779D465A}" uniqueName="2" name="Column2" queryTableFieldId="2" dataDxfId="22"/>
    <tableColumn id="3" xr3:uid="{3F6772DD-D99A-4D36-8413-0B83087FB492}" uniqueName="3" name="Column3" queryTableFieldId="3"/>
  </tableColumns>
  <tableStyleInfo name="TableStyleMedium7" showFirstColumn="0" showLastColumn="0" showRowStripes="1" showColumnStripes="0"/>
</table>
</file>

<file path=xl/tables/table25.xml><?xml version="1.0" encoding="utf-8"?>
<table xmlns="http://schemas.openxmlformats.org/spreadsheetml/2006/main" xmlns:mc="http://schemas.openxmlformats.org/markup-compatibility/2006" xmlns:xr="http://schemas.microsoft.com/office/spreadsheetml/2014/revision" xmlns:xr3="http://schemas.microsoft.com/office/spreadsheetml/2016/revision3" mc:Ignorable="xr xr3" id="20" xr:uid="{63E362E3-003D-4B6F-A007-6580B72867FF}" name="RSP_Savings_Account" displayName="RSP_Savings_Account" ref="B45:D46" tableType="queryTable" totalsRowShown="0">
  <autoFilter ref="B45:D46" xr:uid="{84181174-9B82-4612-9337-6FF87DA256A3}"/>
  <tableColumns count="3">
    <tableColumn id="1" xr3:uid="{2155D78D-F63D-49B5-9BD4-E499DAF30C13}" uniqueName="1" name="Kind" queryTableFieldId="1" dataDxfId="21"/>
    <tableColumn id="2" xr3:uid="{5F71F85E-75C1-404B-952A-75585A79DD9C}" uniqueName="2" name="Name" queryTableFieldId="2" dataDxfId="20"/>
    <tableColumn id="3" xr3:uid="{D0F30998-3EDC-42AD-B003-81C09B65D7F9}" uniqueName="3" name="Text" queryTableFieldId="3" dataDxfId="19"/>
  </tableColumns>
  <tableStyleInfo name="TableStyleMedium7" showFirstColumn="0" showLastColumn="0" showRowStripes="1" showColumnStripes="0"/>
</table>
</file>

<file path=xl/tables/table26.xml><?xml version="1.0" encoding="utf-8"?>
<table xmlns="http://schemas.openxmlformats.org/spreadsheetml/2006/main" xmlns:mc="http://schemas.openxmlformats.org/markup-compatibility/2006" xmlns:xr="http://schemas.microsoft.com/office/spreadsheetml/2014/revision" xmlns:xr3="http://schemas.microsoft.com/office/spreadsheetml/2016/revision3" mc:Ignorable="xr xr3" id="19" xr:uid="{CF706047-149A-4C12-B64A-5AE1396A7424}" name="ICICI_RSP_GIC" displayName="ICICI_RSP_GIC" ref="B48:D53" tableType="queryTable" totalsRowShown="0">
  <autoFilter ref="B48:D53" xr:uid="{8386D38C-9506-4401-951F-7A96C06617CE}"/>
  <tableColumns count="3">
    <tableColumn id="1" xr3:uid="{ECF83604-61A0-429F-BB90-2F9F9F832176}" uniqueName="1" name="Column1" queryTableFieldId="1" dataDxfId="18"/>
    <tableColumn id="2" xr3:uid="{4D4AF05A-4DAE-4CAF-8659-22E4E6D65CF7}" uniqueName="2" name="Column2" queryTableFieldId="2" dataDxfId="17"/>
    <tableColumn id="3" xr3:uid="{360D6923-09FF-46C3-9364-AA733AE82EE8}" uniqueName="3" name="Column3" queryTableFieldId="3"/>
  </tableColumns>
  <tableStyleInfo name="TableStyleMedium7" showFirstColumn="0" showLastColumn="0" showRowStripes="1" showColumnStripes="0"/>
</table>
</file>

<file path=xl/tables/table27.xml><?xml version="1.0" encoding="utf-8"?>
<table xmlns="http://schemas.openxmlformats.org/spreadsheetml/2006/main" xmlns:mc="http://schemas.openxmlformats.org/markup-compatibility/2006" xmlns:xr="http://schemas.microsoft.com/office/spreadsheetml/2014/revision" xmlns:xr3="http://schemas.microsoft.com/office/spreadsheetml/2016/revision3" mc:Ignorable="xr xr3" id="21" xr:uid="{E1BEB214-774F-4538-8475-001A8E43CD9D}" name="ICICI_Prime_Rate" displayName="ICICI_Prime_Rate" ref="B56:D65" tableType="queryTable" totalsRowShown="0">
  <autoFilter ref="B56:D65" xr:uid="{ACC43226-32AD-4393-9363-A5D155E7233C}"/>
  <tableColumns count="3">
    <tableColumn id="1" xr3:uid="{3B12D208-ABED-4F15-B48A-E8CFCD3E8147}" uniqueName="1" name="Kind" queryTableFieldId="1" dataDxfId="16"/>
    <tableColumn id="2" xr3:uid="{0D03D0C8-1A79-4267-B4F1-57C43FDED7C2}" uniqueName="2" name="Name" queryTableFieldId="2" dataDxfId="15"/>
    <tableColumn id="3" xr3:uid="{7F467352-1B85-4BAC-B96A-BEB06F432488}" uniqueName="3" name="Text" queryTableFieldId="3" dataDxfId="14"/>
  </tableColumns>
  <tableStyleInfo name="TableStyleMedium7" showFirstColumn="0" showLastColumn="0" showRowStripes="1" showColumnStripes="0"/>
</table>
</file>

<file path=xl/tables/table28.xml><?xml version="1.0" encoding="utf-8"?>
<table xmlns="http://schemas.openxmlformats.org/spreadsheetml/2006/main" xmlns:mc="http://schemas.openxmlformats.org/markup-compatibility/2006" xmlns:xr="http://schemas.microsoft.com/office/spreadsheetml/2014/revision" xmlns:xr3="http://schemas.microsoft.com/office/spreadsheetml/2016/revision3" mc:Ignorable="xr xr3" id="22" xr:uid="{74FEF873-C5AF-4B16-8C17-6E4623648DA8}" name="National_Bank_Rates" displayName="National_Bank_Rates" ref="B1:D30" tableType="queryTable" totalsRowShown="0">
  <autoFilter ref="B1:D30" xr:uid="{DF09CF4E-3744-4A04-8A36-01B6B51FF504}"/>
  <tableColumns count="3">
    <tableColumn id="1" xr3:uid="{EAF1A7D0-ED4D-4B76-88BD-59A49036E35F}" uniqueName="1" name="Data.Column1" queryTableFieldId="1"/>
    <tableColumn id="2" xr3:uid="{B54447B9-B1CE-43E4-A539-D7B56FF8A4D1}" uniqueName="2" name="Data.Column2" queryTableFieldId="2"/>
    <tableColumn id="3" xr3:uid="{09213F22-3622-47FD-AF64-5EEDE16A93D6}" uniqueName="3" name="Data.Column3" queryTableFieldId="3"/>
  </tableColumns>
  <tableStyleInfo name="TableStyleMedium7" showFirstColumn="0" showLastColumn="0" showRowStripes="1" showColumnStripes="0"/>
</table>
</file>

<file path=xl/tables/table29.xml><?xml version="1.0" encoding="utf-8"?>
<table xmlns="http://schemas.openxmlformats.org/spreadsheetml/2006/main" xmlns:mc="http://schemas.openxmlformats.org/markup-compatibility/2006" xmlns:xr="http://schemas.microsoft.com/office/spreadsheetml/2014/revision" xmlns:xr3="http://schemas.microsoft.com/office/spreadsheetml/2016/revision3" mc:Ignorable="xr xr3" id="23" xr:uid="{9EC687C6-59EF-4714-8B0E-B7F62E72472A}" name="Manulife_Rates" displayName="Manulife_Rates" ref="B1:E81" tableType="queryTable" totalsRowShown="0">
  <autoFilter ref="B1:E81" xr:uid="{9FB8B646-2B68-480C-A145-28BD52AC02FA}"/>
  <tableColumns count="4">
    <tableColumn id="1" xr3:uid="{CFB56CD5-01BD-4795-9AD3-42B9005D079A}" uniqueName="1" name="Data.Column1" queryTableFieldId="1"/>
    <tableColumn id="2" xr3:uid="{638C4F17-6BBD-4272-82BE-6CD3668F82FD}" uniqueName="2" name="Data.Column2" queryTableFieldId="2"/>
    <tableColumn id="3" xr3:uid="{04D5A378-C2A6-46CD-868E-0AB6CE303BE0}" uniqueName="3" name="Data.Column3" queryTableFieldId="3"/>
    <tableColumn id="4" xr3:uid="{DC8F4F78-07B0-4685-8BCD-3B81710F163E}" uniqueName="4" name="Data.Column4" queryTableFieldId="4"/>
  </tableColumns>
  <tableStyleInfo name="TableStyleMedium7" showFirstColumn="0" showLastColumn="0" showRowStripes="1" showColumnStripes="0"/>
</table>
</file>

<file path=xl/tables/table30.xml><?xml version="1.0" encoding="utf-8"?>
<table xmlns="http://schemas.openxmlformats.org/spreadsheetml/2006/main" xmlns:mc="http://schemas.openxmlformats.org/markup-compatibility/2006" xmlns:xr="http://schemas.microsoft.com/office/spreadsheetml/2014/revision" xmlns:xr3="http://schemas.microsoft.com/office/spreadsheetml/2016/revision3" mc:Ignorable="xr xr3" id="31" xr:uid="{0BA66B2F-B0D4-4785-BE8D-3C244D801D05}" name="HSBC_Rates" displayName="HSBC_Rates" ref="A1:B5" tableType="queryTable" totalsRowShown="0">
  <autoFilter ref="A1:B5" xr:uid="{A06E8E82-AD6A-47D3-917D-E52E53C8D099}"/>
  <tableColumns count="2">
    <tableColumn id="1" xr3:uid="{1FD6E7F4-54B3-41C4-8507-338DC40DD81E}" uniqueName="1" name="Amount" queryTableFieldId="1" dataDxfId="13"/>
    <tableColumn id="2" xr3:uid="{C5FFA56D-7123-4FD4-98A8-7D3A57DF978E}" uniqueName="2" name="CAD High Rate Savings" queryTableFieldId="2"/>
  </tableColumns>
  <tableStyleInfo name="TableStyleMedium7" showFirstColumn="0" showLastColumn="0" showRowStripes="1" showColumnStripes="0"/>
</table>
</file>

<file path=xl/tables/table31.xml><?xml version="1.0" encoding="utf-8"?>
<table xmlns="http://schemas.openxmlformats.org/spreadsheetml/2006/main" xmlns:mc="http://schemas.openxmlformats.org/markup-compatibility/2006" xmlns:xr="http://schemas.microsoft.com/office/spreadsheetml/2014/revision" xmlns:xr3="http://schemas.microsoft.com/office/spreadsheetml/2016/revision3" mc:Ignorable="xr xr3" id="4" xr:uid="{8C159AD5-2B66-4A34-A609-6683B89AA321}" name="CT_HISA_Rates" displayName="CT_HISA_Rates" ref="A1:B2" tableType="queryTable" totalsRowShown="0">
  <autoFilter ref="A1:B2" xr:uid="{5602733F-865F-4885-87FA-1BA021E8D78B}"/>
  <tableColumns count="2">
    <tableColumn id="1" xr3:uid="{E2734CB1-96F3-4F39-A09A-9ADAB223E264}" uniqueName="1" name="High Interest Savings*" queryTableFieldId="1" dataDxfId="12"/>
    <tableColumn id="2" xr3:uid="{A70E9728-B118-48A1-BC57-D92BEEC7A685}" uniqueName="2" name="Annual Rates" queryTableFieldId="2"/>
  </tableColumns>
  <tableStyleInfo name="TableStyleMedium7" showFirstColumn="0" showLastColumn="0" showRowStripes="1" showColumnStripes="0"/>
</table>
</file>

<file path=xl/tables/table32.xml><?xml version="1.0" encoding="utf-8"?>
<table xmlns="http://schemas.openxmlformats.org/spreadsheetml/2006/main" xmlns:mc="http://schemas.openxmlformats.org/markup-compatibility/2006" xmlns:xr="http://schemas.microsoft.com/office/spreadsheetml/2014/revision" xmlns:xr3="http://schemas.microsoft.com/office/spreadsheetml/2016/revision3" mc:Ignorable="xr xr3" id="29" xr:uid="{2D473B69-4F58-4E75-97E3-9053278ED8DA}" name="B2B_Rates" displayName="B2B_Rates" ref="B1:E5" tableType="queryTable" totalsRowShown="0">
  <autoFilter ref="B1:E5" xr:uid="{424FCAA5-D1D1-4929-8643-CC965FD32A7B}"/>
  <tableColumns count="4">
    <tableColumn id="1" xr3:uid="{2AC47192-B811-491E-975F-46A92490B0E3}" uniqueName="1" name="Banking Services" queryTableFieldId="1" dataDxfId="11"/>
    <tableColumn id="2" xr3:uid="{CDADAB3F-45F0-4E6C-872C-117C5F25F50C}" uniqueName="2" name="High Interest Investment Account (HIIA)" queryTableFieldId="2" dataDxfId="10"/>
    <tableColumn id="3" xr3:uid="{F35A3D97-07EA-400E-8783-CEB44508EBDD}" uniqueName="3" name="1.35% A Series_x000d__x000a__x000a_BTB 100" queryTableFieldId="5" dataDxfId="9"/>
    <tableColumn id="4" xr3:uid="{7EF41075-142B-40B4-B5BB-64E86994F9FE}" uniqueName="4" name="1.60% F Series²_x000d__x000a__x000a_BTB 101" queryTableFieldId="6" dataDxfId="8"/>
  </tableColumns>
  <tableStyleInfo name="TableStyleMedium7" showFirstColumn="0" showLastColumn="0" showRowStripes="1" showColumnStripes="0"/>
</table>
</file>

<file path=xl/tables/table33.xml><?xml version="1.0" encoding="utf-8"?>
<table xmlns="http://schemas.openxmlformats.org/spreadsheetml/2006/main" xmlns:mc="http://schemas.openxmlformats.org/markup-compatibility/2006" xmlns:xr="http://schemas.microsoft.com/office/spreadsheetml/2014/revision" xmlns:xr3="http://schemas.microsoft.com/office/spreadsheetml/2016/revision3" mc:Ignorable="xr xr3" id="32" xr:uid="{F1A08140-A143-44CD-AE72-63621B09A985}" name="Meridian_Rates" displayName="Meridian_Rates" ref="A1:C5" tableType="queryTable" totalsRowShown="0">
  <autoFilter ref="A1:C5" xr:uid="{B3512B9B-4993-4862-A620-EF2A70A52322}"/>
  <tableColumns count="3">
    <tableColumn id="1" xr3:uid="{F186E804-7331-44A4-894F-07482E179C0C}" uniqueName="1" name="Rate" queryTableFieldId="1"/>
    <tableColumn id="2" xr3:uid="{0FED587C-5ADE-4475-9FFE-8D8084F564E0}" uniqueName="2" name="Product" queryTableFieldId="2" dataDxfId="7"/>
    <tableColumn id="3" xr3:uid="{D2622B16-D1C8-4760-8BD0-953D9FAFA8F1}" uniqueName="3" name="Get Started" queryTableFieldId="3" dataDxfId="6"/>
  </tableColumns>
  <tableStyleInfo name="TableStyleMedium7" showFirstColumn="0" showLastColumn="0" showRowStripes="1" showColumnStripes="0"/>
</table>
</file>

<file path=xl/tables/table34.xml><?xml version="1.0" encoding="utf-8"?>
<table xmlns="http://schemas.openxmlformats.org/spreadsheetml/2006/main" xmlns:mc="http://schemas.openxmlformats.org/markup-compatibility/2006" xmlns:xr="http://schemas.microsoft.com/office/spreadsheetml/2014/revision" xmlns:xr3="http://schemas.microsoft.com/office/spreadsheetml/2016/revision3" mc:Ignorable="xr xr3" id="24" xr:uid="{6C7074F1-5398-446C-BA36-C5826493DBFB}" name="Altamira_Rates" displayName="Altamira_Rates" ref="A1:F12" tableType="queryTable" totalsRowShown="0">
  <autoFilter ref="A1:F12" xr:uid="{FFCD51A6-B50C-483A-A4D0-237FE474F8B6}"/>
  <tableColumns count="6">
    <tableColumn id="1" xr3:uid="{3E7CB307-16E2-4226-A2DD-121C94952C80}" uniqueName="1" name="Column1" queryTableFieldId="1" dataDxfId="5"/>
    <tableColumn id="2" xr3:uid="{E833CA69-9186-43DA-874F-48DEFE4DA80F}" uniqueName="2" name="Column2" queryTableFieldId="2" dataDxfId="4"/>
    <tableColumn id="3" xr3:uid="{B093F79F-8E4B-49FF-A371-4731884C2E1B}" uniqueName="3" name="Column3" queryTableFieldId="3" dataDxfId="3"/>
    <tableColumn id="4" xr3:uid="{785FF59B-0966-4865-9D07-9033DADA44AF}" uniqueName="4" name="Column4" queryTableFieldId="4" dataDxfId="2"/>
    <tableColumn id="5" xr3:uid="{C61AE777-3A15-4C02-9B1F-136299A5FAC7}" uniqueName="5" name="Column5" queryTableFieldId="5" dataDxfId="1"/>
    <tableColumn id="6" xr3:uid="{FC09C788-CCE1-4C6F-81DC-01AAACC99B7F}" uniqueName="6" name="Column6" queryTableFieldId="6" dataDxfId="0"/>
  </tableColumns>
  <tableStyleInfo name="TableStyleMedium7" showFirstColumn="0" showLastColumn="0" showRowStripes="1" showColumnStripes="0"/>
</table>
</file>

<file path=xl/theme/theme1.xml><?xml version="1.0" encoding="utf-8"?>
<a:theme xmlns:a="http://schemas.openxmlformats.org/drawingml/2006/main" name="Office Theme">
  <a:themeElements>
    <a:clrScheme name="Office">
      <a:dk1>
        <a:sysClr val="windowText" lastClr="000000"/>
      </a:dk1>
      <a:lt1>
        <a:sysClr val="window" lastClr="FFFFFF"/>
      </a:lt1>
      <a:dk2>
        <a:srgbClr val="44546A"/>
      </a:dk2>
      <a:lt2>
        <a:srgbClr val="E7E6E6"/>
      </a:lt2>
      <a:accent1>
        <a:srgbClr val="5B9BD5"/>
      </a:accent1>
      <a:accent2>
        <a:srgbClr val="ED7D31"/>
      </a:accent2>
      <a:accent3>
        <a:srgbClr val="A5A5A5"/>
      </a:accent3>
      <a:accent4>
        <a:srgbClr val="FFC000"/>
      </a:accent4>
      <a:accent5>
        <a:srgbClr val="4472C4"/>
      </a:accent5>
      <a:accent6>
        <a:srgbClr val="70AD47"/>
      </a:accent6>
      <a:hlink>
        <a:srgbClr val="0563C1"/>
      </a:hlink>
      <a:folHlink>
        <a:srgbClr val="954F72"/>
      </a:folHlink>
    </a:clrScheme>
    <a:fontScheme name="Office">
      <a:majorFont>
        <a:latin typeface="Calibri Light" panose="020F0302020204030204"/>
        <a:ea typeface=""/>
        <a:cs typeface=""/>
        <a:font script="Jpan" typeface="游ゴシック Light"/>
        <a:font script="Hang" typeface="맑은 고딕"/>
        <a:font script="Hans" typeface="等线 Light"/>
        <a:font script="Hant" typeface="新細明體"/>
        <a:font script="Arab" typeface="Times New Roman"/>
        <a:font script="Hebr" typeface="Times New Roman"/>
        <a:font script="Thai" typeface="Tahoma"/>
        <a:font script="Ethi" typeface="Nyala"/>
        <a:font script="Beng" typeface="Vrinda"/>
        <a:font script="Gujr" typeface="Shruti"/>
        <a:font script="Khmr" typeface="MoolBoran"/>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Times New Roman"/>
        <a:font script="Uigh" typeface="Microsoft Uighur"/>
        <a:font script="Geor" typeface="Sylfaen"/>
      </a:majorFont>
      <a:minorFont>
        <a:latin typeface="Calibri" panose="020F0502020204030204"/>
        <a:ea typeface=""/>
        <a:cs typeface=""/>
        <a:font script="Jpan" typeface="游ゴシック"/>
        <a:font script="Hang" typeface="맑은 고딕"/>
        <a:font script="Hans" typeface="等线"/>
        <a:font script="Hant" typeface="新細明體"/>
        <a:font script="Arab" typeface="Arial"/>
        <a:font script="Hebr" typeface="Arial"/>
        <a:font script="Thai" typeface="Tahoma"/>
        <a:font script="Ethi" typeface="Nyala"/>
        <a:font script="Beng" typeface="Vrinda"/>
        <a:font script="Gujr" typeface="Shruti"/>
        <a:font script="Khmr" typeface="DaunPenh"/>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Arial"/>
        <a:font script="Uigh" typeface="Microsoft Uighur"/>
        <a:font script="Geor" typeface="Sylfaen"/>
      </a:minorFont>
    </a:fontScheme>
    <a:fmtScheme name="Office">
      <a:fillStyleLst>
        <a:solidFill>
          <a:schemeClr val="phClr"/>
        </a:solidFill>
        <a:gradFill rotWithShape="1">
          <a:gsLst>
            <a:gs pos="0">
              <a:schemeClr val="phClr">
                <a:lumMod val="110000"/>
                <a:satMod val="105000"/>
                <a:tint val="67000"/>
              </a:schemeClr>
            </a:gs>
            <a:gs pos="50000">
              <a:schemeClr val="phClr">
                <a:lumMod val="105000"/>
                <a:satMod val="103000"/>
                <a:tint val="73000"/>
              </a:schemeClr>
            </a:gs>
            <a:gs pos="100000">
              <a:schemeClr val="phClr">
                <a:lumMod val="105000"/>
                <a:satMod val="109000"/>
                <a:tint val="81000"/>
              </a:schemeClr>
            </a:gs>
          </a:gsLst>
          <a:lin ang="5400000" scaled="0"/>
        </a:gradFill>
        <a:gradFill rotWithShape="1">
          <a:gsLst>
            <a:gs pos="0">
              <a:schemeClr val="phClr">
                <a:satMod val="103000"/>
                <a:lumMod val="102000"/>
                <a:tint val="94000"/>
              </a:schemeClr>
            </a:gs>
            <a:gs pos="50000">
              <a:schemeClr val="phClr">
                <a:satMod val="110000"/>
                <a:lumMod val="100000"/>
                <a:shade val="100000"/>
              </a:schemeClr>
            </a:gs>
            <a:gs pos="100000">
              <a:schemeClr val="phClr">
                <a:lumMod val="99000"/>
                <a:satMod val="120000"/>
                <a:shade val="78000"/>
              </a:schemeClr>
            </a:gs>
          </a:gsLst>
          <a:lin ang="5400000" scaled="0"/>
        </a:gradFill>
      </a:fillStyleLst>
      <a:lnStyleLst>
        <a:ln w="6350" cap="flat" cmpd="sng" algn="ctr">
          <a:solidFill>
            <a:schemeClr val="phClr"/>
          </a:solidFill>
          <a:prstDash val="solid"/>
          <a:miter lim="800000"/>
        </a:ln>
        <a:ln w="12700" cap="flat" cmpd="sng" algn="ctr">
          <a:solidFill>
            <a:schemeClr val="phClr"/>
          </a:solidFill>
          <a:prstDash val="solid"/>
          <a:miter lim="800000"/>
        </a:ln>
        <a:ln w="19050" cap="flat" cmpd="sng" algn="ctr">
          <a:solidFill>
            <a:schemeClr val="phClr"/>
          </a:solidFill>
          <a:prstDash val="solid"/>
          <a:miter lim="800000"/>
        </a:ln>
      </a:lnStyleLst>
      <a:effectStyleLst>
        <a:effectStyle>
          <a:effectLst/>
        </a:effectStyle>
        <a:effectStyle>
          <a:effectLst/>
        </a:effectStyle>
        <a:effectStyle>
          <a:effectLst>
            <a:outerShdw blurRad="57150" dist="19050" dir="5400000" algn="ctr" rotWithShape="0">
              <a:srgbClr val="000000">
                <a:alpha val="63000"/>
              </a:srgbClr>
            </a:outerShdw>
          </a:effectLst>
        </a:effectStyle>
      </a:effectStyleLst>
      <a:bgFillStyleLst>
        <a:solidFill>
          <a:schemeClr val="phClr"/>
        </a:solidFill>
        <a:solidFill>
          <a:schemeClr val="phClr">
            <a:tint val="95000"/>
            <a:satMod val="170000"/>
          </a:schemeClr>
        </a:solidFill>
        <a:gradFill rotWithShape="1">
          <a:gsLst>
            <a:gs pos="0">
              <a:schemeClr val="phClr">
                <a:tint val="93000"/>
                <a:satMod val="150000"/>
                <a:shade val="98000"/>
                <a:lumMod val="102000"/>
              </a:schemeClr>
            </a:gs>
            <a:gs pos="50000">
              <a:schemeClr val="phClr">
                <a:tint val="98000"/>
                <a:satMod val="130000"/>
                <a:shade val="90000"/>
                <a:lumMod val="103000"/>
              </a:schemeClr>
            </a:gs>
            <a:gs pos="100000">
              <a:schemeClr val="phClr">
                <a:shade val="63000"/>
                <a:satMod val="120000"/>
              </a:schemeClr>
            </a:gs>
          </a:gsLst>
          <a:lin ang="5400000" scaled="0"/>
        </a:gradFill>
      </a:bgFillStyleLst>
    </a:fmtScheme>
  </a:themeElements>
  <a:objectDefaults/>
  <a:extraClrSchemeLst/>
  <a:extLst>
    <a:ext uri="{05A4C25C-085E-4340-85A3-A5531E510DB2}">
      <thm15:themeFamily xmlns:thm15="http://schemas.microsoft.com/office/thememl/2012/main" name="Office Theme" id="{62F939B6-93AF-4DB8-9C6B-D6C7DFDC589F}" vid="{4A3C46E8-61CC-4603-A589-7422A47A8E4A}"/>
    </a:ext>
  </a:extLst>
</a:theme>
</file>

<file path=xl/worksheets/_rels/sheet1.xml.rels><?xml version="1.0" encoding="UTF-8" standalone="yes"?>
<Relationships xmlns="http://schemas.openxmlformats.org/package/2006/relationships"><Relationship Id="rId8" Type="http://schemas.openxmlformats.org/officeDocument/2006/relationships/ctrlProp" Target="../ctrlProps/ctrlProp5.xml"/><Relationship Id="rId3" Type="http://schemas.openxmlformats.org/officeDocument/2006/relationships/vmlDrawing" Target="../drawings/vmlDrawing1.vml"/><Relationship Id="rId7" Type="http://schemas.openxmlformats.org/officeDocument/2006/relationships/ctrlProp" Target="../ctrlProps/ctrlProp4.xml"/><Relationship Id="rId2" Type="http://schemas.openxmlformats.org/officeDocument/2006/relationships/drawing" Target="../drawings/drawing1.xml"/><Relationship Id="rId1" Type="http://schemas.openxmlformats.org/officeDocument/2006/relationships/printerSettings" Target="../printerSettings/printerSettings1.bin"/><Relationship Id="rId6" Type="http://schemas.openxmlformats.org/officeDocument/2006/relationships/ctrlProp" Target="../ctrlProps/ctrlProp3.xml"/><Relationship Id="rId5" Type="http://schemas.openxmlformats.org/officeDocument/2006/relationships/ctrlProp" Target="../ctrlProps/ctrlProp2.xml"/><Relationship Id="rId4" Type="http://schemas.openxmlformats.org/officeDocument/2006/relationships/ctrlProp" Target="../ctrlProps/ctrlProp1.xml"/><Relationship Id="rId9" Type="http://schemas.openxmlformats.org/officeDocument/2006/relationships/ctrlProp" Target="../ctrlProps/ctrlProp6.xml"/></Relationships>
</file>

<file path=xl/worksheets/_rels/sheet2.xml.rels><?xml version="1.0" encoding="UTF-8" standalone="yes"?>
<Relationships xmlns="http://schemas.openxmlformats.org/package/2006/relationships"><Relationship Id="rId1" Type="http://schemas.openxmlformats.org/officeDocument/2006/relationships/drawing" Target="../drawings/drawing2.xml"/></Relationships>
</file>

<file path=xl/worksheets/_rels/sheet3.xml.rels><?xml version="1.0" encoding="UTF-8" standalone="yes"?>
<Relationships xmlns="http://schemas.openxmlformats.org/package/2006/relationships"><Relationship Id="rId3" Type="http://schemas.openxmlformats.org/officeDocument/2006/relationships/comments" Target="../comments1.xml"/><Relationship Id="rId2" Type="http://schemas.openxmlformats.org/officeDocument/2006/relationships/vmlDrawing" Target="../drawings/vmlDrawing2.vml"/><Relationship Id="rId1" Type="http://schemas.openxmlformats.org/officeDocument/2006/relationships/drawing" Target="../drawings/drawing3.xml"/></Relationships>
</file>

<file path=xl/worksheets/_rels/sheet4.xml.rels><?xml version="1.0" encoding="UTF-8" standalone="yes"?>
<Relationships xmlns="http://schemas.openxmlformats.org/package/2006/relationships"><Relationship Id="rId3" Type="http://schemas.openxmlformats.org/officeDocument/2006/relationships/comments" Target="../comments2.xml"/><Relationship Id="rId2" Type="http://schemas.openxmlformats.org/officeDocument/2006/relationships/vmlDrawing" Target="../drawings/vmlDrawing3.vml"/><Relationship Id="rId1" Type="http://schemas.openxmlformats.org/officeDocument/2006/relationships/drawing" Target="../drawings/drawing4.xml"/></Relationships>
</file>

<file path=xl/worksheets/_rels/sheet5.xml.rels><?xml version="1.0" encoding="UTF-8" standalone="yes"?>
<Relationships xmlns="http://schemas.openxmlformats.org/package/2006/relationships"><Relationship Id="rId1" Type="http://schemas.openxmlformats.org/officeDocument/2006/relationships/table" Target="../tables/table1.xml"/></Relationships>
</file>

<file path=xl/worksheets/_rels/sheet6.xml.rels><?xml version="1.0" encoding="UTF-8" standalone="yes"?>
<Relationships xmlns="http://schemas.openxmlformats.org/package/2006/relationships"><Relationship Id="rId2" Type="http://schemas.openxmlformats.org/officeDocument/2006/relationships/table" Target="../tables/table2.xml"/><Relationship Id="rId1" Type="http://schemas.openxmlformats.org/officeDocument/2006/relationships/printerSettings" Target="../printerSettings/printerSettings2.bin"/></Relationships>
</file>

<file path=xl/worksheets/_rels/sheet7.xml.rels><?xml version="1.0" encoding="UTF-8" standalone="yes"?>
<Relationships xmlns="http://schemas.openxmlformats.org/package/2006/relationships"><Relationship Id="rId3" Type="http://schemas.openxmlformats.org/officeDocument/2006/relationships/table" Target="../tables/table5.xml"/><Relationship Id="rId2" Type="http://schemas.openxmlformats.org/officeDocument/2006/relationships/table" Target="../tables/table4.xml"/><Relationship Id="rId1" Type="http://schemas.openxmlformats.org/officeDocument/2006/relationships/table" Target="../tables/table3.xml"/></Relationships>
</file>

<file path=xl/worksheets/_rels/sheet8.xml.rels><?xml version="1.0" encoding="UTF-8" standalone="yes"?>
<Relationships xmlns="http://schemas.openxmlformats.org/package/2006/relationships"><Relationship Id="rId2" Type="http://schemas.openxmlformats.org/officeDocument/2006/relationships/table" Target="../tables/table7.xml"/><Relationship Id="rId1" Type="http://schemas.openxmlformats.org/officeDocument/2006/relationships/table" Target="../tables/table6.xml"/></Relationships>
</file>

<file path=xl/worksheets/_rels/sheet9.xml.rels><?xml version="1.0" encoding="UTF-8" standalone="yes"?>
<Relationships xmlns="http://schemas.openxmlformats.org/package/2006/relationships"><Relationship Id="rId3" Type="http://schemas.openxmlformats.org/officeDocument/2006/relationships/table" Target="../tables/table9.xml"/><Relationship Id="rId2" Type="http://schemas.openxmlformats.org/officeDocument/2006/relationships/table" Target="../tables/table8.xml"/><Relationship Id="rId1" Type="http://schemas.openxmlformats.org/officeDocument/2006/relationships/printerSettings" Target="../printerSettings/printerSettings3.bin"/><Relationship Id="rId4" Type="http://schemas.openxmlformats.org/officeDocument/2006/relationships/table" Target="../tables/table10.xml"/></Relationships>
</file>

<file path=xl/worksheets/_rels/sheet10.xml.rels><?xml version="1.0" encoding="UTF-8" standalone="yes"?>
<Relationships xmlns="http://schemas.openxmlformats.org/package/2006/relationships"><Relationship Id="rId3" Type="http://schemas.openxmlformats.org/officeDocument/2006/relationships/table" Target="../tables/table13.xml"/><Relationship Id="rId2" Type="http://schemas.openxmlformats.org/officeDocument/2006/relationships/table" Target="../tables/table12.xml"/><Relationship Id="rId1" Type="http://schemas.openxmlformats.org/officeDocument/2006/relationships/table" Target="../tables/table11.xml"/><Relationship Id="rId4" Type="http://schemas.openxmlformats.org/officeDocument/2006/relationships/table" Target="../tables/table14.xml"/></Relationships>
</file>

<file path=xl/worksheets/_rels/sheet11.xml.rels><?xml version="1.0" encoding="UTF-8" standalone="yes"?>
<Relationships xmlns="http://schemas.openxmlformats.org/package/2006/relationships"><Relationship Id="rId1" Type="http://schemas.openxmlformats.org/officeDocument/2006/relationships/table" Target="../tables/table15.xml"/></Relationships>
</file>

<file path=xl/worksheets/_rels/sheet12.xml.rels><?xml version="1.0" encoding="UTF-8" standalone="yes"?>
<Relationships xmlns="http://schemas.openxmlformats.org/package/2006/relationships"><Relationship Id="rId1" Type="http://schemas.openxmlformats.org/officeDocument/2006/relationships/table" Target="../tables/table16.xml"/></Relationships>
</file>

<file path=xl/worksheets/_rels/sheet13.xml.rels><?xml version="1.0" encoding="UTF-8" standalone="yes"?>
<Relationships xmlns="http://schemas.openxmlformats.org/package/2006/relationships"><Relationship Id="rId1" Type="http://schemas.openxmlformats.org/officeDocument/2006/relationships/table" Target="../tables/table17.xml"/></Relationships>
</file>

<file path=xl/worksheets/_rels/sheet14.xml.rels><?xml version="1.0" encoding="UTF-8" standalone="yes"?>
<Relationships xmlns="http://schemas.openxmlformats.org/package/2006/relationships"><Relationship Id="rId1" Type="http://schemas.openxmlformats.org/officeDocument/2006/relationships/table" Target="../tables/table18.xml"/></Relationships>
</file>

<file path=xl/worksheets/_rels/sheet15.xml.rels><?xml version="1.0" encoding="UTF-8" standalone="yes"?>
<Relationships xmlns="http://schemas.openxmlformats.org/package/2006/relationships"><Relationship Id="rId1" Type="http://schemas.openxmlformats.org/officeDocument/2006/relationships/table" Target="../tables/table19.xml"/></Relationships>
</file>

<file path=xl/worksheets/_rels/sheet16.xml.rels><?xml version="1.0" encoding="UTF-8" standalone="yes"?>
<Relationships xmlns="http://schemas.openxmlformats.org/package/2006/relationships"><Relationship Id="rId2" Type="http://schemas.openxmlformats.org/officeDocument/2006/relationships/table" Target="../tables/table20.xml"/><Relationship Id="rId1" Type="http://schemas.openxmlformats.org/officeDocument/2006/relationships/printerSettings" Target="../printerSettings/printerSettings4.bin"/></Relationships>
</file>

<file path=xl/worksheets/_rels/sheet17.xml.rels><?xml version="1.0" encoding="UTF-8" standalone="yes"?>
<Relationships xmlns="http://schemas.openxmlformats.org/package/2006/relationships"><Relationship Id="rId3" Type="http://schemas.openxmlformats.org/officeDocument/2006/relationships/table" Target="../tables/table23.xml"/><Relationship Id="rId7" Type="http://schemas.openxmlformats.org/officeDocument/2006/relationships/table" Target="../tables/table27.xml"/><Relationship Id="rId2" Type="http://schemas.openxmlformats.org/officeDocument/2006/relationships/table" Target="../tables/table22.xml"/><Relationship Id="rId1" Type="http://schemas.openxmlformats.org/officeDocument/2006/relationships/table" Target="../tables/table21.xml"/><Relationship Id="rId6" Type="http://schemas.openxmlformats.org/officeDocument/2006/relationships/table" Target="../tables/table26.xml"/><Relationship Id="rId5" Type="http://schemas.openxmlformats.org/officeDocument/2006/relationships/table" Target="../tables/table25.xml"/><Relationship Id="rId4" Type="http://schemas.openxmlformats.org/officeDocument/2006/relationships/table" Target="../tables/table24.xml"/></Relationships>
</file>

<file path=xl/worksheets/_rels/sheet18.xml.rels><?xml version="1.0" encoding="UTF-8" standalone="yes"?>
<Relationships xmlns="http://schemas.openxmlformats.org/package/2006/relationships"><Relationship Id="rId2" Type="http://schemas.openxmlformats.org/officeDocument/2006/relationships/table" Target="../tables/table28.xml"/><Relationship Id="rId1" Type="http://schemas.openxmlformats.org/officeDocument/2006/relationships/printerSettings" Target="../printerSettings/printerSettings5.bin"/></Relationships>
</file>

<file path=xl/worksheets/_rels/sheet19.xml.rels><?xml version="1.0" encoding="UTF-8" standalone="yes"?>
<Relationships xmlns="http://schemas.openxmlformats.org/package/2006/relationships"><Relationship Id="rId1" Type="http://schemas.openxmlformats.org/officeDocument/2006/relationships/table" Target="../tables/table29.xml"/></Relationships>
</file>

<file path=xl/worksheets/_rels/sheet20.xml.rels><?xml version="1.0" encoding="UTF-8" standalone="yes"?>
<Relationships xmlns="http://schemas.openxmlformats.org/package/2006/relationships"><Relationship Id="rId1" Type="http://schemas.openxmlformats.org/officeDocument/2006/relationships/table" Target="../tables/table30.xml"/></Relationships>
</file>

<file path=xl/worksheets/_rels/sheet21.xml.rels><?xml version="1.0" encoding="UTF-8" standalone="yes"?>
<Relationships xmlns="http://schemas.openxmlformats.org/package/2006/relationships"><Relationship Id="rId1" Type="http://schemas.openxmlformats.org/officeDocument/2006/relationships/table" Target="../tables/table31.xml"/></Relationships>
</file>

<file path=xl/worksheets/_rels/sheet22.xml.rels><?xml version="1.0" encoding="UTF-8" standalone="yes"?>
<Relationships xmlns="http://schemas.openxmlformats.org/package/2006/relationships"><Relationship Id="rId1" Type="http://schemas.openxmlformats.org/officeDocument/2006/relationships/table" Target="../tables/table32.xml"/></Relationships>
</file>

<file path=xl/worksheets/_rels/sheet23.xml.rels><?xml version="1.0" encoding="UTF-8" standalone="yes"?>
<Relationships xmlns="http://schemas.openxmlformats.org/package/2006/relationships"><Relationship Id="rId1" Type="http://schemas.openxmlformats.org/officeDocument/2006/relationships/table" Target="../tables/table33.xml"/></Relationships>
</file>

<file path=xl/worksheets/_rels/sheet24.xml.rels><?xml version="1.0" encoding="UTF-8" standalone="yes"?>
<Relationships xmlns="http://schemas.openxmlformats.org/package/2006/relationships"><Relationship Id="rId1" Type="http://schemas.openxmlformats.org/officeDocument/2006/relationships/table" Target="../tables/table34.xml"/></Relationships>
</file>

<file path=xl/worksheets/sheet1.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9ED86910-9042-4D8A-9DCE-D53D00274B4D}">
  <sheetPr codeName="Sheet23">
    <tabColor theme="9" tint="-0.249977111117893"/>
  </sheetPr>
  <dimension ref="B3:B13"/>
  <sheetViews>
    <sheetView tabSelected="1" workbookViewId="0">
      <selection activeCell="H12" sqref="H12"/>
    </sheetView>
  </sheetViews>
  <sheetFormatPr defaultRowHeight="15" x14ac:dyDescent="0.25"/>
  <cols>
    <col min="1" max="1" width="9.140625" style="81"/>
    <col min="2" max="2" width="80.85546875" style="81" customWidth="1"/>
    <col min="3" max="16384" width="9.140625" style="81"/>
  </cols>
  <sheetData>
    <row r="3" spans="2:2" ht="42" customHeight="1" x14ac:dyDescent="0.25">
      <c r="B3" s="82" t="s">
        <v>568</v>
      </c>
    </row>
    <row r="4" spans="2:2" x14ac:dyDescent="0.25">
      <c r="B4" s="84"/>
    </row>
    <row r="5" spans="2:2" x14ac:dyDescent="0.25">
      <c r="B5" s="83" t="s">
        <v>565</v>
      </c>
    </row>
    <row r="6" spans="2:2" ht="34.5" customHeight="1" x14ac:dyDescent="0.25">
      <c r="B6" s="85"/>
    </row>
    <row r="7" spans="2:2" x14ac:dyDescent="0.25">
      <c r="B7" s="84"/>
    </row>
    <row r="8" spans="2:2" x14ac:dyDescent="0.25">
      <c r="B8" s="83" t="s">
        <v>566</v>
      </c>
    </row>
    <row r="9" spans="2:2" ht="109.5" customHeight="1" x14ac:dyDescent="0.25">
      <c r="B9" s="85"/>
    </row>
    <row r="10" spans="2:2" x14ac:dyDescent="0.25">
      <c r="B10" s="84"/>
    </row>
    <row r="11" spans="2:2" x14ac:dyDescent="0.25">
      <c r="B11" s="83" t="s">
        <v>567</v>
      </c>
    </row>
    <row r="12" spans="2:2" ht="73.5" customHeight="1" x14ac:dyDescent="0.25">
      <c r="B12" s="85"/>
    </row>
    <row r="13" spans="2:2" x14ac:dyDescent="0.25">
      <c r="B13" s="86"/>
    </row>
  </sheetData>
  <pageMargins left="0.7" right="0.7" top="0.75" bottom="0.75" header="0.3" footer="0.3"/>
  <pageSetup orientation="portrait" r:id="rId1"/>
  <drawing r:id="rId2"/>
  <legacyDrawing r:id="rId3"/>
  <mc:AlternateContent xmlns:mc="http://schemas.openxmlformats.org/markup-compatibility/2006">
    <mc:Choice Requires="x14">
      <controls>
        <mc:AlternateContent xmlns:mc="http://schemas.openxmlformats.org/markup-compatibility/2006">
          <mc:Choice Requires="x14">
            <control shapeId="23553" r:id="rId4" name="Button 1">
              <controlPr defaultSize="0" print="0" autoFill="0" autoPict="0" macro="[0]!ArchiveRetail_Click">
                <anchor moveWithCells="1" sizeWithCells="1">
                  <from>
                    <xdr:col>1</xdr:col>
                    <xdr:colOff>323850</xdr:colOff>
                    <xdr:row>8</xdr:row>
                    <xdr:rowOff>209550</xdr:rowOff>
                  </from>
                  <to>
                    <xdr:col>1</xdr:col>
                    <xdr:colOff>1714500</xdr:colOff>
                    <xdr:row>8</xdr:row>
                    <xdr:rowOff>581025</xdr:rowOff>
                  </to>
                </anchor>
              </controlPr>
            </control>
          </mc:Choice>
        </mc:AlternateContent>
        <mc:AlternateContent xmlns:mc="http://schemas.openxmlformats.org/markup-compatibility/2006">
          <mc:Choice Requires="x14">
            <control shapeId="23554" r:id="rId5" name="Button 2">
              <controlPr defaultSize="0" print="0" autoFill="0" autoPict="0" macro="[0]!ArchiveUS_Click">
                <anchor moveWithCells="1" sizeWithCells="1">
                  <from>
                    <xdr:col>1</xdr:col>
                    <xdr:colOff>2000250</xdr:colOff>
                    <xdr:row>8</xdr:row>
                    <xdr:rowOff>209550</xdr:rowOff>
                  </from>
                  <to>
                    <xdr:col>1</xdr:col>
                    <xdr:colOff>3390900</xdr:colOff>
                    <xdr:row>8</xdr:row>
                    <xdr:rowOff>581025</xdr:rowOff>
                  </to>
                </anchor>
              </controlPr>
            </control>
          </mc:Choice>
        </mc:AlternateContent>
        <mc:AlternateContent xmlns:mc="http://schemas.openxmlformats.org/markup-compatibility/2006">
          <mc:Choice Requires="x14">
            <control shapeId="23555" r:id="rId6" name="Button 3">
              <controlPr defaultSize="0" print="0" autoFill="0" autoPict="0" macro="[0]!ArchiveBroker_Click">
                <anchor moveWithCells="1" sizeWithCells="1">
                  <from>
                    <xdr:col>1</xdr:col>
                    <xdr:colOff>3657600</xdr:colOff>
                    <xdr:row>8</xdr:row>
                    <xdr:rowOff>209550</xdr:rowOff>
                  </from>
                  <to>
                    <xdr:col>1</xdr:col>
                    <xdr:colOff>5048250</xdr:colOff>
                    <xdr:row>8</xdr:row>
                    <xdr:rowOff>581025</xdr:rowOff>
                  </to>
                </anchor>
              </controlPr>
            </control>
          </mc:Choice>
        </mc:AlternateContent>
        <mc:AlternateContent xmlns:mc="http://schemas.openxmlformats.org/markup-compatibility/2006">
          <mc:Choice Requires="x14">
            <control shapeId="23556" r:id="rId7" name="Button 4">
              <controlPr defaultSize="0" print="0" autoFill="0" autoPict="0" macro="[0]!RefreshAll_Click">
                <anchor moveWithCells="1" sizeWithCells="1">
                  <from>
                    <xdr:col>1</xdr:col>
                    <xdr:colOff>2114550</xdr:colOff>
                    <xdr:row>5</xdr:row>
                    <xdr:rowOff>76200</xdr:rowOff>
                  </from>
                  <to>
                    <xdr:col>1</xdr:col>
                    <xdr:colOff>3228975</xdr:colOff>
                    <xdr:row>5</xdr:row>
                    <xdr:rowOff>361950</xdr:rowOff>
                  </to>
                </anchor>
              </controlPr>
            </control>
          </mc:Choice>
        </mc:AlternateContent>
        <mc:AlternateContent xmlns:mc="http://schemas.openxmlformats.org/markup-compatibility/2006">
          <mc:Choice Requires="x14">
            <control shapeId="23557" r:id="rId8" name="Button 5">
              <controlPr defaultSize="0" print="0" autoFill="0" autoPict="0" macro="[0]!ArchiveAll_Click">
                <anchor moveWithCells="1" sizeWithCells="1">
                  <from>
                    <xdr:col>1</xdr:col>
                    <xdr:colOff>1428750</xdr:colOff>
                    <xdr:row>8</xdr:row>
                    <xdr:rowOff>781050</xdr:rowOff>
                  </from>
                  <to>
                    <xdr:col>1</xdr:col>
                    <xdr:colOff>3952875</xdr:colOff>
                    <xdr:row>8</xdr:row>
                    <xdr:rowOff>1162050</xdr:rowOff>
                  </to>
                </anchor>
              </controlPr>
            </control>
          </mc:Choice>
        </mc:AlternateContent>
        <mc:AlternateContent xmlns:mc="http://schemas.openxmlformats.org/markup-compatibility/2006">
          <mc:Choice Requires="x14">
            <control shapeId="23558" r:id="rId9" name="Button 6">
              <controlPr defaultSize="0" print="0" autoFill="0" autoPict="0" macro="[0]!RefreshArchive_Click">
                <anchor moveWithCells="1" sizeWithCells="1">
                  <from>
                    <xdr:col>1</xdr:col>
                    <xdr:colOff>1428750</xdr:colOff>
                    <xdr:row>11</xdr:row>
                    <xdr:rowOff>161925</xdr:rowOff>
                  </from>
                  <to>
                    <xdr:col>1</xdr:col>
                    <xdr:colOff>3952875</xdr:colOff>
                    <xdr:row>11</xdr:row>
                    <xdr:rowOff>771525</xdr:rowOff>
                  </to>
                </anchor>
              </controlPr>
            </control>
          </mc:Choice>
        </mc:AlternateContent>
      </controls>
    </mc:Choice>
  </mc:AlternateContent>
</worksheet>
</file>

<file path=xl/worksheets/sheet2.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3D9B02F4-7B92-4C10-A9D5-08CF4CFB3EA2}">
  <sheetPr codeName="Sheet1">
    <tabColor theme="5" tint="0.39997558519241921"/>
  </sheetPr>
  <dimension ref="A1:AB27"/>
  <sheetViews>
    <sheetView topLeftCell="A7" workbookViewId="0">
      <selection activeCell="H26" sqref="H26"/>
    </sheetView>
  </sheetViews>
  <sheetFormatPr defaultRowHeight="15" x14ac:dyDescent="0.25"/>
  <cols>
    <col min="1" max="1" width="28.42578125" bestFit="1" customWidth="1"/>
    <col min="2" max="2" width="9.85546875" bestFit="1" customWidth="1"/>
  </cols>
  <sheetData>
    <row r="1" spans="1:28" ht="25.5" x14ac:dyDescent="0.35">
      <c r="A1" s="105"/>
      <c r="B1" s="105"/>
      <c r="C1" s="105"/>
      <c r="D1" s="105"/>
      <c r="E1" s="105"/>
      <c r="F1" s="105"/>
      <c r="G1" s="105"/>
      <c r="H1" s="105"/>
      <c r="I1" s="105"/>
      <c r="J1" s="105"/>
      <c r="K1" s="105"/>
      <c r="L1" s="105"/>
      <c r="M1" s="105"/>
      <c r="N1" s="105"/>
      <c r="O1" s="105"/>
      <c r="P1" s="105"/>
      <c r="Q1" s="105"/>
      <c r="R1" s="105"/>
      <c r="S1" s="105"/>
      <c r="T1" s="105"/>
      <c r="U1" s="105"/>
      <c r="V1" s="105"/>
      <c r="W1" s="3"/>
      <c r="X1" s="3"/>
      <c r="Y1" s="3"/>
      <c r="Z1" s="3"/>
      <c r="AA1" s="3"/>
      <c r="AB1" s="3"/>
    </row>
    <row r="2" spans="1:28" ht="25.5" x14ac:dyDescent="0.35">
      <c r="A2" s="3"/>
      <c r="B2" s="4" t="s">
        <v>0</v>
      </c>
      <c r="C2" s="4"/>
      <c r="D2" s="4"/>
      <c r="E2" s="4"/>
      <c r="F2" s="4"/>
      <c r="G2" s="4"/>
      <c r="H2" s="4"/>
      <c r="I2" s="4"/>
      <c r="J2" s="4"/>
      <c r="K2" s="4"/>
      <c r="L2" s="4"/>
      <c r="M2" s="4"/>
      <c r="N2" s="4"/>
      <c r="O2" s="4"/>
      <c r="P2" s="4"/>
      <c r="Q2" s="4"/>
      <c r="R2" s="4"/>
      <c r="S2" s="4"/>
      <c r="T2" s="4"/>
      <c r="U2" s="4"/>
      <c r="V2" s="4"/>
      <c r="W2" s="4"/>
      <c r="X2" s="4"/>
      <c r="Y2" s="4"/>
      <c r="Z2" s="4"/>
      <c r="AA2" s="3"/>
      <c r="AB2" s="3"/>
    </row>
    <row r="3" spans="1:28" x14ac:dyDescent="0.25">
      <c r="A3" s="3"/>
      <c r="B3" s="3"/>
      <c r="C3" s="3"/>
      <c r="D3" s="3"/>
      <c r="E3" s="3"/>
      <c r="F3" s="3"/>
      <c r="G3" s="3"/>
      <c r="H3" s="3"/>
      <c r="I3" s="3"/>
      <c r="J3" s="3"/>
      <c r="K3" s="3"/>
      <c r="L3" s="3"/>
      <c r="M3" s="3"/>
      <c r="N3" s="3"/>
      <c r="O3" s="3"/>
      <c r="P3" s="3"/>
      <c r="Q3" s="3"/>
      <c r="R3" s="3"/>
      <c r="S3" s="3"/>
      <c r="T3" s="5"/>
      <c r="U3" s="3"/>
      <c r="V3" s="3"/>
      <c r="W3" s="3"/>
      <c r="X3" s="3"/>
      <c r="Y3" s="3"/>
      <c r="Z3" s="3"/>
      <c r="AA3" s="3"/>
      <c r="AB3" s="3"/>
    </row>
    <row r="4" spans="1:28" x14ac:dyDescent="0.25">
      <c r="A4" s="3"/>
      <c r="B4" s="3"/>
      <c r="C4" s="3"/>
      <c r="D4" s="3"/>
      <c r="E4" s="3"/>
      <c r="F4" s="3"/>
      <c r="G4" s="3"/>
      <c r="H4" s="3"/>
      <c r="I4" s="3"/>
      <c r="J4" s="3"/>
      <c r="K4" s="3"/>
      <c r="L4" s="3"/>
      <c r="M4" s="3"/>
      <c r="N4" s="3"/>
      <c r="O4" s="3"/>
      <c r="P4" s="3"/>
      <c r="Q4" s="3"/>
      <c r="R4" s="3"/>
      <c r="S4" s="3"/>
      <c r="T4" s="6"/>
      <c r="U4" s="3"/>
      <c r="V4" s="3"/>
      <c r="W4" s="3"/>
      <c r="X4" s="3"/>
      <c r="Y4" s="3"/>
      <c r="Z4" s="3"/>
      <c r="AA4" s="3"/>
      <c r="AB4" s="3"/>
    </row>
    <row r="5" spans="1:28" x14ac:dyDescent="0.25">
      <c r="A5" s="3"/>
      <c r="B5" s="3"/>
      <c r="C5" s="3"/>
      <c r="D5" s="3"/>
      <c r="E5" s="3"/>
      <c r="F5" s="3"/>
      <c r="G5" s="3"/>
      <c r="H5" s="3"/>
      <c r="I5" s="3"/>
      <c r="J5" s="3"/>
      <c r="K5" s="3"/>
      <c r="L5" s="3"/>
      <c r="M5" s="3"/>
      <c r="N5" s="3"/>
      <c r="O5" s="3"/>
      <c r="P5" s="3"/>
      <c r="Q5" s="3"/>
      <c r="R5" s="3"/>
      <c r="S5" s="3"/>
      <c r="T5" s="3"/>
      <c r="U5" s="3"/>
      <c r="V5" s="3"/>
      <c r="W5" s="3"/>
      <c r="X5" s="3"/>
      <c r="Y5" s="3"/>
      <c r="Z5" s="3"/>
      <c r="AA5" s="3"/>
      <c r="AB5" s="3"/>
    </row>
    <row r="6" spans="1:28" x14ac:dyDescent="0.25">
      <c r="A6" s="3"/>
      <c r="B6" s="3"/>
      <c r="C6" s="3"/>
      <c r="D6" s="3"/>
      <c r="E6" s="3"/>
      <c r="F6" s="3"/>
      <c r="G6" s="3"/>
      <c r="H6" s="3"/>
      <c r="I6" s="3"/>
      <c r="J6" s="3"/>
      <c r="K6" s="3"/>
      <c r="L6" s="3"/>
      <c r="M6" s="3"/>
      <c r="N6" s="3"/>
      <c r="O6" s="3"/>
      <c r="P6" s="3"/>
      <c r="Q6" s="3"/>
      <c r="R6" s="3"/>
      <c r="S6" s="3"/>
      <c r="T6" s="3"/>
      <c r="U6" s="3"/>
      <c r="V6" s="3"/>
      <c r="W6" s="3"/>
      <c r="X6" s="3"/>
      <c r="Y6" s="3"/>
      <c r="Z6" s="3"/>
      <c r="AA6" s="3"/>
      <c r="AB6" s="3"/>
    </row>
    <row r="7" spans="1:28" x14ac:dyDescent="0.25">
      <c r="A7" s="7" t="s">
        <v>1</v>
      </c>
      <c r="B7" s="8"/>
      <c r="C7" s="3"/>
      <c r="D7" s="3"/>
      <c r="E7" s="3"/>
      <c r="F7" s="3"/>
      <c r="G7" s="3"/>
      <c r="H7" s="3"/>
      <c r="I7" s="3"/>
      <c r="J7" s="3"/>
      <c r="K7" s="3"/>
      <c r="L7" s="3"/>
      <c r="M7" s="3"/>
      <c r="N7" s="3"/>
      <c r="O7" s="3"/>
      <c r="P7" s="3"/>
      <c r="Q7" s="3"/>
      <c r="R7" s="3"/>
      <c r="S7" s="3"/>
      <c r="T7" s="3"/>
      <c r="U7" s="3"/>
      <c r="V7" s="3"/>
      <c r="W7" s="3"/>
      <c r="X7" s="3"/>
      <c r="Y7" s="3"/>
      <c r="Z7" s="3"/>
      <c r="AA7" s="3"/>
      <c r="AB7" s="3"/>
    </row>
    <row r="8" spans="1:28" x14ac:dyDescent="0.25">
      <c r="A8" s="3"/>
      <c r="B8" s="3"/>
      <c r="C8" s="3"/>
      <c r="D8" s="3"/>
      <c r="E8" s="3"/>
      <c r="F8" s="3"/>
      <c r="G8" s="3"/>
      <c r="H8" s="3"/>
      <c r="I8" s="9"/>
      <c r="J8" s="9"/>
      <c r="K8" s="9"/>
      <c r="L8" s="9"/>
      <c r="M8" s="9"/>
      <c r="N8" s="9"/>
      <c r="O8" s="3"/>
      <c r="P8" s="3"/>
      <c r="Q8" s="3"/>
      <c r="R8" s="3"/>
      <c r="S8" s="3"/>
      <c r="T8" s="3"/>
      <c r="U8" s="3"/>
      <c r="V8" s="3"/>
      <c r="W8" s="3"/>
      <c r="X8" s="3"/>
      <c r="Y8" s="3"/>
      <c r="Z8" s="3"/>
      <c r="AA8" s="3"/>
      <c r="AB8" s="3"/>
    </row>
    <row r="9" spans="1:28" x14ac:dyDescent="0.25">
      <c r="A9" s="10"/>
      <c r="B9" s="11" t="s">
        <v>2</v>
      </c>
      <c r="C9" s="11" t="s">
        <v>2</v>
      </c>
      <c r="D9" s="11" t="s">
        <v>2</v>
      </c>
      <c r="E9" s="11" t="s">
        <v>3</v>
      </c>
      <c r="F9" s="11" t="s">
        <v>3</v>
      </c>
      <c r="G9" s="11" t="s">
        <v>3</v>
      </c>
      <c r="H9" s="11" t="s">
        <v>4</v>
      </c>
      <c r="I9" s="11" t="s">
        <v>4</v>
      </c>
      <c r="J9" s="11" t="s">
        <v>5</v>
      </c>
      <c r="K9" s="11" t="s">
        <v>6</v>
      </c>
      <c r="L9" s="11" t="s">
        <v>6</v>
      </c>
      <c r="M9" s="11" t="s">
        <v>6</v>
      </c>
      <c r="N9" s="11" t="s">
        <v>7</v>
      </c>
      <c r="O9" s="11" t="s">
        <v>7</v>
      </c>
      <c r="P9" s="11" t="s">
        <v>7</v>
      </c>
      <c r="Q9" s="11" t="s">
        <v>8</v>
      </c>
      <c r="R9" s="11" t="s">
        <v>9</v>
      </c>
      <c r="S9" s="11" t="s">
        <v>10</v>
      </c>
      <c r="T9" s="11" t="s">
        <v>11</v>
      </c>
      <c r="U9" s="11" t="s">
        <v>12</v>
      </c>
      <c r="V9" s="11" t="s">
        <v>13</v>
      </c>
      <c r="W9" s="11" t="s">
        <v>14</v>
      </c>
      <c r="X9" s="11" t="s">
        <v>15</v>
      </c>
      <c r="Y9" s="11" t="s">
        <v>16</v>
      </c>
      <c r="Z9" s="11" t="s">
        <v>17</v>
      </c>
      <c r="AA9" s="11" t="s">
        <v>18</v>
      </c>
      <c r="AB9" s="12" t="s">
        <v>19</v>
      </c>
    </row>
    <row r="10" spans="1:28" ht="64.5" x14ac:dyDescent="0.25">
      <c r="A10" s="10"/>
      <c r="B10" s="13" t="s">
        <v>20</v>
      </c>
      <c r="C10" s="13" t="s">
        <v>21</v>
      </c>
      <c r="D10" s="13" t="s">
        <v>22</v>
      </c>
      <c r="E10" s="13" t="s">
        <v>23</v>
      </c>
      <c r="F10" s="13" t="s">
        <v>24</v>
      </c>
      <c r="G10" s="13" t="s">
        <v>25</v>
      </c>
      <c r="H10" s="13" t="s">
        <v>26</v>
      </c>
      <c r="I10" s="13" t="s">
        <v>27</v>
      </c>
      <c r="J10" s="13" t="s">
        <v>28</v>
      </c>
      <c r="K10" s="13" t="s">
        <v>29</v>
      </c>
      <c r="L10" s="13" t="s">
        <v>30</v>
      </c>
      <c r="M10" s="13" t="s">
        <v>31</v>
      </c>
      <c r="N10" s="13" t="s">
        <v>32</v>
      </c>
      <c r="O10" s="13" t="s">
        <v>33</v>
      </c>
      <c r="P10" s="13" t="s">
        <v>34</v>
      </c>
      <c r="Q10" s="13" t="s">
        <v>35</v>
      </c>
      <c r="R10" s="13" t="s">
        <v>24</v>
      </c>
      <c r="S10" s="14" t="s">
        <v>36</v>
      </c>
      <c r="T10" s="13" t="s">
        <v>37</v>
      </c>
      <c r="U10" s="13" t="s">
        <v>38</v>
      </c>
      <c r="V10" s="13" t="s">
        <v>39</v>
      </c>
      <c r="W10" s="13" t="s">
        <v>40</v>
      </c>
      <c r="X10" s="13" t="s">
        <v>41</v>
      </c>
      <c r="Y10" s="13" t="s">
        <v>24</v>
      </c>
      <c r="Z10" s="13" t="s">
        <v>42</v>
      </c>
      <c r="AA10" s="13" t="s">
        <v>43</v>
      </c>
      <c r="AB10" s="12" t="s">
        <v>44</v>
      </c>
    </row>
    <row r="11" spans="1:28" x14ac:dyDescent="0.25">
      <c r="A11" s="15" t="s">
        <v>45</v>
      </c>
      <c r="B11" s="15">
        <f t="shared" ref="B11:B16" si="0">B12</f>
        <v>105</v>
      </c>
      <c r="C11" s="16">
        <f t="shared" ref="C11:C17" si="1">C12</f>
        <v>10</v>
      </c>
      <c r="D11" s="16">
        <f>(CIBC_rates!C5)*10000</f>
        <v>5</v>
      </c>
      <c r="E11" s="16">
        <f t="shared" ref="E11:E12" si="2">E12</f>
        <v>5</v>
      </c>
      <c r="F11" s="15">
        <f t="shared" ref="F11:F12" si="3">F12</f>
        <v>50</v>
      </c>
      <c r="G11" s="15">
        <f t="shared" ref="G11:G12" si="4">G12</f>
        <v>105</v>
      </c>
      <c r="H11" s="15">
        <f>(BMO_rates!C4)*10000</f>
        <v>20</v>
      </c>
      <c r="I11" s="95">
        <f t="shared" ref="I11:I16" si="5">I12</f>
        <v>80</v>
      </c>
      <c r="J11" s="15" t="str">
        <f t="shared" ref="J11:J12" si="6">J12</f>
        <v>5 (p)</v>
      </c>
      <c r="K11" s="15" t="str">
        <f>(BNS_rates!C3)*10000 &amp; " + " &amp; (BNS_rates!D4)*10000 &amp; ", "&amp; (BNS_rates!D5)*10000 &amp; ", "&amp; (BNS_rates!D6)*10000 &amp; ", "&amp; (BNS_rates!D7)*10000</f>
        <v>105 + 75, 80, 85, 90</v>
      </c>
      <c r="L11" s="15">
        <f t="shared" ref="L11:L16" si="7">L12</f>
        <v>2</v>
      </c>
      <c r="M11" s="15">
        <f>(BNS_rates!E12)*10000</f>
        <v>115</v>
      </c>
      <c r="N11" s="15">
        <f>(RBC_rates!D2)*100</f>
        <v>105</v>
      </c>
      <c r="O11" s="15" t="str">
        <f>LEFT((RBC_rates!D4),5)*100 &amp; " (p)"</f>
        <v>15 (p)</v>
      </c>
      <c r="P11" s="16" t="str">
        <f t="shared" ref="P11:P16" si="8">P12</f>
        <v>5 (p)</v>
      </c>
      <c r="Q11" s="15">
        <v>110</v>
      </c>
      <c r="R11" s="95">
        <f t="shared" ref="R11:R19" si="9">R12</f>
        <v>125</v>
      </c>
      <c r="S11" s="15">
        <v>80</v>
      </c>
      <c r="T11" s="16">
        <f>LEFT((ICICI_rates!B3),5)*10000</f>
        <v>135</v>
      </c>
      <c r="U11" s="96">
        <f t="shared" ref="U11:U16" si="10">U12</f>
        <v>105</v>
      </c>
      <c r="V11" s="87">
        <f>(Manulife_rates!E4)*10000</f>
        <v>140</v>
      </c>
      <c r="W11" s="15">
        <f>W12</f>
        <v>115</v>
      </c>
      <c r="X11" s="15">
        <f>(CT_rates!B2)*10000</f>
        <v>150</v>
      </c>
      <c r="Y11" s="15">
        <f>(B2B_rates!D2)*10000</f>
        <v>85</v>
      </c>
      <c r="Z11" s="15">
        <f>(BNS_rates!C17)*10000</f>
        <v>25</v>
      </c>
      <c r="AA11" s="95">
        <f>(Meridian_rates!A2)*10000</f>
        <v>0</v>
      </c>
      <c r="AB11" s="18">
        <v>230</v>
      </c>
    </row>
    <row r="12" spans="1:28" x14ac:dyDescent="0.25">
      <c r="A12" s="15" t="s">
        <v>46</v>
      </c>
      <c r="B12" s="15">
        <f t="shared" si="0"/>
        <v>105</v>
      </c>
      <c r="C12" s="16">
        <f t="shared" si="1"/>
        <v>10</v>
      </c>
      <c r="D12" s="16">
        <f t="shared" ref="D12" si="11">D11</f>
        <v>5</v>
      </c>
      <c r="E12" s="16">
        <f t="shared" si="2"/>
        <v>5</v>
      </c>
      <c r="F12" s="15">
        <f t="shared" si="3"/>
        <v>50</v>
      </c>
      <c r="G12" s="15">
        <f t="shared" si="4"/>
        <v>105</v>
      </c>
      <c r="H12" s="95" t="str">
        <f>(BMO_rates!C2)*10000 &amp; "+" &amp; (BMO_rates!C3)*10000</f>
        <v>20+145</v>
      </c>
      <c r="I12" s="95">
        <f t="shared" si="5"/>
        <v>80</v>
      </c>
      <c r="J12" s="15" t="str">
        <f t="shared" si="6"/>
        <v>5 (p)</v>
      </c>
      <c r="K12" s="15" t="str">
        <f>K11</f>
        <v>105 + 75, 80, 85, 90</v>
      </c>
      <c r="L12" s="15">
        <f t="shared" si="7"/>
        <v>2</v>
      </c>
      <c r="M12" s="15">
        <f t="shared" ref="M12:M16" si="12">M13</f>
        <v>105</v>
      </c>
      <c r="N12" s="15">
        <f>N11</f>
        <v>105</v>
      </c>
      <c r="O12" s="15" t="str">
        <f>LEFT((RBC_rates!D5),5)*100 &amp; " (p)"</f>
        <v>15 (p)</v>
      </c>
      <c r="P12" s="16" t="str">
        <f t="shared" si="8"/>
        <v>5 (p)</v>
      </c>
      <c r="Q12" s="15">
        <f t="shared" ref="Q12:V21" si="13">Q11</f>
        <v>110</v>
      </c>
      <c r="R12" s="95">
        <f t="shared" si="9"/>
        <v>125</v>
      </c>
      <c r="S12" s="15">
        <f t="shared" si="13"/>
        <v>80</v>
      </c>
      <c r="T12" s="16">
        <f t="shared" si="13"/>
        <v>135</v>
      </c>
      <c r="U12" s="96">
        <f t="shared" si="10"/>
        <v>105</v>
      </c>
      <c r="V12" s="87">
        <f t="shared" si="13"/>
        <v>140</v>
      </c>
      <c r="W12" s="15">
        <f>W13</f>
        <v>115</v>
      </c>
      <c r="X12" s="15">
        <f>X11</f>
        <v>150</v>
      </c>
      <c r="Y12" s="15">
        <f>Y11</f>
        <v>85</v>
      </c>
      <c r="Z12" s="15">
        <f>Z11</f>
        <v>25</v>
      </c>
      <c r="AA12" s="95">
        <f t="shared" ref="AA12:AB21" si="14">AA11</f>
        <v>0</v>
      </c>
      <c r="AB12" s="18">
        <f>AB11</f>
        <v>230</v>
      </c>
    </row>
    <row r="13" spans="1:28" x14ac:dyDescent="0.25">
      <c r="A13" s="15" t="s">
        <v>47</v>
      </c>
      <c r="B13" s="15">
        <f t="shared" si="0"/>
        <v>105</v>
      </c>
      <c r="C13" s="16">
        <f t="shared" si="1"/>
        <v>10</v>
      </c>
      <c r="D13" s="16">
        <f t="shared" ref="D13:D19" si="15">D12</f>
        <v>5</v>
      </c>
      <c r="E13" s="16">
        <f>E14</f>
        <v>5</v>
      </c>
      <c r="F13" s="15">
        <f>F14</f>
        <v>50</v>
      </c>
      <c r="G13" s="15">
        <f>G14</f>
        <v>105</v>
      </c>
      <c r="H13" s="95" t="str">
        <f>H12</f>
        <v>20+145</v>
      </c>
      <c r="I13" s="95">
        <f t="shared" si="5"/>
        <v>80</v>
      </c>
      <c r="J13" s="15" t="str">
        <f>J14</f>
        <v>5 (p)</v>
      </c>
      <c r="K13" s="15" t="str">
        <f t="shared" ref="K13:K21" si="16">K12</f>
        <v>105 + 75, 80, 85, 90</v>
      </c>
      <c r="L13" s="15">
        <f t="shared" si="7"/>
        <v>2</v>
      </c>
      <c r="M13" s="15">
        <f t="shared" si="12"/>
        <v>105</v>
      </c>
      <c r="N13" s="15">
        <f t="shared" ref="N13:N21" si="17">N12</f>
        <v>105</v>
      </c>
      <c r="O13" s="15" t="str">
        <f>LEFT((RBC_rates!D6),5)*100 &amp; " (p)"</f>
        <v>5 (p)</v>
      </c>
      <c r="P13" s="16" t="str">
        <f t="shared" si="8"/>
        <v>5 (p)</v>
      </c>
      <c r="Q13" s="15">
        <f>Q12</f>
        <v>110</v>
      </c>
      <c r="R13" s="95">
        <f t="shared" si="9"/>
        <v>125</v>
      </c>
      <c r="S13" s="15">
        <f>S12</f>
        <v>80</v>
      </c>
      <c r="T13" s="16">
        <f>T12</f>
        <v>135</v>
      </c>
      <c r="U13" s="96">
        <f t="shared" si="10"/>
        <v>105</v>
      </c>
      <c r="V13" s="87">
        <f>V12</f>
        <v>140</v>
      </c>
      <c r="W13" s="15">
        <f>(HSBC_rates!B5)*10000</f>
        <v>115</v>
      </c>
      <c r="X13" s="15">
        <f t="shared" ref="X13:X21" si="18">X12</f>
        <v>150</v>
      </c>
      <c r="Y13" s="15">
        <f t="shared" ref="Y13:Y21" si="19">Y12</f>
        <v>85</v>
      </c>
      <c r="Z13" s="15">
        <f t="shared" ref="Z13:AA21" si="20">Z12</f>
        <v>25</v>
      </c>
      <c r="AA13" s="95">
        <f t="shared" si="20"/>
        <v>0</v>
      </c>
      <c r="AB13" s="18">
        <f t="shared" si="14"/>
        <v>230</v>
      </c>
    </row>
    <row r="14" spans="1:28" x14ac:dyDescent="0.25">
      <c r="A14" s="15" t="s">
        <v>48</v>
      </c>
      <c r="B14" s="15">
        <f t="shared" si="0"/>
        <v>105</v>
      </c>
      <c r="C14" s="16">
        <f t="shared" si="1"/>
        <v>10</v>
      </c>
      <c r="D14" s="16">
        <f t="shared" si="15"/>
        <v>5</v>
      </c>
      <c r="E14" s="16">
        <f>(TD_rates!B10)*10000</f>
        <v>5</v>
      </c>
      <c r="F14" s="15">
        <f>(TD_rates!B16)*10000</f>
        <v>50</v>
      </c>
      <c r="G14" s="15">
        <f>(TD_rates!B23)*10000</f>
        <v>105</v>
      </c>
      <c r="H14" s="95" t="str">
        <f t="shared" ref="H14:H21" si="21">H13</f>
        <v>20+145</v>
      </c>
      <c r="I14" s="95">
        <f t="shared" si="5"/>
        <v>80</v>
      </c>
      <c r="J14" s="15" t="str">
        <f>(BMO_rates!C8)*10000 &amp; " (p)"</f>
        <v>5 (p)</v>
      </c>
      <c r="K14" s="15" t="str">
        <f t="shared" si="16"/>
        <v>105 + 75, 80, 85, 90</v>
      </c>
      <c r="L14" s="15">
        <f t="shared" si="7"/>
        <v>2</v>
      </c>
      <c r="M14" s="15">
        <f t="shared" si="12"/>
        <v>105</v>
      </c>
      <c r="N14" s="15">
        <f t="shared" si="17"/>
        <v>105</v>
      </c>
      <c r="O14" s="15" t="str">
        <f>LEFT((RBC_rates!D7),5)*100 &amp; " (p)"</f>
        <v>2.5 (p)</v>
      </c>
      <c r="P14" s="16" t="str">
        <f t="shared" si="8"/>
        <v>5 (p)</v>
      </c>
      <c r="Q14" s="15">
        <f>Q11</f>
        <v>110</v>
      </c>
      <c r="R14" s="95">
        <f t="shared" si="9"/>
        <v>125</v>
      </c>
      <c r="S14" s="15">
        <f>S11</f>
        <v>80</v>
      </c>
      <c r="T14" s="16">
        <f t="shared" ref="T14:T21" si="22">T13</f>
        <v>135</v>
      </c>
      <c r="U14" s="96">
        <f t="shared" si="10"/>
        <v>105</v>
      </c>
      <c r="V14" s="87">
        <f>V11</f>
        <v>140</v>
      </c>
      <c r="W14" s="15">
        <f>W15</f>
        <v>105</v>
      </c>
      <c r="X14" s="15">
        <f t="shared" si="18"/>
        <v>150</v>
      </c>
      <c r="Y14" s="15">
        <f t="shared" si="19"/>
        <v>85</v>
      </c>
      <c r="Z14" s="15">
        <f t="shared" si="20"/>
        <v>25</v>
      </c>
      <c r="AA14" s="95">
        <f t="shared" si="20"/>
        <v>0</v>
      </c>
      <c r="AB14" s="18">
        <f>AB13</f>
        <v>230</v>
      </c>
    </row>
    <row r="15" spans="1:28" x14ac:dyDescent="0.25">
      <c r="A15" s="15" t="s">
        <v>49</v>
      </c>
      <c r="B15" s="15">
        <f t="shared" si="0"/>
        <v>105</v>
      </c>
      <c r="C15" s="16">
        <f t="shared" si="1"/>
        <v>10</v>
      </c>
      <c r="D15" s="16">
        <f t="shared" si="15"/>
        <v>5</v>
      </c>
      <c r="E15" s="16">
        <f>E16</f>
        <v>5</v>
      </c>
      <c r="F15" s="15">
        <f>F16</f>
        <v>50</v>
      </c>
      <c r="G15" s="15">
        <f>G16</f>
        <v>105</v>
      </c>
      <c r="H15" s="95" t="str">
        <f t="shared" si="21"/>
        <v>20+145</v>
      </c>
      <c r="I15" s="95">
        <f t="shared" si="5"/>
        <v>80</v>
      </c>
      <c r="J15" s="15" t="str">
        <f>(BMO_rates!C7)*10000 &amp; " (p)"</f>
        <v>5 (p)</v>
      </c>
      <c r="K15" s="15" t="str">
        <f t="shared" si="16"/>
        <v>105 + 75, 80, 85, 90</v>
      </c>
      <c r="L15" s="15">
        <f t="shared" si="7"/>
        <v>2</v>
      </c>
      <c r="M15" s="15">
        <f t="shared" si="12"/>
        <v>105</v>
      </c>
      <c r="N15" s="15">
        <f t="shared" si="17"/>
        <v>105</v>
      </c>
      <c r="O15" s="15">
        <f>O16</f>
        <v>1</v>
      </c>
      <c r="P15" s="16" t="str">
        <f t="shared" si="8"/>
        <v>5 (p)</v>
      </c>
      <c r="Q15" s="15">
        <f t="shared" ref="Q15:Q21" si="23">Q14</f>
        <v>110</v>
      </c>
      <c r="R15" s="95">
        <f t="shared" si="9"/>
        <v>125</v>
      </c>
      <c r="S15" s="15">
        <f t="shared" si="13"/>
        <v>80</v>
      </c>
      <c r="T15" s="16">
        <f t="shared" si="22"/>
        <v>135</v>
      </c>
      <c r="U15" s="96">
        <f t="shared" si="10"/>
        <v>105</v>
      </c>
      <c r="V15" s="87">
        <f>V14</f>
        <v>140</v>
      </c>
      <c r="W15" s="15">
        <f>(HSBC_rates!B4)*10000</f>
        <v>105</v>
      </c>
      <c r="X15" s="15">
        <f t="shared" si="18"/>
        <v>150</v>
      </c>
      <c r="Y15" s="15">
        <f t="shared" si="19"/>
        <v>85</v>
      </c>
      <c r="Z15" s="15">
        <f t="shared" si="20"/>
        <v>25</v>
      </c>
      <c r="AA15" s="95">
        <f t="shared" si="20"/>
        <v>0</v>
      </c>
      <c r="AB15" s="18">
        <f t="shared" si="14"/>
        <v>230</v>
      </c>
    </row>
    <row r="16" spans="1:28" x14ac:dyDescent="0.25">
      <c r="A16" s="15" t="s">
        <v>50</v>
      </c>
      <c r="B16" s="15">
        <f t="shared" si="0"/>
        <v>105</v>
      </c>
      <c r="C16" s="16">
        <f t="shared" si="1"/>
        <v>10</v>
      </c>
      <c r="D16" s="16">
        <f t="shared" si="15"/>
        <v>5</v>
      </c>
      <c r="E16" s="16">
        <f>(TD_rates!B9)*10000</f>
        <v>5</v>
      </c>
      <c r="F16" s="15">
        <f>(TD_rates!B15)*10000</f>
        <v>50</v>
      </c>
      <c r="G16" s="15">
        <f>(TD_rates!B22)*10000</f>
        <v>105</v>
      </c>
      <c r="H16" s="95" t="str">
        <f t="shared" si="21"/>
        <v>20+145</v>
      </c>
      <c r="I16" s="95">
        <f t="shared" si="5"/>
        <v>80</v>
      </c>
      <c r="J16" s="15" t="str">
        <f>J15</f>
        <v>5 (p)</v>
      </c>
      <c r="K16" s="15" t="str">
        <f t="shared" si="16"/>
        <v>105 + 75, 80, 85, 90</v>
      </c>
      <c r="L16" s="15">
        <f t="shared" si="7"/>
        <v>2</v>
      </c>
      <c r="M16" s="15">
        <f t="shared" si="12"/>
        <v>105</v>
      </c>
      <c r="N16" s="15">
        <f t="shared" si="17"/>
        <v>105</v>
      </c>
      <c r="O16" s="15">
        <f>(RBC_rates!D8)*100</f>
        <v>1</v>
      </c>
      <c r="P16" s="16" t="str">
        <f t="shared" si="8"/>
        <v>5 (p)</v>
      </c>
      <c r="Q16" s="15">
        <f t="shared" si="23"/>
        <v>110</v>
      </c>
      <c r="R16" s="95">
        <f t="shared" si="9"/>
        <v>125</v>
      </c>
      <c r="S16" s="15">
        <f t="shared" si="13"/>
        <v>80</v>
      </c>
      <c r="T16" s="16">
        <f t="shared" si="22"/>
        <v>135</v>
      </c>
      <c r="U16" s="96">
        <f t="shared" si="10"/>
        <v>105</v>
      </c>
      <c r="V16" s="87">
        <f t="shared" si="13"/>
        <v>140</v>
      </c>
      <c r="W16" s="15">
        <f>(HSBC_rates!B3)*10000</f>
        <v>100</v>
      </c>
      <c r="X16" s="15">
        <f t="shared" si="18"/>
        <v>150</v>
      </c>
      <c r="Y16" s="15">
        <f t="shared" si="19"/>
        <v>85</v>
      </c>
      <c r="Z16" s="15">
        <f t="shared" si="20"/>
        <v>25</v>
      </c>
      <c r="AA16" s="95">
        <f t="shared" si="20"/>
        <v>0</v>
      </c>
      <c r="AB16" s="18">
        <f t="shared" si="14"/>
        <v>230</v>
      </c>
    </row>
    <row r="17" spans="1:28" x14ac:dyDescent="0.25">
      <c r="A17" s="15" t="s">
        <v>51</v>
      </c>
      <c r="B17" s="15">
        <f>B18</f>
        <v>105</v>
      </c>
      <c r="C17" s="16">
        <f t="shared" si="1"/>
        <v>10</v>
      </c>
      <c r="D17" s="16">
        <f t="shared" si="15"/>
        <v>5</v>
      </c>
      <c r="E17" s="16">
        <f>(TD_rates!B8)*10000</f>
        <v>5</v>
      </c>
      <c r="F17" s="15">
        <f>(TD_rates!B14)*10000</f>
        <v>50</v>
      </c>
      <c r="G17" s="15">
        <f>(TD_rates!B21)*10000</f>
        <v>105</v>
      </c>
      <c r="H17" s="95" t="str">
        <f t="shared" si="21"/>
        <v>20+145</v>
      </c>
      <c r="I17" s="95">
        <f>I18</f>
        <v>80</v>
      </c>
      <c r="J17" s="15" t="str">
        <f t="shared" ref="J17:J21" si="24">J16</f>
        <v>5 (p)</v>
      </c>
      <c r="K17" s="15" t="str">
        <f t="shared" si="16"/>
        <v>105 + 75, 80, 85, 90</v>
      </c>
      <c r="L17" s="15">
        <f>L18</f>
        <v>2</v>
      </c>
      <c r="M17" s="15">
        <f>M18</f>
        <v>105</v>
      </c>
      <c r="N17" s="15">
        <f t="shared" si="17"/>
        <v>105</v>
      </c>
      <c r="O17" s="15">
        <f>(RBC_rates!D9)*100</f>
        <v>0.5</v>
      </c>
      <c r="P17" s="16" t="str">
        <f>P18</f>
        <v>5 (p)</v>
      </c>
      <c r="Q17" s="15">
        <f t="shared" si="23"/>
        <v>110</v>
      </c>
      <c r="R17" s="95">
        <f t="shared" si="9"/>
        <v>125</v>
      </c>
      <c r="S17" s="15">
        <f t="shared" si="13"/>
        <v>80</v>
      </c>
      <c r="T17" s="16">
        <f t="shared" si="22"/>
        <v>135</v>
      </c>
      <c r="U17" s="96">
        <f>U18</f>
        <v>105</v>
      </c>
      <c r="V17" s="87">
        <f t="shared" si="13"/>
        <v>140</v>
      </c>
      <c r="W17" s="15">
        <f>(HSBC_rates!B2)*10000</f>
        <v>45</v>
      </c>
      <c r="X17" s="15">
        <f t="shared" si="18"/>
        <v>150</v>
      </c>
      <c r="Y17" s="15">
        <f t="shared" si="19"/>
        <v>85</v>
      </c>
      <c r="Z17" s="15">
        <f t="shared" si="20"/>
        <v>25</v>
      </c>
      <c r="AA17" s="95">
        <f t="shared" si="20"/>
        <v>0</v>
      </c>
      <c r="AB17" s="18">
        <v>230</v>
      </c>
    </row>
    <row r="18" spans="1:28" x14ac:dyDescent="0.25">
      <c r="A18" s="15" t="s">
        <v>52</v>
      </c>
      <c r="B18" s="15">
        <f>(CIBC_rates!C2)*10000</f>
        <v>105</v>
      </c>
      <c r="C18" s="16">
        <f>C19</f>
        <v>10</v>
      </c>
      <c r="D18" s="16">
        <f t="shared" si="15"/>
        <v>5</v>
      </c>
      <c r="E18" s="16">
        <f>(TD_rates!B7)*10000</f>
        <v>5</v>
      </c>
      <c r="F18" s="15">
        <f>(TD_rates!B13)*10000</f>
        <v>50</v>
      </c>
      <c r="G18" s="15">
        <f>(TD_rates!B20)*10000</f>
        <v>0</v>
      </c>
      <c r="H18" s="95" t="str">
        <f t="shared" si="21"/>
        <v>20+145</v>
      </c>
      <c r="I18" s="95">
        <f>(BMO_rates!C6)*10000</f>
        <v>80</v>
      </c>
      <c r="J18" s="15" t="str">
        <f t="shared" si="24"/>
        <v>5 (p)</v>
      </c>
      <c r="K18" s="15" t="str">
        <f t="shared" si="16"/>
        <v>105 + 75, 80, 85, 90</v>
      </c>
      <c r="L18" s="15">
        <f>(BNS_rates!E9)*10000</f>
        <v>2</v>
      </c>
      <c r="M18" s="15">
        <f>(BNS_rates!E13)*10000</f>
        <v>105</v>
      </c>
      <c r="N18" s="15">
        <f t="shared" si="17"/>
        <v>105</v>
      </c>
      <c r="O18" s="15">
        <f>(RBC_rates!D10)*100</f>
        <v>0.1</v>
      </c>
      <c r="P18" s="16" t="str">
        <f>LEFT((RBC_rates!D13),5)*100 &amp; " (p)"</f>
        <v>5 (p)</v>
      </c>
      <c r="Q18" s="15">
        <f t="shared" si="23"/>
        <v>110</v>
      </c>
      <c r="R18" s="95">
        <f t="shared" si="9"/>
        <v>125</v>
      </c>
      <c r="S18" s="15">
        <f t="shared" si="13"/>
        <v>80</v>
      </c>
      <c r="T18" s="16">
        <f t="shared" si="22"/>
        <v>135</v>
      </c>
      <c r="U18" s="96">
        <f>LEFT((NBC_rates!D14),5)*100</f>
        <v>105</v>
      </c>
      <c r="V18" s="87">
        <f t="shared" si="13"/>
        <v>140</v>
      </c>
      <c r="W18" s="15">
        <f>W17</f>
        <v>45</v>
      </c>
      <c r="X18" s="15">
        <f t="shared" si="18"/>
        <v>150</v>
      </c>
      <c r="Y18" s="15">
        <f t="shared" si="19"/>
        <v>85</v>
      </c>
      <c r="Z18" s="15">
        <f t="shared" si="20"/>
        <v>25</v>
      </c>
      <c r="AA18" s="95">
        <f t="shared" si="20"/>
        <v>0</v>
      </c>
      <c r="AB18" s="18">
        <f t="shared" si="14"/>
        <v>230</v>
      </c>
    </row>
    <row r="19" spans="1:28" x14ac:dyDescent="0.25">
      <c r="A19" s="15" t="s">
        <v>53</v>
      </c>
      <c r="B19" s="15">
        <v>0</v>
      </c>
      <c r="C19" s="16">
        <f>(CIBC_rates!C4)*10000</f>
        <v>10</v>
      </c>
      <c r="D19" s="16">
        <f t="shared" si="15"/>
        <v>5</v>
      </c>
      <c r="E19" s="16">
        <f>E20</f>
        <v>5</v>
      </c>
      <c r="F19" s="15">
        <f>F20</f>
        <v>0</v>
      </c>
      <c r="G19" s="15">
        <f>G20</f>
        <v>0</v>
      </c>
      <c r="H19" s="95" t="str">
        <f t="shared" si="21"/>
        <v>20+145</v>
      </c>
      <c r="I19" s="95">
        <f>I20</f>
        <v>80</v>
      </c>
      <c r="J19" s="15" t="str">
        <f t="shared" si="24"/>
        <v>5 (p)</v>
      </c>
      <c r="K19" s="15" t="str">
        <f t="shared" si="16"/>
        <v>105 + 75, 80, 85, 90</v>
      </c>
      <c r="L19" s="15">
        <f>(BNS_rates!E10)*10000</f>
        <v>2</v>
      </c>
      <c r="M19" s="15">
        <f>(BNS_rates!E14)*10000</f>
        <v>5</v>
      </c>
      <c r="N19" s="15">
        <f t="shared" si="17"/>
        <v>105</v>
      </c>
      <c r="O19" s="15">
        <f>(RBC_rates!D11)*100</f>
        <v>0</v>
      </c>
      <c r="P19" s="16" t="str">
        <f>LEFT((RBC_rates!D14),5)*100 &amp; " (p)"</f>
        <v>2 (p)</v>
      </c>
      <c r="Q19" s="15">
        <f t="shared" si="23"/>
        <v>110</v>
      </c>
      <c r="R19" s="95">
        <f t="shared" si="9"/>
        <v>125</v>
      </c>
      <c r="S19" s="15">
        <f t="shared" si="13"/>
        <v>80</v>
      </c>
      <c r="T19" s="16">
        <f t="shared" si="22"/>
        <v>135</v>
      </c>
      <c r="U19" s="17">
        <v>0</v>
      </c>
      <c r="V19" s="87">
        <f>V18</f>
        <v>140</v>
      </c>
      <c r="W19" s="15">
        <f t="shared" ref="W19:W21" si="25">W18</f>
        <v>45</v>
      </c>
      <c r="X19" s="15">
        <f t="shared" si="18"/>
        <v>150</v>
      </c>
      <c r="Y19" s="15">
        <f t="shared" si="19"/>
        <v>85</v>
      </c>
      <c r="Z19" s="15">
        <f t="shared" si="20"/>
        <v>25</v>
      </c>
      <c r="AA19" s="95">
        <f t="shared" si="20"/>
        <v>0</v>
      </c>
      <c r="AB19" s="18">
        <f t="shared" si="14"/>
        <v>230</v>
      </c>
    </row>
    <row r="20" spans="1:28" x14ac:dyDescent="0.25">
      <c r="A20" s="15" t="s">
        <v>54</v>
      </c>
      <c r="B20" s="15">
        <v>0</v>
      </c>
      <c r="C20" s="16">
        <f>(CIBC_rates!C3)*10000</f>
        <v>5</v>
      </c>
      <c r="D20" s="16">
        <f t="shared" ref="D20" si="26">D19</f>
        <v>5</v>
      </c>
      <c r="E20" s="16">
        <f>(TD_rates!B6)*10000</f>
        <v>5</v>
      </c>
      <c r="F20" s="15">
        <f>F21</f>
        <v>0</v>
      </c>
      <c r="G20" s="15">
        <f>G21</f>
        <v>0</v>
      </c>
      <c r="H20" s="95" t="str">
        <f t="shared" si="21"/>
        <v>20+145</v>
      </c>
      <c r="I20" s="95">
        <f>I21</f>
        <v>80</v>
      </c>
      <c r="J20" s="15" t="str">
        <f t="shared" si="24"/>
        <v>5 (p)</v>
      </c>
      <c r="K20" s="15" t="str">
        <f t="shared" si="16"/>
        <v>105 + 75, 80, 85, 90</v>
      </c>
      <c r="L20" s="15">
        <f>L19</f>
        <v>2</v>
      </c>
      <c r="M20" s="15">
        <f t="shared" ref="M20:M21" si="27">M19</f>
        <v>5</v>
      </c>
      <c r="N20" s="15">
        <f t="shared" si="17"/>
        <v>105</v>
      </c>
      <c r="O20" s="15">
        <f>O19</f>
        <v>0</v>
      </c>
      <c r="P20" s="16">
        <f>(RBC_rates!D15)*100</f>
        <v>1</v>
      </c>
      <c r="Q20" s="15">
        <f t="shared" si="23"/>
        <v>110</v>
      </c>
      <c r="R20" s="95">
        <f>R21</f>
        <v>125</v>
      </c>
      <c r="S20" s="15">
        <f t="shared" si="13"/>
        <v>80</v>
      </c>
      <c r="T20" s="16">
        <f t="shared" si="22"/>
        <v>135</v>
      </c>
      <c r="U20" s="17">
        <f>U19</f>
        <v>0</v>
      </c>
      <c r="V20" s="87">
        <f>V19</f>
        <v>140</v>
      </c>
      <c r="W20" s="15">
        <f t="shared" si="25"/>
        <v>45</v>
      </c>
      <c r="X20" s="15">
        <f t="shared" si="18"/>
        <v>150</v>
      </c>
      <c r="Y20" s="15">
        <f t="shared" si="19"/>
        <v>85</v>
      </c>
      <c r="Z20" s="15">
        <f t="shared" si="20"/>
        <v>25</v>
      </c>
      <c r="AA20" s="95">
        <f t="shared" si="20"/>
        <v>0</v>
      </c>
      <c r="AB20" s="18">
        <f t="shared" si="14"/>
        <v>230</v>
      </c>
    </row>
    <row r="21" spans="1:28" x14ac:dyDescent="0.25">
      <c r="A21" s="15" t="s">
        <v>55</v>
      </c>
      <c r="B21" s="15">
        <v>0</v>
      </c>
      <c r="C21" s="16">
        <f>C20</f>
        <v>5</v>
      </c>
      <c r="D21" s="16">
        <f t="shared" ref="D21" si="28">D20</f>
        <v>5</v>
      </c>
      <c r="E21" s="16">
        <f>(TD_rates!B5)*10000</f>
        <v>5</v>
      </c>
      <c r="F21" s="15">
        <f>(TD_rates!B12)*10000</f>
        <v>0</v>
      </c>
      <c r="G21" s="15">
        <f>(TD_rates!B19)*10000</f>
        <v>0</v>
      </c>
      <c r="H21" s="95" t="str">
        <f t="shared" si="21"/>
        <v>20+145</v>
      </c>
      <c r="I21" s="95">
        <f>(BMO_rates!C5)*10000</f>
        <v>80</v>
      </c>
      <c r="J21" s="15" t="str">
        <f t="shared" si="24"/>
        <v>5 (p)</v>
      </c>
      <c r="K21" s="15" t="str">
        <f t="shared" si="16"/>
        <v>105 + 75, 80, 85, 90</v>
      </c>
      <c r="L21" s="15">
        <f>L20</f>
        <v>2</v>
      </c>
      <c r="M21" s="15">
        <f t="shared" si="27"/>
        <v>5</v>
      </c>
      <c r="N21" s="15">
        <f t="shared" si="17"/>
        <v>105</v>
      </c>
      <c r="O21" s="15">
        <f>O20</f>
        <v>0</v>
      </c>
      <c r="P21" s="16">
        <f>(RBC_rates!D16)*100</f>
        <v>0.5</v>
      </c>
      <c r="Q21" s="15">
        <f t="shared" si="23"/>
        <v>110</v>
      </c>
      <c r="R21" s="95">
        <f>(Simplii_rates!C11)*100</f>
        <v>125</v>
      </c>
      <c r="S21" s="15">
        <f t="shared" si="13"/>
        <v>80</v>
      </c>
      <c r="T21" s="16">
        <f t="shared" si="22"/>
        <v>135</v>
      </c>
      <c r="U21" s="17">
        <f>(NBC_rates!D13)*100</f>
        <v>0</v>
      </c>
      <c r="V21" s="87">
        <f>V20</f>
        <v>140</v>
      </c>
      <c r="W21" s="15">
        <f t="shared" si="25"/>
        <v>45</v>
      </c>
      <c r="X21" s="15">
        <f t="shared" si="18"/>
        <v>150</v>
      </c>
      <c r="Y21" s="15">
        <f t="shared" si="19"/>
        <v>85</v>
      </c>
      <c r="Z21" s="15">
        <f t="shared" si="20"/>
        <v>25</v>
      </c>
      <c r="AA21" s="95">
        <f t="shared" si="20"/>
        <v>0</v>
      </c>
      <c r="AB21" s="18">
        <f t="shared" si="14"/>
        <v>230</v>
      </c>
    </row>
    <row r="22" spans="1:28" x14ac:dyDescent="0.25">
      <c r="A22" s="19"/>
      <c r="B22" s="19"/>
      <c r="C22" s="6"/>
      <c r="D22" s="6"/>
      <c r="E22" s="6"/>
      <c r="F22" s="19"/>
      <c r="G22" s="19"/>
      <c r="H22" s="19"/>
      <c r="I22" s="19"/>
      <c r="J22" s="3"/>
      <c r="K22" s="3"/>
      <c r="L22" s="3"/>
      <c r="M22" s="3"/>
      <c r="N22" s="3"/>
      <c r="O22" s="3"/>
      <c r="P22" s="6"/>
      <c r="Q22" s="19"/>
      <c r="R22" s="19"/>
      <c r="S22" s="19"/>
      <c r="T22" s="6"/>
      <c r="U22" s="19"/>
      <c r="V22" s="19"/>
      <c r="W22" s="19"/>
      <c r="X22" s="19"/>
      <c r="Y22" s="19"/>
      <c r="Z22" s="19"/>
      <c r="AA22" s="19"/>
      <c r="AB22" s="3"/>
    </row>
    <row r="23" spans="1:28" x14ac:dyDescent="0.25">
      <c r="A23" s="20" t="s">
        <v>56</v>
      </c>
      <c r="B23" s="21">
        <v>43299</v>
      </c>
      <c r="C23" s="22">
        <v>42202</v>
      </c>
      <c r="D23" s="22">
        <v>42202</v>
      </c>
      <c r="E23" s="22">
        <v>42202</v>
      </c>
      <c r="F23" s="21">
        <v>42688</v>
      </c>
      <c r="G23" s="21">
        <v>43298</v>
      </c>
      <c r="H23" s="21">
        <v>43125</v>
      </c>
      <c r="I23" s="21">
        <v>43125</v>
      </c>
      <c r="J23" s="21">
        <v>42207</v>
      </c>
      <c r="K23" s="21">
        <v>43294</v>
      </c>
      <c r="L23" s="21">
        <v>42920</v>
      </c>
      <c r="M23" s="21">
        <v>42986</v>
      </c>
      <c r="N23" s="21">
        <v>43118</v>
      </c>
      <c r="O23" s="21">
        <v>42205</v>
      </c>
      <c r="P23" s="22">
        <v>42205</v>
      </c>
      <c r="Q23" s="21">
        <v>43123</v>
      </c>
      <c r="R23" s="21">
        <v>43130</v>
      </c>
      <c r="S23" s="21">
        <v>42213</v>
      </c>
      <c r="T23" s="22">
        <v>42039</v>
      </c>
      <c r="U23" s="21">
        <v>43129</v>
      </c>
      <c r="V23" s="88">
        <v>43304</v>
      </c>
      <c r="W23" s="21">
        <v>43181</v>
      </c>
      <c r="X23" s="21">
        <v>43040</v>
      </c>
      <c r="Y23" s="21">
        <v>43122</v>
      </c>
      <c r="Z23" s="21">
        <v>42207</v>
      </c>
      <c r="AA23" s="23">
        <v>42921</v>
      </c>
      <c r="AB23" s="21">
        <v>42859</v>
      </c>
    </row>
    <row r="24" spans="1:28" x14ac:dyDescent="0.25">
      <c r="A24" s="24" t="s">
        <v>57</v>
      </c>
      <c r="B24" s="25">
        <v>40140</v>
      </c>
      <c r="C24" s="26">
        <v>37775</v>
      </c>
      <c r="D24" s="26">
        <v>36982</v>
      </c>
      <c r="E24" s="25">
        <v>36039</v>
      </c>
      <c r="F24" s="25">
        <v>40385</v>
      </c>
      <c r="G24" s="25">
        <v>40385</v>
      </c>
      <c r="H24" s="25">
        <v>42095</v>
      </c>
      <c r="I24" s="25">
        <v>39790</v>
      </c>
      <c r="J24" s="25">
        <v>37043</v>
      </c>
      <c r="K24" s="21">
        <v>42940</v>
      </c>
      <c r="L24" s="25">
        <v>37196</v>
      </c>
      <c r="M24" s="25">
        <v>41989</v>
      </c>
      <c r="N24" s="25">
        <v>39173</v>
      </c>
      <c r="O24" s="25" t="s">
        <v>58</v>
      </c>
      <c r="P24" s="25"/>
      <c r="Q24" s="21">
        <v>35521</v>
      </c>
      <c r="R24" s="25">
        <v>38902</v>
      </c>
      <c r="S24" s="25">
        <v>38902</v>
      </c>
      <c r="T24" s="25">
        <v>38322</v>
      </c>
      <c r="U24" s="25" t="s">
        <v>58</v>
      </c>
      <c r="V24" s="22">
        <v>41367</v>
      </c>
      <c r="W24" s="25">
        <v>38169</v>
      </c>
      <c r="X24" s="25">
        <v>38808</v>
      </c>
      <c r="Y24" s="22">
        <v>38991</v>
      </c>
      <c r="Z24" s="22">
        <v>36708</v>
      </c>
      <c r="AA24" s="21">
        <v>39022</v>
      </c>
      <c r="AB24" s="21">
        <v>42235</v>
      </c>
    </row>
    <row r="27" spans="1:28" x14ac:dyDescent="0.25">
      <c r="B27" s="78"/>
    </row>
  </sheetData>
  <mergeCells count="1">
    <mergeCell ref="A1:V1"/>
  </mergeCells>
  <pageMargins left="0.7" right="0.7" top="0.75" bottom="0.75" header="0.3" footer="0.3"/>
  <ignoredErrors>
    <ignoredError sqref="C20" formula="1"/>
  </ignoredErrors>
  <drawing r:id="rId1"/>
</worksheet>
</file>

<file path=xl/worksheets/sheet3.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5875925B-42D0-4B19-92C8-EF5763A3A2DC}">
  <sheetPr codeName="Sheet2">
    <tabColor theme="5" tint="0.39997558519241921"/>
  </sheetPr>
  <dimension ref="A1:W21"/>
  <sheetViews>
    <sheetView workbookViewId="0">
      <selection activeCell="I18" sqref="I18"/>
    </sheetView>
  </sheetViews>
  <sheetFormatPr defaultRowHeight="15" x14ac:dyDescent="0.25"/>
  <cols>
    <col min="5" max="5" width="9.140625" customWidth="1"/>
    <col min="7" max="10" width="9.140625" customWidth="1"/>
  </cols>
  <sheetData>
    <row r="1" spans="1:23" x14ac:dyDescent="0.25">
      <c r="A1" s="27"/>
      <c r="B1" s="27"/>
      <c r="C1" s="27"/>
      <c r="D1" s="27"/>
      <c r="E1" s="27"/>
      <c r="F1" s="27"/>
      <c r="G1" s="27"/>
      <c r="H1" s="27"/>
      <c r="I1" s="27"/>
      <c r="J1" s="27"/>
      <c r="K1" s="27"/>
      <c r="L1" s="27"/>
      <c r="M1" s="27"/>
      <c r="N1" s="27"/>
      <c r="O1" s="27"/>
      <c r="P1" s="27"/>
      <c r="Q1" s="27"/>
      <c r="R1" s="27"/>
      <c r="S1" s="27"/>
      <c r="T1" s="27"/>
      <c r="U1" s="27"/>
      <c r="V1" s="27"/>
      <c r="W1" s="27"/>
    </row>
    <row r="2" spans="1:23" x14ac:dyDescent="0.25">
      <c r="A2" s="27"/>
      <c r="B2" s="27"/>
      <c r="C2" s="27"/>
      <c r="D2" s="27"/>
      <c r="E2" s="27"/>
      <c r="F2" s="27"/>
      <c r="G2" s="27"/>
      <c r="H2" s="27"/>
      <c r="I2" s="27"/>
      <c r="J2" s="27"/>
      <c r="K2" s="27"/>
      <c r="L2" s="27"/>
      <c r="M2" s="27"/>
      <c r="N2" s="27"/>
      <c r="O2" s="27"/>
      <c r="P2" s="27"/>
      <c r="Q2" s="27"/>
      <c r="R2" s="27"/>
      <c r="S2" s="27"/>
      <c r="T2" s="27"/>
      <c r="U2" s="27"/>
      <c r="V2" s="27"/>
      <c r="W2" s="27"/>
    </row>
    <row r="3" spans="1:23" x14ac:dyDescent="0.25">
      <c r="A3" s="27"/>
      <c r="B3" s="27"/>
      <c r="C3" s="27"/>
      <c r="D3" s="27"/>
      <c r="E3" s="27"/>
      <c r="F3" s="27"/>
      <c r="G3" s="27"/>
      <c r="H3" s="27"/>
      <c r="I3" s="27"/>
      <c r="J3" s="27"/>
      <c r="K3" s="27"/>
      <c r="L3" s="27"/>
      <c r="M3" s="27"/>
      <c r="N3" s="27"/>
      <c r="O3" s="27"/>
      <c r="P3" s="27"/>
      <c r="Q3" s="27"/>
      <c r="R3" s="27"/>
      <c r="S3" s="27"/>
      <c r="T3" s="27"/>
      <c r="U3" s="27"/>
      <c r="V3" s="27"/>
      <c r="W3" s="27"/>
    </row>
    <row r="4" spans="1:23" ht="25.5" x14ac:dyDescent="0.35">
      <c r="A4" s="110" t="s">
        <v>59</v>
      </c>
      <c r="B4" s="110"/>
      <c r="C4" s="110"/>
      <c r="D4" s="110"/>
      <c r="E4" s="110"/>
      <c r="F4" s="110"/>
      <c r="G4" s="110"/>
      <c r="H4" s="110"/>
      <c r="I4" s="110"/>
      <c r="J4" s="110"/>
      <c r="K4" s="110"/>
      <c r="L4" s="110"/>
      <c r="M4" s="110"/>
      <c r="N4" s="110"/>
      <c r="O4" s="110"/>
      <c r="P4" s="110"/>
      <c r="Q4" s="110"/>
      <c r="R4" s="110"/>
      <c r="S4" s="110"/>
      <c r="T4" s="28"/>
      <c r="U4" s="28"/>
      <c r="V4" s="28"/>
      <c r="W4" s="28"/>
    </row>
    <row r="5" spans="1:23" x14ac:dyDescent="0.25">
      <c r="A5" s="27"/>
      <c r="B5" s="27"/>
      <c r="C5" s="27"/>
      <c r="D5" s="27"/>
      <c r="E5" s="27"/>
      <c r="F5" s="27"/>
      <c r="G5" s="27"/>
      <c r="H5" s="27"/>
      <c r="I5" s="27"/>
      <c r="J5" s="27"/>
      <c r="K5" s="27"/>
      <c r="L5" s="27"/>
      <c r="M5" s="27"/>
      <c r="N5" s="27"/>
      <c r="O5" s="27"/>
      <c r="P5" s="27"/>
      <c r="Q5" s="27"/>
      <c r="R5" s="27"/>
      <c r="S5" s="27"/>
      <c r="T5" s="27"/>
      <c r="U5" s="27"/>
      <c r="V5" s="27"/>
      <c r="W5" s="27"/>
    </row>
    <row r="6" spans="1:23" x14ac:dyDescent="0.25">
      <c r="A6" s="27"/>
      <c r="B6" s="27"/>
      <c r="C6" s="27"/>
      <c r="D6" s="27"/>
      <c r="E6" s="27"/>
      <c r="F6" s="27"/>
      <c r="G6" s="27"/>
      <c r="H6" s="27"/>
      <c r="I6" s="27"/>
      <c r="J6" s="27"/>
      <c r="K6" s="27"/>
      <c r="L6" s="27"/>
      <c r="M6" s="27"/>
      <c r="N6" s="27"/>
      <c r="O6" s="27"/>
      <c r="P6" s="27"/>
      <c r="Q6" s="27"/>
      <c r="R6" s="27"/>
      <c r="S6" s="27"/>
      <c r="T6" s="27"/>
      <c r="U6" s="27"/>
      <c r="V6" s="27"/>
      <c r="W6" s="27"/>
    </row>
    <row r="7" spans="1:23" x14ac:dyDescent="0.25">
      <c r="A7" s="29" t="s">
        <v>60</v>
      </c>
      <c r="B7" s="27"/>
      <c r="C7" s="27"/>
      <c r="D7" s="27"/>
      <c r="E7" s="27"/>
      <c r="F7" s="27"/>
      <c r="G7" s="27"/>
      <c r="H7" s="27"/>
      <c r="I7" s="27"/>
      <c r="J7" s="27"/>
      <c r="K7" s="27"/>
      <c r="L7" s="27"/>
      <c r="M7" s="27"/>
      <c r="N7" s="27"/>
      <c r="O7" s="27"/>
      <c r="P7" s="27"/>
      <c r="Q7" s="27"/>
      <c r="R7" s="27"/>
      <c r="S7" s="27"/>
      <c r="T7" s="27"/>
      <c r="U7" s="27"/>
      <c r="V7" s="27"/>
      <c r="W7" s="27"/>
    </row>
    <row r="8" spans="1:23" x14ac:dyDescent="0.25">
      <c r="A8" s="29"/>
      <c r="B8" s="27"/>
      <c r="C8" s="27"/>
      <c r="D8" s="27"/>
      <c r="E8" s="27"/>
      <c r="F8" s="27"/>
      <c r="G8" s="27"/>
      <c r="H8" s="27"/>
      <c r="I8" s="27"/>
      <c r="J8" s="27"/>
      <c r="K8" s="27"/>
      <c r="L8" s="27"/>
      <c r="M8" s="27"/>
      <c r="N8" s="27"/>
      <c r="O8" s="27"/>
      <c r="P8" s="27"/>
      <c r="Q8" s="27"/>
      <c r="R8" s="27"/>
      <c r="S8" s="27"/>
      <c r="T8" s="27"/>
      <c r="U8" s="27"/>
      <c r="V8" s="27"/>
      <c r="W8" s="27"/>
    </row>
    <row r="9" spans="1:23" ht="15.75" thickBot="1" x14ac:dyDescent="0.3">
      <c r="A9" s="27"/>
      <c r="B9" s="27"/>
      <c r="C9" s="27"/>
      <c r="D9" s="27"/>
      <c r="E9" s="27"/>
      <c r="F9" s="27"/>
      <c r="G9" s="27"/>
      <c r="H9" s="27"/>
      <c r="I9" s="27"/>
      <c r="J9" s="27"/>
      <c r="K9" s="27"/>
      <c r="L9" s="27"/>
      <c r="M9" s="27"/>
      <c r="N9" s="27"/>
      <c r="O9" s="27"/>
      <c r="P9" s="27"/>
      <c r="Q9" s="27"/>
      <c r="R9" s="27"/>
      <c r="S9" s="27"/>
      <c r="T9" s="27"/>
      <c r="U9" s="27"/>
      <c r="V9" s="27"/>
      <c r="W9" s="27"/>
    </row>
    <row r="10" spans="1:23" ht="103.5" thickBot="1" x14ac:dyDescent="0.3">
      <c r="A10" s="30"/>
      <c r="B10" s="31"/>
      <c r="C10" s="111" t="s">
        <v>61</v>
      </c>
      <c r="D10" s="112"/>
      <c r="E10" s="32" t="s">
        <v>62</v>
      </c>
      <c r="F10" s="111" t="s">
        <v>63</v>
      </c>
      <c r="G10" s="112"/>
      <c r="H10" s="34" t="s">
        <v>64</v>
      </c>
      <c r="I10" s="34" t="s">
        <v>65</v>
      </c>
      <c r="J10" s="34" t="s">
        <v>66</v>
      </c>
      <c r="K10" s="34" t="s">
        <v>67</v>
      </c>
      <c r="L10" s="34" t="s">
        <v>68</v>
      </c>
      <c r="M10" s="34" t="s">
        <v>69</v>
      </c>
      <c r="N10" s="34" t="s">
        <v>70</v>
      </c>
      <c r="O10" s="34" t="s">
        <v>71</v>
      </c>
      <c r="P10" s="111" t="s">
        <v>72</v>
      </c>
      <c r="Q10" s="112"/>
      <c r="R10" s="34" t="s">
        <v>73</v>
      </c>
      <c r="S10" s="34" t="s">
        <v>74</v>
      </c>
      <c r="T10" s="34" t="s">
        <v>75</v>
      </c>
      <c r="U10" s="33" t="s">
        <v>76</v>
      </c>
      <c r="V10" s="34" t="s">
        <v>77</v>
      </c>
      <c r="W10" s="34" t="s">
        <v>78</v>
      </c>
    </row>
    <row r="11" spans="1:23" x14ac:dyDescent="0.25">
      <c r="A11" s="35"/>
      <c r="B11" s="27"/>
      <c r="C11" s="36"/>
      <c r="D11" s="37"/>
      <c r="E11" s="38"/>
      <c r="F11" s="36"/>
      <c r="G11" s="37"/>
      <c r="H11" s="39"/>
      <c r="I11" s="39"/>
      <c r="J11" s="39"/>
      <c r="K11" s="40"/>
      <c r="L11" s="41"/>
      <c r="M11" s="39"/>
      <c r="N11" s="39"/>
      <c r="O11" s="39"/>
      <c r="P11" s="36"/>
      <c r="Q11" s="37"/>
      <c r="R11" s="39"/>
      <c r="S11" s="40"/>
      <c r="T11" s="39"/>
      <c r="U11" s="42"/>
      <c r="V11" s="40"/>
      <c r="W11" s="39"/>
    </row>
    <row r="12" spans="1:23" x14ac:dyDescent="0.25">
      <c r="A12" s="43" t="s">
        <v>79</v>
      </c>
      <c r="B12" s="44"/>
      <c r="C12" s="45">
        <v>25</v>
      </c>
      <c r="D12" s="46" t="s">
        <v>80</v>
      </c>
      <c r="E12" s="17">
        <v>120</v>
      </c>
      <c r="F12" s="47">
        <v>10</v>
      </c>
      <c r="G12" s="48" t="s">
        <v>80</v>
      </c>
      <c r="H12" s="49">
        <v>120</v>
      </c>
      <c r="I12" s="49">
        <v>25</v>
      </c>
      <c r="J12" s="49">
        <v>0</v>
      </c>
      <c r="K12" s="17">
        <v>120</v>
      </c>
      <c r="L12" s="50">
        <v>5</v>
      </c>
      <c r="M12" s="89">
        <v>95</v>
      </c>
      <c r="N12" s="89">
        <v>95</v>
      </c>
      <c r="O12" s="89">
        <v>120</v>
      </c>
      <c r="P12" s="47">
        <v>15</v>
      </c>
      <c r="Q12" s="48" t="s">
        <v>80</v>
      </c>
      <c r="R12" s="17">
        <v>40</v>
      </c>
      <c r="S12" s="51">
        <v>30</v>
      </c>
      <c r="T12" s="46">
        <v>25</v>
      </c>
      <c r="U12" s="17">
        <v>120</v>
      </c>
      <c r="V12" s="17">
        <v>115</v>
      </c>
      <c r="W12" s="51">
        <v>25</v>
      </c>
    </row>
    <row r="13" spans="1:23" x14ac:dyDescent="0.25">
      <c r="A13" s="43" t="s">
        <v>81</v>
      </c>
      <c r="B13" s="44"/>
      <c r="C13" s="45">
        <f>C12</f>
        <v>25</v>
      </c>
      <c r="D13" s="46"/>
      <c r="E13" s="17">
        <f t="shared" ref="E13:E18" si="0">E12</f>
        <v>120</v>
      </c>
      <c r="F13" s="47">
        <v>10</v>
      </c>
      <c r="G13" s="48" t="s">
        <v>80</v>
      </c>
      <c r="H13" s="49">
        <f t="shared" ref="H13:I18" si="1">H12</f>
        <v>120</v>
      </c>
      <c r="I13" s="49">
        <f t="shared" si="1"/>
        <v>25</v>
      </c>
      <c r="J13" s="49">
        <v>0</v>
      </c>
      <c r="K13" s="17">
        <f t="shared" ref="K13:K18" si="2">K12</f>
        <v>120</v>
      </c>
      <c r="L13" s="50">
        <v>5</v>
      </c>
      <c r="M13" s="89">
        <f t="shared" ref="M13:O18" si="3">M12</f>
        <v>95</v>
      </c>
      <c r="N13" s="89">
        <f t="shared" si="3"/>
        <v>95</v>
      </c>
      <c r="O13" s="89">
        <f t="shared" si="3"/>
        <v>120</v>
      </c>
      <c r="P13" s="47">
        <v>10</v>
      </c>
      <c r="Q13" s="48" t="s">
        <v>80</v>
      </c>
      <c r="R13" s="17">
        <f t="shared" ref="R13:W18" si="4">R12</f>
        <v>40</v>
      </c>
      <c r="S13" s="17">
        <f t="shared" si="4"/>
        <v>30</v>
      </c>
      <c r="T13" s="46">
        <f t="shared" si="4"/>
        <v>25</v>
      </c>
      <c r="U13" s="17">
        <f t="shared" si="4"/>
        <v>120</v>
      </c>
      <c r="V13" s="17">
        <f t="shared" si="4"/>
        <v>115</v>
      </c>
      <c r="W13" s="51">
        <f t="shared" si="4"/>
        <v>25</v>
      </c>
    </row>
    <row r="14" spans="1:23" x14ac:dyDescent="0.25">
      <c r="A14" s="43" t="s">
        <v>82</v>
      </c>
      <c r="B14" s="44"/>
      <c r="C14" s="45">
        <v>20</v>
      </c>
      <c r="D14" s="46"/>
      <c r="E14" s="17">
        <f t="shared" si="0"/>
        <v>120</v>
      </c>
      <c r="F14" s="47">
        <v>5</v>
      </c>
      <c r="G14" s="48" t="s">
        <v>80</v>
      </c>
      <c r="H14" s="49">
        <f t="shared" si="1"/>
        <v>120</v>
      </c>
      <c r="I14" s="49">
        <f t="shared" si="1"/>
        <v>25</v>
      </c>
      <c r="J14" s="49">
        <v>0</v>
      </c>
      <c r="K14" s="17">
        <f t="shared" si="2"/>
        <v>120</v>
      </c>
      <c r="L14" s="50">
        <v>5</v>
      </c>
      <c r="M14" s="89">
        <f t="shared" si="3"/>
        <v>95</v>
      </c>
      <c r="N14" s="89">
        <f t="shared" si="3"/>
        <v>95</v>
      </c>
      <c r="O14" s="89">
        <f t="shared" si="3"/>
        <v>120</v>
      </c>
      <c r="P14" s="47">
        <v>5</v>
      </c>
      <c r="Q14" s="48" t="s">
        <v>80</v>
      </c>
      <c r="R14" s="17">
        <f t="shared" si="4"/>
        <v>40</v>
      </c>
      <c r="S14" s="17">
        <f t="shared" si="4"/>
        <v>30</v>
      </c>
      <c r="T14" s="46">
        <f t="shared" si="4"/>
        <v>25</v>
      </c>
      <c r="U14" s="17">
        <f t="shared" si="4"/>
        <v>120</v>
      </c>
      <c r="V14" s="17">
        <f t="shared" si="4"/>
        <v>115</v>
      </c>
      <c r="W14" s="51">
        <f t="shared" si="4"/>
        <v>25</v>
      </c>
    </row>
    <row r="15" spans="1:23" x14ac:dyDescent="0.25">
      <c r="A15" s="43" t="s">
        <v>83</v>
      </c>
      <c r="B15" s="44"/>
      <c r="C15" s="45">
        <v>10</v>
      </c>
      <c r="D15" s="46"/>
      <c r="E15" s="17">
        <f t="shared" si="0"/>
        <v>120</v>
      </c>
      <c r="F15" s="52">
        <v>2.5</v>
      </c>
      <c r="G15" s="48" t="s">
        <v>80</v>
      </c>
      <c r="H15" s="49">
        <f t="shared" si="1"/>
        <v>120</v>
      </c>
      <c r="I15" s="49">
        <f t="shared" si="1"/>
        <v>25</v>
      </c>
      <c r="J15" s="49">
        <v>0</v>
      </c>
      <c r="K15" s="17">
        <f t="shared" si="2"/>
        <v>120</v>
      </c>
      <c r="L15" s="50">
        <v>5</v>
      </c>
      <c r="M15" s="89">
        <f t="shared" si="3"/>
        <v>95</v>
      </c>
      <c r="N15" s="89">
        <f t="shared" si="3"/>
        <v>95</v>
      </c>
      <c r="O15" s="89">
        <f t="shared" si="3"/>
        <v>120</v>
      </c>
      <c r="P15" s="52">
        <v>2.5</v>
      </c>
      <c r="Q15" s="48" t="s">
        <v>80</v>
      </c>
      <c r="R15" s="17">
        <f t="shared" si="4"/>
        <v>40</v>
      </c>
      <c r="S15" s="17">
        <f t="shared" si="4"/>
        <v>30</v>
      </c>
      <c r="T15" s="46">
        <f t="shared" si="4"/>
        <v>25</v>
      </c>
      <c r="U15" s="17">
        <f t="shared" si="4"/>
        <v>120</v>
      </c>
      <c r="V15" s="17">
        <f t="shared" si="4"/>
        <v>115</v>
      </c>
      <c r="W15" s="51">
        <f t="shared" si="4"/>
        <v>25</v>
      </c>
    </row>
    <row r="16" spans="1:23" x14ac:dyDescent="0.25">
      <c r="A16" s="43" t="s">
        <v>84</v>
      </c>
      <c r="B16" s="44"/>
      <c r="C16" s="45">
        <f>C15</f>
        <v>10</v>
      </c>
      <c r="D16" s="46"/>
      <c r="E16" s="17">
        <f t="shared" si="0"/>
        <v>120</v>
      </c>
      <c r="F16" s="47">
        <v>1</v>
      </c>
      <c r="G16" s="48" t="s">
        <v>80</v>
      </c>
      <c r="H16" s="49">
        <f t="shared" si="1"/>
        <v>120</v>
      </c>
      <c r="I16" s="49">
        <f t="shared" si="1"/>
        <v>25</v>
      </c>
      <c r="J16" s="49">
        <v>0</v>
      </c>
      <c r="K16" s="17">
        <f t="shared" si="2"/>
        <v>120</v>
      </c>
      <c r="L16" s="50">
        <v>5</v>
      </c>
      <c r="M16" s="89">
        <f t="shared" si="3"/>
        <v>95</v>
      </c>
      <c r="N16" s="89">
        <f t="shared" si="3"/>
        <v>95</v>
      </c>
      <c r="O16" s="89">
        <f t="shared" si="3"/>
        <v>120</v>
      </c>
      <c r="P16" s="47">
        <v>1</v>
      </c>
      <c r="Q16" s="48" t="s">
        <v>80</v>
      </c>
      <c r="R16" s="17">
        <f t="shared" si="4"/>
        <v>40</v>
      </c>
      <c r="S16" s="17">
        <f t="shared" si="4"/>
        <v>30</v>
      </c>
      <c r="T16" s="46">
        <f t="shared" si="4"/>
        <v>25</v>
      </c>
      <c r="U16" s="17">
        <f t="shared" si="4"/>
        <v>120</v>
      </c>
      <c r="V16" s="17">
        <f t="shared" si="4"/>
        <v>115</v>
      </c>
      <c r="W16" s="51">
        <f t="shared" si="4"/>
        <v>25</v>
      </c>
    </row>
    <row r="17" spans="1:23" x14ac:dyDescent="0.25">
      <c r="A17" s="43" t="s">
        <v>85</v>
      </c>
      <c r="B17" s="44"/>
      <c r="C17" s="45">
        <v>5</v>
      </c>
      <c r="D17" s="46"/>
      <c r="E17" s="17">
        <f t="shared" si="0"/>
        <v>120</v>
      </c>
      <c r="F17" s="47">
        <v>1</v>
      </c>
      <c r="G17" s="48" t="s">
        <v>80</v>
      </c>
      <c r="H17" s="49">
        <f t="shared" si="1"/>
        <v>120</v>
      </c>
      <c r="I17" s="49">
        <f t="shared" si="1"/>
        <v>25</v>
      </c>
      <c r="J17" s="49">
        <v>0</v>
      </c>
      <c r="K17" s="17">
        <f t="shared" si="2"/>
        <v>120</v>
      </c>
      <c r="L17" s="50">
        <v>5</v>
      </c>
      <c r="M17" s="89">
        <f t="shared" si="3"/>
        <v>95</v>
      </c>
      <c r="N17" s="89">
        <f t="shared" si="3"/>
        <v>95</v>
      </c>
      <c r="O17" s="89">
        <f t="shared" si="3"/>
        <v>120</v>
      </c>
      <c r="P17" s="47">
        <v>1</v>
      </c>
      <c r="Q17" s="48" t="s">
        <v>80</v>
      </c>
      <c r="R17" s="17">
        <f t="shared" si="4"/>
        <v>40</v>
      </c>
      <c r="S17" s="17">
        <f t="shared" si="4"/>
        <v>30</v>
      </c>
      <c r="T17" s="46">
        <f t="shared" si="4"/>
        <v>25</v>
      </c>
      <c r="U17" s="17">
        <f t="shared" si="4"/>
        <v>120</v>
      </c>
      <c r="V17" s="17">
        <f t="shared" si="4"/>
        <v>115</v>
      </c>
      <c r="W17" s="51">
        <f t="shared" si="4"/>
        <v>25</v>
      </c>
    </row>
    <row r="18" spans="1:23" ht="15.75" thickBot="1" x14ac:dyDescent="0.3">
      <c r="A18" s="53" t="s">
        <v>86</v>
      </c>
      <c r="B18" s="54"/>
      <c r="C18" s="55">
        <f>C17</f>
        <v>5</v>
      </c>
      <c r="D18" s="56"/>
      <c r="E18" s="57">
        <f t="shared" si="0"/>
        <v>120</v>
      </c>
      <c r="F18" s="58">
        <v>0</v>
      </c>
      <c r="G18" s="59" t="s">
        <v>80</v>
      </c>
      <c r="H18" s="60">
        <f t="shared" si="1"/>
        <v>120</v>
      </c>
      <c r="I18" s="60">
        <f t="shared" si="1"/>
        <v>25</v>
      </c>
      <c r="J18" s="60">
        <v>0</v>
      </c>
      <c r="K18" s="57">
        <f t="shared" si="2"/>
        <v>120</v>
      </c>
      <c r="L18" s="61">
        <v>5</v>
      </c>
      <c r="M18" s="90">
        <f t="shared" si="3"/>
        <v>95</v>
      </c>
      <c r="N18" s="90">
        <f t="shared" si="3"/>
        <v>95</v>
      </c>
      <c r="O18" s="90">
        <f t="shared" si="3"/>
        <v>120</v>
      </c>
      <c r="P18" s="58">
        <v>0</v>
      </c>
      <c r="Q18" s="59" t="s">
        <v>80</v>
      </c>
      <c r="R18" s="62">
        <f t="shared" si="4"/>
        <v>40</v>
      </c>
      <c r="S18" s="62">
        <f t="shared" si="4"/>
        <v>30</v>
      </c>
      <c r="T18" s="56">
        <f t="shared" si="4"/>
        <v>25</v>
      </c>
      <c r="U18" s="57">
        <f t="shared" si="4"/>
        <v>120</v>
      </c>
      <c r="V18" s="57">
        <f t="shared" si="4"/>
        <v>115</v>
      </c>
      <c r="W18" s="63">
        <f t="shared" si="4"/>
        <v>25</v>
      </c>
    </row>
    <row r="19" spans="1:23" x14ac:dyDescent="0.25">
      <c r="A19" s="35"/>
      <c r="B19" s="27"/>
      <c r="C19" s="64"/>
      <c r="D19" s="65"/>
      <c r="E19" s="40"/>
      <c r="F19" s="66"/>
      <c r="G19" s="67"/>
      <c r="H19" s="68"/>
      <c r="I19" s="68"/>
      <c r="J19" s="68"/>
      <c r="K19" s="40"/>
      <c r="L19" s="41"/>
      <c r="M19" s="91"/>
      <c r="N19" s="91"/>
      <c r="O19" s="92"/>
      <c r="P19" s="66"/>
      <c r="Q19" s="67"/>
      <c r="R19" s="40"/>
      <c r="S19" s="69"/>
      <c r="T19" s="40"/>
      <c r="U19" s="40"/>
      <c r="V19" s="40"/>
      <c r="W19" s="39"/>
    </row>
    <row r="20" spans="1:23" ht="15.75" thickBot="1" x14ac:dyDescent="0.3">
      <c r="A20" s="53" t="s">
        <v>56</v>
      </c>
      <c r="B20" s="54"/>
      <c r="C20" s="113">
        <v>43090</v>
      </c>
      <c r="D20" s="114"/>
      <c r="E20" s="70">
        <v>43277</v>
      </c>
      <c r="F20" s="115">
        <v>42122</v>
      </c>
      <c r="G20" s="116"/>
      <c r="H20" s="71">
        <v>43273</v>
      </c>
      <c r="I20" s="71">
        <v>43088</v>
      </c>
      <c r="J20" s="71">
        <v>39569</v>
      </c>
      <c r="K20" s="70">
        <v>43272</v>
      </c>
      <c r="L20" s="72">
        <v>42234</v>
      </c>
      <c r="M20" s="93">
        <v>43188</v>
      </c>
      <c r="N20" s="93">
        <v>43188</v>
      </c>
      <c r="O20" s="93">
        <v>43285</v>
      </c>
      <c r="P20" s="108">
        <v>39940</v>
      </c>
      <c r="Q20" s="109"/>
      <c r="R20" s="70">
        <v>43248</v>
      </c>
      <c r="S20" s="73">
        <v>42039</v>
      </c>
      <c r="T20" s="73">
        <v>42044</v>
      </c>
      <c r="U20" s="70">
        <v>43280</v>
      </c>
      <c r="V20" s="70">
        <v>43269</v>
      </c>
      <c r="W20" s="73">
        <v>40116</v>
      </c>
    </row>
    <row r="21" spans="1:23" ht="15.75" thickBot="1" x14ac:dyDescent="0.3">
      <c r="A21" s="53" t="s">
        <v>87</v>
      </c>
      <c r="B21" s="54"/>
      <c r="C21" s="106" t="s">
        <v>88</v>
      </c>
      <c r="D21" s="107"/>
      <c r="E21" s="75" t="s">
        <v>89</v>
      </c>
      <c r="F21" s="106" t="s">
        <v>88</v>
      </c>
      <c r="G21" s="107"/>
      <c r="H21" s="71" t="s">
        <v>89</v>
      </c>
      <c r="I21" s="70" t="s">
        <v>88</v>
      </c>
      <c r="J21" s="71" t="s">
        <v>88</v>
      </c>
      <c r="K21" s="73" t="s">
        <v>89</v>
      </c>
      <c r="L21" s="73" t="s">
        <v>88</v>
      </c>
      <c r="M21" s="70" t="s">
        <v>89</v>
      </c>
      <c r="N21" s="70" t="s">
        <v>89</v>
      </c>
      <c r="O21" s="70" t="s">
        <v>89</v>
      </c>
      <c r="P21" s="108" t="s">
        <v>88</v>
      </c>
      <c r="Q21" s="109"/>
      <c r="R21" s="72" t="s">
        <v>88</v>
      </c>
      <c r="S21" s="70" t="s">
        <v>88</v>
      </c>
      <c r="T21" s="74" t="s">
        <v>88</v>
      </c>
      <c r="U21" s="70" t="s">
        <v>89</v>
      </c>
      <c r="V21" s="73" t="s">
        <v>89</v>
      </c>
      <c r="W21" s="73" t="s">
        <v>89</v>
      </c>
    </row>
  </sheetData>
  <mergeCells count="10">
    <mergeCell ref="C21:D21"/>
    <mergeCell ref="F21:G21"/>
    <mergeCell ref="P21:Q21"/>
    <mergeCell ref="A4:S4"/>
    <mergeCell ref="C10:D10"/>
    <mergeCell ref="F10:G10"/>
    <mergeCell ref="P10:Q10"/>
    <mergeCell ref="C20:D20"/>
    <mergeCell ref="F20:G20"/>
    <mergeCell ref="P20:Q20"/>
  </mergeCells>
  <pageMargins left="0.7" right="0.7" top="0.75" bottom="0.75" header="0.3" footer="0.3"/>
  <drawing r:id="rId1"/>
  <legacyDrawing r:id="rId2"/>
</worksheet>
</file>

<file path=xl/worksheets/sheet4.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AFB12DAC-F2B1-4974-9966-4B39C40987DE}">
  <sheetPr codeName="Sheet3">
    <tabColor theme="5" tint="0.39997558519241921"/>
  </sheetPr>
  <dimension ref="A1:N22"/>
  <sheetViews>
    <sheetView workbookViewId="0">
      <selection activeCell="I18" sqref="I18"/>
    </sheetView>
  </sheetViews>
  <sheetFormatPr defaultRowHeight="15" x14ac:dyDescent="0.25"/>
  <cols>
    <col min="1" max="1" width="28.42578125" bestFit="1" customWidth="1"/>
  </cols>
  <sheetData>
    <row r="1" spans="1:14" ht="25.5" x14ac:dyDescent="0.35">
      <c r="A1" s="105"/>
      <c r="B1" s="105"/>
      <c r="C1" s="105"/>
      <c r="D1" s="105"/>
      <c r="E1" s="105"/>
      <c r="F1" s="105"/>
      <c r="G1" s="105"/>
      <c r="H1" s="105"/>
      <c r="I1" s="105"/>
      <c r="J1" s="105"/>
      <c r="K1" s="105"/>
      <c r="L1" s="3"/>
      <c r="M1" s="3"/>
      <c r="N1" s="3"/>
    </row>
    <row r="2" spans="1:14" ht="25.5" x14ac:dyDescent="0.35">
      <c r="A2" s="117" t="s">
        <v>90</v>
      </c>
      <c r="B2" s="117"/>
      <c r="C2" s="117"/>
      <c r="D2" s="117"/>
      <c r="E2" s="117"/>
      <c r="F2" s="117"/>
      <c r="G2" s="117"/>
      <c r="H2" s="117"/>
      <c r="I2" s="117"/>
      <c r="J2" s="117"/>
      <c r="K2" s="117"/>
      <c r="L2" s="3"/>
      <c r="M2" s="3"/>
      <c r="N2" s="3"/>
    </row>
    <row r="3" spans="1:14" x14ac:dyDescent="0.25">
      <c r="A3" s="3"/>
      <c r="B3" s="3"/>
      <c r="C3" s="3"/>
      <c r="D3" s="3"/>
      <c r="E3" s="3"/>
      <c r="F3" s="3"/>
      <c r="G3" s="3"/>
      <c r="H3" s="3"/>
      <c r="I3" s="3"/>
      <c r="J3" s="3"/>
      <c r="K3" s="3"/>
      <c r="L3" s="3"/>
      <c r="M3" s="3"/>
      <c r="N3" s="3"/>
    </row>
    <row r="4" spans="1:14" x14ac:dyDescent="0.25">
      <c r="A4" s="3"/>
      <c r="B4" s="3"/>
      <c r="C4" s="3"/>
      <c r="D4" s="3"/>
      <c r="E4" s="3"/>
      <c r="F4" s="3"/>
      <c r="G4" s="3"/>
      <c r="H4" s="3"/>
      <c r="I4" s="3"/>
      <c r="J4" s="3"/>
      <c r="K4" s="3"/>
      <c r="L4" s="3"/>
      <c r="M4" s="3"/>
      <c r="N4" s="3"/>
    </row>
    <row r="5" spans="1:14" x14ac:dyDescent="0.25">
      <c r="A5" s="3"/>
      <c r="B5" s="3"/>
      <c r="C5" s="3"/>
      <c r="D5" s="3"/>
      <c r="E5" s="3"/>
      <c r="F5" s="3"/>
      <c r="G5" s="3"/>
      <c r="H5" s="3"/>
      <c r="I5" s="3"/>
      <c r="J5" s="3"/>
      <c r="K5" s="3"/>
      <c r="L5" s="3"/>
      <c r="M5" s="3"/>
      <c r="N5" s="3"/>
    </row>
    <row r="6" spans="1:14" x14ac:dyDescent="0.25">
      <c r="A6" s="3"/>
      <c r="B6" s="3"/>
      <c r="C6" s="3"/>
      <c r="D6" s="3"/>
      <c r="E6" s="3"/>
      <c r="F6" s="3"/>
      <c r="G6" s="3"/>
      <c r="H6" s="3"/>
      <c r="I6" s="3"/>
      <c r="J6" s="3"/>
      <c r="K6" s="3"/>
      <c r="L6" s="3"/>
      <c r="M6" s="3"/>
      <c r="N6" s="3"/>
    </row>
    <row r="7" spans="1:14" x14ac:dyDescent="0.25">
      <c r="A7" s="7" t="s">
        <v>91</v>
      </c>
      <c r="B7" s="8"/>
      <c r="C7" s="3"/>
      <c r="D7" s="3"/>
      <c r="E7" s="3"/>
      <c r="F7" s="3"/>
      <c r="G7" s="3"/>
      <c r="H7" s="3"/>
      <c r="I7" s="3"/>
      <c r="J7" s="3"/>
      <c r="K7" s="3"/>
      <c r="L7" s="3"/>
      <c r="M7" s="3"/>
      <c r="N7" s="3"/>
    </row>
    <row r="8" spans="1:14" x14ac:dyDescent="0.25">
      <c r="A8" s="19"/>
      <c r="B8" s="19"/>
      <c r="C8" s="19"/>
      <c r="D8" s="19"/>
      <c r="E8" s="19"/>
      <c r="F8" s="19"/>
      <c r="G8" s="19"/>
      <c r="H8" s="19"/>
      <c r="I8" s="19"/>
      <c r="J8" s="19"/>
      <c r="K8" s="19"/>
      <c r="L8" s="19"/>
      <c r="M8" s="19"/>
      <c r="N8" s="19"/>
    </row>
    <row r="9" spans="1:14" x14ac:dyDescent="0.25">
      <c r="A9" s="10"/>
      <c r="B9" s="11" t="s">
        <v>2</v>
      </c>
      <c r="C9" s="11" t="s">
        <v>2</v>
      </c>
      <c r="D9" s="11" t="s">
        <v>2</v>
      </c>
      <c r="E9" s="11" t="s">
        <v>92</v>
      </c>
      <c r="F9" s="11" t="s">
        <v>6</v>
      </c>
      <c r="G9" s="11" t="s">
        <v>6</v>
      </c>
      <c r="H9" s="11" t="s">
        <v>6</v>
      </c>
      <c r="I9" s="11" t="s">
        <v>7</v>
      </c>
      <c r="J9" s="11" t="s">
        <v>93</v>
      </c>
      <c r="K9" s="11" t="s">
        <v>13</v>
      </c>
      <c r="L9" s="11" t="s">
        <v>16</v>
      </c>
      <c r="M9" s="11" t="s">
        <v>94</v>
      </c>
      <c r="N9" s="76" t="s">
        <v>19</v>
      </c>
    </row>
    <row r="10" spans="1:14" ht="90" x14ac:dyDescent="0.25">
      <c r="A10" s="10"/>
      <c r="B10" s="13" t="s">
        <v>95</v>
      </c>
      <c r="C10" s="13" t="s">
        <v>96</v>
      </c>
      <c r="D10" s="13" t="s">
        <v>97</v>
      </c>
      <c r="E10" s="13" t="s">
        <v>98</v>
      </c>
      <c r="F10" s="13" t="s">
        <v>99</v>
      </c>
      <c r="G10" s="77" t="s">
        <v>100</v>
      </c>
      <c r="H10" s="77" t="s">
        <v>98</v>
      </c>
      <c r="I10" s="13" t="s">
        <v>101</v>
      </c>
      <c r="J10" s="13" t="s">
        <v>102</v>
      </c>
      <c r="K10" s="13" t="s">
        <v>101</v>
      </c>
      <c r="L10" s="13" t="s">
        <v>103</v>
      </c>
      <c r="M10" s="13" t="s">
        <v>104</v>
      </c>
      <c r="N10" s="12" t="s">
        <v>24</v>
      </c>
    </row>
    <row r="11" spans="1:14" x14ac:dyDescent="0.25">
      <c r="A11" s="15" t="s">
        <v>105</v>
      </c>
      <c r="B11" s="15">
        <v>135</v>
      </c>
      <c r="C11" s="15">
        <v>130</v>
      </c>
      <c r="D11" s="15">
        <v>135</v>
      </c>
      <c r="E11" s="15">
        <v>135</v>
      </c>
      <c r="F11" s="15">
        <v>110</v>
      </c>
      <c r="G11" s="15">
        <v>110</v>
      </c>
      <c r="H11" s="15">
        <v>110</v>
      </c>
      <c r="I11" s="15">
        <v>135</v>
      </c>
      <c r="J11" s="15">
        <v>135</v>
      </c>
      <c r="K11" s="15">
        <v>135</v>
      </c>
      <c r="L11" s="15">
        <v>115</v>
      </c>
      <c r="M11" s="87">
        <v>135</v>
      </c>
      <c r="N11" s="15">
        <v>135</v>
      </c>
    </row>
    <row r="12" spans="1:14" x14ac:dyDescent="0.25">
      <c r="A12" s="15" t="s">
        <v>48</v>
      </c>
      <c r="B12" s="15">
        <f t="shared" ref="B12:N19" si="0">B11</f>
        <v>135</v>
      </c>
      <c r="C12" s="15">
        <f t="shared" si="0"/>
        <v>130</v>
      </c>
      <c r="D12" s="15">
        <f t="shared" si="0"/>
        <v>135</v>
      </c>
      <c r="E12" s="15">
        <f t="shared" si="0"/>
        <v>135</v>
      </c>
      <c r="F12" s="15">
        <f>F11</f>
        <v>110</v>
      </c>
      <c r="G12" s="15">
        <f t="shared" ref="G12:J19" si="1">G11</f>
        <v>110</v>
      </c>
      <c r="H12" s="15">
        <f t="shared" si="1"/>
        <v>110</v>
      </c>
      <c r="I12" s="15">
        <f t="shared" si="0"/>
        <v>135</v>
      </c>
      <c r="J12" s="15">
        <f t="shared" si="0"/>
        <v>135</v>
      </c>
      <c r="K12" s="15">
        <f t="shared" si="0"/>
        <v>135</v>
      </c>
      <c r="L12" s="15">
        <f t="shared" si="0"/>
        <v>115</v>
      </c>
      <c r="M12" s="87">
        <f t="shared" si="0"/>
        <v>135</v>
      </c>
      <c r="N12" s="15">
        <f>N11</f>
        <v>135</v>
      </c>
    </row>
    <row r="13" spans="1:14" x14ac:dyDescent="0.25">
      <c r="A13" s="15" t="s">
        <v>49</v>
      </c>
      <c r="B13" s="15">
        <f t="shared" si="0"/>
        <v>135</v>
      </c>
      <c r="C13" s="15">
        <f t="shared" si="0"/>
        <v>130</v>
      </c>
      <c r="D13" s="15">
        <f t="shared" si="0"/>
        <v>135</v>
      </c>
      <c r="E13" s="15">
        <f t="shared" si="0"/>
        <v>135</v>
      </c>
      <c r="F13" s="15">
        <f t="shared" si="0"/>
        <v>110</v>
      </c>
      <c r="G13" s="15">
        <f t="shared" si="1"/>
        <v>110</v>
      </c>
      <c r="H13" s="15">
        <f t="shared" si="1"/>
        <v>110</v>
      </c>
      <c r="I13" s="15">
        <f t="shared" si="0"/>
        <v>135</v>
      </c>
      <c r="J13" s="15">
        <f t="shared" si="0"/>
        <v>135</v>
      </c>
      <c r="K13" s="15">
        <f t="shared" si="0"/>
        <v>135</v>
      </c>
      <c r="L13" s="15">
        <f t="shared" si="0"/>
        <v>115</v>
      </c>
      <c r="M13" s="87">
        <f t="shared" si="0"/>
        <v>135</v>
      </c>
      <c r="N13" s="15">
        <f t="shared" si="0"/>
        <v>135</v>
      </c>
    </row>
    <row r="14" spans="1:14" x14ac:dyDescent="0.25">
      <c r="A14" s="15" t="s">
        <v>50</v>
      </c>
      <c r="B14" s="15">
        <f t="shared" si="0"/>
        <v>135</v>
      </c>
      <c r="C14" s="15">
        <f t="shared" si="0"/>
        <v>130</v>
      </c>
      <c r="D14" s="15">
        <f t="shared" si="0"/>
        <v>135</v>
      </c>
      <c r="E14" s="15">
        <f t="shared" si="0"/>
        <v>135</v>
      </c>
      <c r="F14" s="15">
        <f t="shared" si="0"/>
        <v>110</v>
      </c>
      <c r="G14" s="15">
        <f t="shared" si="1"/>
        <v>110</v>
      </c>
      <c r="H14" s="15">
        <f t="shared" si="1"/>
        <v>110</v>
      </c>
      <c r="I14" s="15">
        <f t="shared" si="1"/>
        <v>135</v>
      </c>
      <c r="J14" s="15">
        <f t="shared" si="1"/>
        <v>135</v>
      </c>
      <c r="K14" s="15">
        <f t="shared" si="0"/>
        <v>135</v>
      </c>
      <c r="L14" s="15">
        <f t="shared" si="0"/>
        <v>115</v>
      </c>
      <c r="M14" s="87">
        <f t="shared" si="0"/>
        <v>135</v>
      </c>
      <c r="N14" s="15">
        <f t="shared" si="0"/>
        <v>135</v>
      </c>
    </row>
    <row r="15" spans="1:14" x14ac:dyDescent="0.25">
      <c r="A15" s="15" t="s">
        <v>51</v>
      </c>
      <c r="B15" s="15">
        <f t="shared" si="0"/>
        <v>135</v>
      </c>
      <c r="C15" s="15">
        <f t="shared" si="0"/>
        <v>130</v>
      </c>
      <c r="D15" s="15">
        <f t="shared" si="0"/>
        <v>135</v>
      </c>
      <c r="E15" s="15">
        <f t="shared" si="0"/>
        <v>135</v>
      </c>
      <c r="F15" s="15">
        <f t="shared" si="0"/>
        <v>110</v>
      </c>
      <c r="G15" s="15">
        <f t="shared" si="1"/>
        <v>110</v>
      </c>
      <c r="H15" s="15">
        <f t="shared" si="1"/>
        <v>110</v>
      </c>
      <c r="I15" s="15">
        <f t="shared" si="1"/>
        <v>135</v>
      </c>
      <c r="J15" s="15">
        <f t="shared" si="1"/>
        <v>135</v>
      </c>
      <c r="K15" s="15">
        <f t="shared" si="0"/>
        <v>135</v>
      </c>
      <c r="L15" s="15">
        <f t="shared" si="0"/>
        <v>115</v>
      </c>
      <c r="M15" s="87">
        <f t="shared" si="0"/>
        <v>135</v>
      </c>
      <c r="N15" s="15">
        <f t="shared" si="0"/>
        <v>135</v>
      </c>
    </row>
    <row r="16" spans="1:14" x14ac:dyDescent="0.25">
      <c r="A16" s="15" t="s">
        <v>52</v>
      </c>
      <c r="B16" s="15">
        <f t="shared" si="0"/>
        <v>135</v>
      </c>
      <c r="C16" s="15">
        <f t="shared" si="0"/>
        <v>130</v>
      </c>
      <c r="D16" s="15">
        <f t="shared" si="0"/>
        <v>135</v>
      </c>
      <c r="E16" s="15">
        <f t="shared" si="0"/>
        <v>135</v>
      </c>
      <c r="F16" s="15">
        <f t="shared" si="0"/>
        <v>110</v>
      </c>
      <c r="G16" s="15">
        <f t="shared" si="1"/>
        <v>110</v>
      </c>
      <c r="H16" s="15">
        <f t="shared" si="1"/>
        <v>110</v>
      </c>
      <c r="I16" s="15">
        <f t="shared" si="1"/>
        <v>135</v>
      </c>
      <c r="J16" s="15">
        <f t="shared" si="1"/>
        <v>135</v>
      </c>
      <c r="K16" s="15">
        <f t="shared" si="0"/>
        <v>135</v>
      </c>
      <c r="L16" s="15">
        <f t="shared" si="0"/>
        <v>115</v>
      </c>
      <c r="M16" s="87">
        <f t="shared" si="0"/>
        <v>135</v>
      </c>
      <c r="N16" s="15">
        <f t="shared" si="0"/>
        <v>135</v>
      </c>
    </row>
    <row r="17" spans="1:14" x14ac:dyDescent="0.25">
      <c r="A17" s="15" t="s">
        <v>53</v>
      </c>
      <c r="B17" s="15">
        <f t="shared" si="0"/>
        <v>135</v>
      </c>
      <c r="C17" s="15">
        <f t="shared" si="0"/>
        <v>130</v>
      </c>
      <c r="D17" s="15">
        <f t="shared" si="0"/>
        <v>135</v>
      </c>
      <c r="E17" s="15">
        <f t="shared" si="0"/>
        <v>135</v>
      </c>
      <c r="F17" s="15">
        <f t="shared" si="0"/>
        <v>110</v>
      </c>
      <c r="G17" s="15">
        <f t="shared" si="1"/>
        <v>110</v>
      </c>
      <c r="H17" s="15">
        <f t="shared" si="1"/>
        <v>110</v>
      </c>
      <c r="I17" s="15">
        <f t="shared" si="1"/>
        <v>135</v>
      </c>
      <c r="J17" s="15">
        <f t="shared" si="1"/>
        <v>135</v>
      </c>
      <c r="K17" s="15">
        <f t="shared" si="0"/>
        <v>135</v>
      </c>
      <c r="L17" s="15">
        <f t="shared" si="0"/>
        <v>115</v>
      </c>
      <c r="M17" s="87">
        <f t="shared" si="0"/>
        <v>135</v>
      </c>
      <c r="N17" s="15">
        <f t="shared" si="0"/>
        <v>135</v>
      </c>
    </row>
    <row r="18" spans="1:14" x14ac:dyDescent="0.25">
      <c r="A18" s="15" t="s">
        <v>54</v>
      </c>
      <c r="B18" s="15">
        <f t="shared" si="0"/>
        <v>135</v>
      </c>
      <c r="C18" s="15">
        <f t="shared" si="0"/>
        <v>130</v>
      </c>
      <c r="D18" s="15">
        <f t="shared" si="0"/>
        <v>135</v>
      </c>
      <c r="E18" s="15">
        <f t="shared" si="0"/>
        <v>135</v>
      </c>
      <c r="F18" s="15">
        <f t="shared" si="0"/>
        <v>110</v>
      </c>
      <c r="G18" s="15">
        <f t="shared" si="1"/>
        <v>110</v>
      </c>
      <c r="H18" s="15">
        <f t="shared" si="1"/>
        <v>110</v>
      </c>
      <c r="I18" s="15">
        <f t="shared" si="1"/>
        <v>135</v>
      </c>
      <c r="J18" s="15">
        <f t="shared" si="1"/>
        <v>135</v>
      </c>
      <c r="K18" s="15">
        <f t="shared" si="0"/>
        <v>135</v>
      </c>
      <c r="L18" s="15">
        <f t="shared" si="0"/>
        <v>115</v>
      </c>
      <c r="M18" s="87">
        <f t="shared" si="0"/>
        <v>135</v>
      </c>
      <c r="N18" s="15">
        <f t="shared" si="0"/>
        <v>135</v>
      </c>
    </row>
    <row r="19" spans="1:14" x14ac:dyDescent="0.25">
      <c r="A19" s="15" t="s">
        <v>55</v>
      </c>
      <c r="B19" s="15">
        <f t="shared" si="0"/>
        <v>135</v>
      </c>
      <c r="C19" s="15">
        <f t="shared" si="0"/>
        <v>130</v>
      </c>
      <c r="D19" s="15">
        <f t="shared" si="0"/>
        <v>135</v>
      </c>
      <c r="E19" s="15">
        <f t="shared" si="0"/>
        <v>135</v>
      </c>
      <c r="F19" s="15">
        <f t="shared" si="0"/>
        <v>110</v>
      </c>
      <c r="G19" s="15">
        <f t="shared" si="1"/>
        <v>110</v>
      </c>
      <c r="H19" s="15">
        <f t="shared" si="1"/>
        <v>110</v>
      </c>
      <c r="I19" s="15">
        <f t="shared" si="1"/>
        <v>135</v>
      </c>
      <c r="J19" s="15">
        <f t="shared" si="1"/>
        <v>135</v>
      </c>
      <c r="K19" s="15">
        <f t="shared" si="0"/>
        <v>135</v>
      </c>
      <c r="L19" s="15">
        <f t="shared" si="0"/>
        <v>115</v>
      </c>
      <c r="M19" s="87">
        <f t="shared" si="0"/>
        <v>135</v>
      </c>
      <c r="N19" s="15">
        <f t="shared" si="0"/>
        <v>135</v>
      </c>
    </row>
    <row r="20" spans="1:14" x14ac:dyDescent="0.25">
      <c r="A20" s="19"/>
      <c r="B20" s="19"/>
      <c r="C20" s="19"/>
      <c r="D20" s="19"/>
      <c r="E20" s="19"/>
      <c r="F20" s="19"/>
      <c r="G20" s="19"/>
      <c r="H20" s="19"/>
      <c r="I20" s="19"/>
      <c r="J20" s="19"/>
      <c r="K20" s="19"/>
      <c r="L20" s="19"/>
      <c r="M20" s="94"/>
      <c r="N20" s="19"/>
    </row>
    <row r="21" spans="1:14" x14ac:dyDescent="0.25">
      <c r="A21" s="20" t="s">
        <v>56</v>
      </c>
      <c r="B21" s="21">
        <v>43294</v>
      </c>
      <c r="C21" s="21">
        <v>43294</v>
      </c>
      <c r="D21" s="21">
        <v>43294</v>
      </c>
      <c r="E21" s="21">
        <v>43298</v>
      </c>
      <c r="F21" s="21">
        <v>43123</v>
      </c>
      <c r="G21" s="21">
        <f>F21</f>
        <v>43123</v>
      </c>
      <c r="H21" s="21">
        <f>G21</f>
        <v>43123</v>
      </c>
      <c r="I21" s="21">
        <v>43293</v>
      </c>
      <c r="J21" s="21">
        <v>43294</v>
      </c>
      <c r="K21" s="21">
        <v>43300</v>
      </c>
      <c r="L21" s="21">
        <v>43130</v>
      </c>
      <c r="M21" s="88">
        <v>43301</v>
      </c>
      <c r="N21" s="21">
        <v>43300</v>
      </c>
    </row>
    <row r="22" spans="1:14" x14ac:dyDescent="0.25">
      <c r="A22" s="24" t="s">
        <v>57</v>
      </c>
      <c r="B22" s="21">
        <v>41911</v>
      </c>
      <c r="C22" s="25">
        <v>41911</v>
      </c>
      <c r="D22" s="25">
        <v>39944</v>
      </c>
      <c r="E22" s="22">
        <v>40849</v>
      </c>
      <c r="F22" s="21">
        <v>40851</v>
      </c>
      <c r="G22" s="21">
        <v>38961</v>
      </c>
      <c r="H22" s="21">
        <v>38961</v>
      </c>
      <c r="I22" s="21">
        <v>40000</v>
      </c>
      <c r="J22" s="25">
        <v>38322</v>
      </c>
      <c r="K22" s="25">
        <v>39526</v>
      </c>
      <c r="L22" s="21">
        <v>36708</v>
      </c>
      <c r="M22" s="21">
        <v>40909</v>
      </c>
      <c r="N22" s="21">
        <v>41541</v>
      </c>
    </row>
  </sheetData>
  <mergeCells count="2">
    <mergeCell ref="A1:K1"/>
    <mergeCell ref="A2:K2"/>
  </mergeCells>
  <pageMargins left="0.7" right="0.7" top="0.75" bottom="0.75" header="0.3" footer="0.3"/>
  <drawing r:id="rId1"/>
  <legacyDrawing r:id="rId2"/>
</worksheet>
</file>

<file path=xl/worksheets/sheet5.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94A5AC07-57F7-424A-8533-B7463DAB4CE3}">
  <sheetPr codeName="Sheet20">
    <tabColor theme="6"/>
  </sheetPr>
  <dimension ref="A1:D5"/>
  <sheetViews>
    <sheetView workbookViewId="0">
      <selection activeCell="B8" sqref="B8"/>
    </sheetView>
  </sheetViews>
  <sheetFormatPr defaultRowHeight="15" x14ac:dyDescent="0.25"/>
  <cols>
    <col min="1" max="1" width="14.5703125" style="100" customWidth="1"/>
    <col min="2" max="2" width="74.28515625" style="101" customWidth="1"/>
    <col min="3" max="3" width="23.140625" style="102" customWidth="1"/>
    <col min="4" max="4" width="24.140625" style="102" customWidth="1"/>
    <col min="5" max="16384" width="9.140625" style="102"/>
  </cols>
  <sheetData>
    <row r="1" spans="1:4" customFormat="1" ht="73.5" customHeight="1" x14ac:dyDescent="0.25">
      <c r="A1" s="118" t="s">
        <v>652</v>
      </c>
      <c r="B1" s="119"/>
      <c r="C1" s="119"/>
      <c r="D1" s="119"/>
    </row>
    <row r="2" spans="1:4" customFormat="1" ht="3" customHeight="1" x14ac:dyDescent="0.25">
      <c r="A2" s="103"/>
      <c r="B2" s="104"/>
      <c r="C2" s="104"/>
      <c r="D2" s="104"/>
    </row>
    <row r="3" spans="1:4" s="97" customFormat="1" ht="15.75" x14ac:dyDescent="0.25">
      <c r="A3" s="97" t="s">
        <v>645</v>
      </c>
      <c r="B3" s="98" t="s">
        <v>647</v>
      </c>
      <c r="C3" s="97" t="s">
        <v>646</v>
      </c>
      <c r="D3" s="97" t="s">
        <v>648</v>
      </c>
    </row>
    <row r="4" spans="1:4" s="97" customFormat="1" ht="15.75" x14ac:dyDescent="0.25">
      <c r="A4" s="99"/>
      <c r="B4" s="98"/>
    </row>
    <row r="5" spans="1:4" ht="75" x14ac:dyDescent="0.25">
      <c r="A5" s="100">
        <v>43364</v>
      </c>
      <c r="B5" s="101" t="s">
        <v>651</v>
      </c>
      <c r="C5" s="102" t="s">
        <v>649</v>
      </c>
      <c r="D5" s="102" t="s">
        <v>650</v>
      </c>
    </row>
  </sheetData>
  <mergeCells count="1">
    <mergeCell ref="A1:D1"/>
  </mergeCells>
  <pageMargins left="0.7" right="0.7" top="0.75" bottom="0.75" header="0.3" footer="0.3"/>
  <tableParts count="1">
    <tablePart r:id="rId1"/>
  </tableParts>
</worksheet>
</file>

<file path=xl/worksheets/sheet6.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C47865FF-D64F-4704-AFAE-ABAA1C73EF1B}">
  <sheetPr codeName="Sheet24"/>
  <dimension ref="A1:C16"/>
  <sheetViews>
    <sheetView workbookViewId="0">
      <selection activeCell="B1" sqref="B1:C17"/>
    </sheetView>
  </sheetViews>
  <sheetFormatPr defaultRowHeight="15" x14ac:dyDescent="0.25"/>
  <cols>
    <col min="1" max="1" width="33.42578125" bestFit="1" customWidth="1"/>
    <col min="2" max="2" width="27.28515625" bestFit="1" customWidth="1"/>
    <col min="3" max="3" width="11.85546875" bestFit="1" customWidth="1"/>
  </cols>
  <sheetData>
    <row r="1" spans="1:3" x14ac:dyDescent="0.25">
      <c r="B1" t="s">
        <v>514</v>
      </c>
      <c r="C1" t="s">
        <v>515</v>
      </c>
    </row>
    <row r="2" spans="1:3" x14ac:dyDescent="0.25">
      <c r="A2" t="s">
        <v>532</v>
      </c>
      <c r="B2" t="s">
        <v>516</v>
      </c>
      <c r="C2" s="80" t="s">
        <v>517</v>
      </c>
    </row>
    <row r="3" spans="1:3" x14ac:dyDescent="0.25">
      <c r="A3" t="s">
        <v>533</v>
      </c>
      <c r="B3" t="s">
        <v>518</v>
      </c>
      <c r="C3" t="s">
        <v>519</v>
      </c>
    </row>
    <row r="4" spans="1:3" x14ac:dyDescent="0.25">
      <c r="B4" t="s">
        <v>520</v>
      </c>
      <c r="C4" t="s">
        <v>521</v>
      </c>
    </row>
    <row r="5" spans="1:3" x14ac:dyDescent="0.25">
      <c r="A5" t="s">
        <v>534</v>
      </c>
      <c r="B5" t="s">
        <v>443</v>
      </c>
      <c r="C5" t="s">
        <v>519</v>
      </c>
    </row>
    <row r="6" spans="1:3" x14ac:dyDescent="0.25">
      <c r="A6" t="s">
        <v>535</v>
      </c>
      <c r="B6" t="s">
        <v>443</v>
      </c>
      <c r="C6" t="s">
        <v>245</v>
      </c>
    </row>
    <row r="7" spans="1:3" x14ac:dyDescent="0.25">
      <c r="A7" t="s">
        <v>536</v>
      </c>
      <c r="B7" t="s">
        <v>522</v>
      </c>
      <c r="C7" t="s">
        <v>519</v>
      </c>
    </row>
    <row r="8" spans="1:3" x14ac:dyDescent="0.25">
      <c r="B8" t="s">
        <v>523</v>
      </c>
      <c r="C8" t="s">
        <v>519</v>
      </c>
    </row>
    <row r="9" spans="1:3" x14ac:dyDescent="0.25">
      <c r="B9" t="s">
        <v>524</v>
      </c>
      <c r="C9" t="s">
        <v>519</v>
      </c>
    </row>
    <row r="10" spans="1:3" x14ac:dyDescent="0.25">
      <c r="B10" t="s">
        <v>525</v>
      </c>
      <c r="C10" t="s">
        <v>519</v>
      </c>
    </row>
    <row r="11" spans="1:3" x14ac:dyDescent="0.25">
      <c r="B11" t="s">
        <v>526</v>
      </c>
      <c r="C11" t="s">
        <v>527</v>
      </c>
    </row>
    <row r="12" spans="1:3" x14ac:dyDescent="0.25">
      <c r="A12" t="s">
        <v>61</v>
      </c>
      <c r="B12" t="s">
        <v>528</v>
      </c>
      <c r="C12" t="s">
        <v>339</v>
      </c>
    </row>
    <row r="13" spans="1:3" x14ac:dyDescent="0.25">
      <c r="B13" t="s">
        <v>529</v>
      </c>
      <c r="C13" t="s">
        <v>339</v>
      </c>
    </row>
    <row r="14" spans="1:3" x14ac:dyDescent="0.25">
      <c r="B14" t="s">
        <v>530</v>
      </c>
      <c r="C14" t="s">
        <v>339</v>
      </c>
    </row>
    <row r="15" spans="1:3" x14ac:dyDescent="0.25">
      <c r="B15" t="s">
        <v>531</v>
      </c>
      <c r="C15" t="s">
        <v>339</v>
      </c>
    </row>
    <row r="16" spans="1:3" x14ac:dyDescent="0.25">
      <c r="B16" t="s">
        <v>526</v>
      </c>
      <c r="C16" t="s">
        <v>339</v>
      </c>
    </row>
  </sheetData>
  <pageMargins left="0.7" right="0.7" top="0.75" bottom="0.75" header="0.3" footer="0.3"/>
  <pageSetup orientation="portrait" r:id="rId1"/>
  <tableParts count="1">
    <tablePart r:id="rId2"/>
  </tableParts>
</worksheet>
</file>

<file path=xl/worksheets/sheet7.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400-000000000000}">
  <sheetPr codeName="Sheet5"/>
  <dimension ref="A2:E57"/>
  <sheetViews>
    <sheetView topLeftCell="A20" workbookViewId="0">
      <selection activeCell="H22" sqref="H17:H22"/>
    </sheetView>
  </sheetViews>
  <sheetFormatPr defaultRowHeight="15" x14ac:dyDescent="0.25"/>
  <cols>
    <col min="1" max="2" width="59.85546875" bestFit="1" customWidth="1"/>
    <col min="3" max="3" width="13" bestFit="1" customWidth="1"/>
    <col min="4" max="4" width="12.28515625" bestFit="1" customWidth="1"/>
    <col min="5" max="5" width="15.5703125" bestFit="1" customWidth="1"/>
  </cols>
  <sheetData>
    <row r="2" spans="1:2" x14ac:dyDescent="0.25">
      <c r="A2" t="s">
        <v>112</v>
      </c>
      <c r="B2" t="s">
        <v>113</v>
      </c>
    </row>
    <row r="3" spans="1:2" x14ac:dyDescent="0.25">
      <c r="A3" s="79" t="s">
        <v>537</v>
      </c>
      <c r="B3" s="79" t="s">
        <v>117</v>
      </c>
    </row>
    <row r="4" spans="1:2" x14ac:dyDescent="0.25">
      <c r="A4" s="79" t="s">
        <v>538</v>
      </c>
      <c r="B4" s="79" t="s">
        <v>538</v>
      </c>
    </row>
    <row r="5" spans="1:2" x14ac:dyDescent="0.25">
      <c r="A5" s="79" t="s">
        <v>539</v>
      </c>
      <c r="B5" s="79" t="s">
        <v>519</v>
      </c>
    </row>
    <row r="6" spans="1:2" x14ac:dyDescent="0.25">
      <c r="A6" s="79" t="s">
        <v>540</v>
      </c>
      <c r="B6" s="79" t="s">
        <v>519</v>
      </c>
    </row>
    <row r="7" spans="1:2" x14ac:dyDescent="0.25">
      <c r="A7" s="79" t="s">
        <v>541</v>
      </c>
      <c r="B7" s="79" t="s">
        <v>519</v>
      </c>
    </row>
    <row r="8" spans="1:2" x14ac:dyDescent="0.25">
      <c r="A8" s="79" t="s">
        <v>542</v>
      </c>
      <c r="B8" s="79" t="s">
        <v>519</v>
      </c>
    </row>
    <row r="9" spans="1:2" x14ac:dyDescent="0.25">
      <c r="A9" s="79" t="s">
        <v>543</v>
      </c>
      <c r="B9" s="79" t="s">
        <v>519</v>
      </c>
    </row>
    <row r="10" spans="1:2" x14ac:dyDescent="0.25">
      <c r="A10" s="79" t="s">
        <v>544</v>
      </c>
      <c r="B10" s="79" t="s">
        <v>519</v>
      </c>
    </row>
    <row r="11" spans="1:2" x14ac:dyDescent="0.25">
      <c r="A11" s="79" t="s">
        <v>545</v>
      </c>
      <c r="B11" s="79" t="s">
        <v>545</v>
      </c>
    </row>
    <row r="12" spans="1:2" x14ac:dyDescent="0.25">
      <c r="A12" s="79" t="s">
        <v>546</v>
      </c>
      <c r="B12" s="79" t="s">
        <v>242</v>
      </c>
    </row>
    <row r="13" spans="1:2" x14ac:dyDescent="0.25">
      <c r="A13" s="79" t="s">
        <v>541</v>
      </c>
      <c r="B13" s="79" t="s">
        <v>547</v>
      </c>
    </row>
    <row r="14" spans="1:2" x14ac:dyDescent="0.25">
      <c r="A14" s="79" t="s">
        <v>542</v>
      </c>
      <c r="B14" s="79" t="s">
        <v>547</v>
      </c>
    </row>
    <row r="15" spans="1:2" x14ac:dyDescent="0.25">
      <c r="A15" s="79" t="s">
        <v>543</v>
      </c>
      <c r="B15" s="79" t="s">
        <v>547</v>
      </c>
    </row>
    <row r="16" spans="1:2" x14ac:dyDescent="0.25">
      <c r="A16" s="79" t="s">
        <v>548</v>
      </c>
      <c r="B16" s="79" t="s">
        <v>547</v>
      </c>
    </row>
    <row r="17" spans="1:5" x14ac:dyDescent="0.25">
      <c r="A17" s="79" t="s">
        <v>549</v>
      </c>
      <c r="B17" s="79" t="s">
        <v>547</v>
      </c>
    </row>
    <row r="18" spans="1:5" x14ac:dyDescent="0.25">
      <c r="A18" s="79" t="s">
        <v>550</v>
      </c>
      <c r="B18" s="79" t="s">
        <v>550</v>
      </c>
    </row>
    <row r="19" spans="1:5" x14ac:dyDescent="0.25">
      <c r="A19" s="79" t="s">
        <v>546</v>
      </c>
      <c r="B19" s="80" t="s">
        <v>242</v>
      </c>
    </row>
    <row r="20" spans="1:5" x14ac:dyDescent="0.25">
      <c r="A20" s="79" t="s">
        <v>541</v>
      </c>
      <c r="B20" s="79" t="s">
        <v>242</v>
      </c>
    </row>
    <row r="21" spans="1:5" x14ac:dyDescent="0.25">
      <c r="A21" s="79" t="s">
        <v>542</v>
      </c>
      <c r="B21" s="79" t="s">
        <v>517</v>
      </c>
    </row>
    <row r="22" spans="1:5" x14ac:dyDescent="0.25">
      <c r="A22" s="79" t="s">
        <v>543</v>
      </c>
      <c r="B22" s="79" t="s">
        <v>517</v>
      </c>
    </row>
    <row r="23" spans="1:5" x14ac:dyDescent="0.25">
      <c r="A23" s="79" t="s">
        <v>548</v>
      </c>
      <c r="B23" s="79" t="s">
        <v>517</v>
      </c>
    </row>
    <row r="24" spans="1:5" x14ac:dyDescent="0.25">
      <c r="A24" s="79" t="s">
        <v>549</v>
      </c>
      <c r="B24" s="79" t="s">
        <v>517</v>
      </c>
    </row>
    <row r="25" spans="1:5" x14ac:dyDescent="0.25">
      <c r="A25" s="79" t="s">
        <v>551</v>
      </c>
      <c r="B25" s="79" t="s">
        <v>551</v>
      </c>
    </row>
    <row r="26" spans="1:5" x14ac:dyDescent="0.25">
      <c r="A26" s="79" t="s">
        <v>546</v>
      </c>
      <c r="B26" s="79" t="s">
        <v>519</v>
      </c>
    </row>
    <row r="27" spans="1:5" x14ac:dyDescent="0.25">
      <c r="A27" s="79" t="s">
        <v>552</v>
      </c>
      <c r="B27" s="79" t="s">
        <v>521</v>
      </c>
    </row>
    <row r="29" spans="1:5" x14ac:dyDescent="0.25">
      <c r="A29" t="s">
        <v>627</v>
      </c>
      <c r="B29" t="s">
        <v>628</v>
      </c>
      <c r="C29" t="s">
        <v>629</v>
      </c>
      <c r="D29" t="s">
        <v>630</v>
      </c>
      <c r="E29" t="s">
        <v>631</v>
      </c>
    </row>
    <row r="30" spans="1:5" x14ac:dyDescent="0.25">
      <c r="A30" s="79" t="s">
        <v>632</v>
      </c>
      <c r="B30" s="79" t="s">
        <v>570</v>
      </c>
      <c r="C30">
        <v>1000</v>
      </c>
      <c r="D30" s="79" t="s">
        <v>633</v>
      </c>
      <c r="E30">
        <v>1.35E-2</v>
      </c>
    </row>
    <row r="31" spans="1:5" x14ac:dyDescent="0.25">
      <c r="A31" s="79" t="s">
        <v>634</v>
      </c>
      <c r="B31" s="79" t="s">
        <v>571</v>
      </c>
      <c r="C31">
        <v>1000</v>
      </c>
      <c r="D31" s="79" t="s">
        <v>633</v>
      </c>
      <c r="E31">
        <v>1.2E-2</v>
      </c>
    </row>
    <row r="32" spans="1:5" x14ac:dyDescent="0.25">
      <c r="A32" s="79" t="s">
        <v>635</v>
      </c>
      <c r="B32" s="79" t="s">
        <v>570</v>
      </c>
      <c r="C32">
        <v>1000</v>
      </c>
      <c r="D32" s="79" t="s">
        <v>614</v>
      </c>
      <c r="E32">
        <v>1.35E-2</v>
      </c>
    </row>
    <row r="33" spans="1:5" x14ac:dyDescent="0.25">
      <c r="A33" s="79" t="s">
        <v>636</v>
      </c>
      <c r="B33" s="79" t="s">
        <v>570</v>
      </c>
      <c r="C33">
        <v>1000</v>
      </c>
      <c r="D33" s="79" t="s">
        <v>614</v>
      </c>
      <c r="E33">
        <v>1.35E-2</v>
      </c>
    </row>
    <row r="34" spans="1:5" x14ac:dyDescent="0.25">
      <c r="A34" s="79" t="s">
        <v>637</v>
      </c>
      <c r="B34" s="79" t="s">
        <v>570</v>
      </c>
      <c r="C34">
        <v>1000</v>
      </c>
      <c r="D34" s="79" t="s">
        <v>614</v>
      </c>
      <c r="E34">
        <v>1.35E-2</v>
      </c>
    </row>
    <row r="39" spans="1:5" x14ac:dyDescent="0.25">
      <c r="A39" t="s">
        <v>112</v>
      </c>
      <c r="B39" t="s">
        <v>113</v>
      </c>
    </row>
    <row r="40" spans="1:5" x14ac:dyDescent="0.25">
      <c r="A40" s="79" t="s">
        <v>537</v>
      </c>
      <c r="B40" s="79" t="s">
        <v>117</v>
      </c>
    </row>
    <row r="41" spans="1:5" x14ac:dyDescent="0.25">
      <c r="A41" s="79" t="s">
        <v>638</v>
      </c>
      <c r="B41" s="79" t="s">
        <v>638</v>
      </c>
    </row>
    <row r="42" spans="1:5" x14ac:dyDescent="0.25">
      <c r="A42" s="79" t="s">
        <v>539</v>
      </c>
      <c r="B42" s="79" t="s">
        <v>639</v>
      </c>
    </row>
    <row r="43" spans="1:5" x14ac:dyDescent="0.25">
      <c r="A43" s="79" t="s">
        <v>540</v>
      </c>
      <c r="B43" s="79" t="s">
        <v>639</v>
      </c>
    </row>
    <row r="44" spans="1:5" x14ac:dyDescent="0.25">
      <c r="A44" s="79" t="s">
        <v>541</v>
      </c>
      <c r="B44" s="79" t="s">
        <v>639</v>
      </c>
    </row>
    <row r="45" spans="1:5" x14ac:dyDescent="0.25">
      <c r="A45" s="79" t="s">
        <v>542</v>
      </c>
      <c r="B45" s="79" t="s">
        <v>639</v>
      </c>
    </row>
    <row r="46" spans="1:5" x14ac:dyDescent="0.25">
      <c r="A46" s="79" t="s">
        <v>543</v>
      </c>
      <c r="B46" s="79" t="s">
        <v>639</v>
      </c>
    </row>
    <row r="47" spans="1:5" x14ac:dyDescent="0.25">
      <c r="A47" s="79" t="s">
        <v>544</v>
      </c>
      <c r="B47" s="79" t="s">
        <v>639</v>
      </c>
    </row>
    <row r="48" spans="1:5" x14ac:dyDescent="0.25">
      <c r="A48" s="79" t="s">
        <v>640</v>
      </c>
      <c r="B48" s="79" t="s">
        <v>640</v>
      </c>
    </row>
    <row r="49" spans="1:2" x14ac:dyDescent="0.25">
      <c r="A49" s="79" t="s">
        <v>546</v>
      </c>
      <c r="B49" s="79" t="s">
        <v>519</v>
      </c>
    </row>
    <row r="50" spans="1:2" x14ac:dyDescent="0.25">
      <c r="A50" s="79" t="s">
        <v>641</v>
      </c>
      <c r="B50" s="79" t="s">
        <v>519</v>
      </c>
    </row>
    <row r="51" spans="1:2" x14ac:dyDescent="0.25">
      <c r="A51" s="79" t="s">
        <v>543</v>
      </c>
      <c r="B51" s="79" t="s">
        <v>245</v>
      </c>
    </row>
    <row r="52" spans="1:2" x14ac:dyDescent="0.25">
      <c r="A52" s="79" t="s">
        <v>544</v>
      </c>
      <c r="B52" s="79" t="s">
        <v>642</v>
      </c>
    </row>
    <row r="53" spans="1:2" x14ac:dyDescent="0.25">
      <c r="A53" s="79" t="s">
        <v>643</v>
      </c>
      <c r="B53" s="79" t="s">
        <v>643</v>
      </c>
    </row>
    <row r="54" spans="1:2" x14ac:dyDescent="0.25">
      <c r="A54" s="79" t="s">
        <v>546</v>
      </c>
      <c r="B54" s="79" t="s">
        <v>519</v>
      </c>
    </row>
    <row r="55" spans="1:2" x14ac:dyDescent="0.25">
      <c r="A55" s="79" t="s">
        <v>641</v>
      </c>
      <c r="B55" s="79" t="s">
        <v>519</v>
      </c>
    </row>
    <row r="56" spans="1:2" x14ac:dyDescent="0.25">
      <c r="A56" s="79" t="s">
        <v>543</v>
      </c>
      <c r="B56" s="79" t="s">
        <v>245</v>
      </c>
    </row>
    <row r="57" spans="1:2" x14ac:dyDescent="0.25">
      <c r="A57" s="79" t="s">
        <v>544</v>
      </c>
      <c r="B57" s="79" t="s">
        <v>642</v>
      </c>
    </row>
  </sheetData>
  <pageMargins left="0.7" right="0.7" top="0.75" bottom="0.75" header="0.3" footer="0.3"/>
  <tableParts count="3">
    <tablePart r:id="rId1"/>
    <tablePart r:id="rId2"/>
    <tablePart r:id="rId3"/>
  </tableParts>
</worksheet>
</file>

<file path=xl/worksheets/sheet8.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3A6FDDCC-9F3B-4B17-A26F-88F6BA179EFE}">
  <sheetPr codeName="Sheet18"/>
  <dimension ref="A1:C12"/>
  <sheetViews>
    <sheetView workbookViewId="0">
      <selection activeCell="C22" sqref="C22"/>
    </sheetView>
  </sheetViews>
  <sheetFormatPr defaultRowHeight="15" x14ac:dyDescent="0.25"/>
  <cols>
    <col min="1" max="1" width="32.5703125" bestFit="1" customWidth="1"/>
    <col min="2" max="2" width="18.7109375" bestFit="1" customWidth="1"/>
    <col min="3" max="3" width="15.7109375" bestFit="1" customWidth="1"/>
  </cols>
  <sheetData>
    <row r="1" spans="1:3" x14ac:dyDescent="0.25">
      <c r="B1" t="s">
        <v>482</v>
      </c>
      <c r="C1" t="s">
        <v>483</v>
      </c>
    </row>
    <row r="2" spans="1:3" x14ac:dyDescent="0.25">
      <c r="A2" t="s">
        <v>493</v>
      </c>
      <c r="B2" s="79" t="s">
        <v>484</v>
      </c>
      <c r="C2">
        <v>2E-3</v>
      </c>
    </row>
    <row r="3" spans="1:3" x14ac:dyDescent="0.25">
      <c r="B3" s="79" t="s">
        <v>485</v>
      </c>
      <c r="C3">
        <v>1.4500000000000001E-2</v>
      </c>
    </row>
    <row r="4" spans="1:3" x14ac:dyDescent="0.25">
      <c r="B4" s="79" t="s">
        <v>486</v>
      </c>
      <c r="C4">
        <v>2E-3</v>
      </c>
    </row>
    <row r="5" spans="1:3" x14ac:dyDescent="0.25">
      <c r="A5" t="s">
        <v>494</v>
      </c>
      <c r="B5" s="79" t="s">
        <v>487</v>
      </c>
      <c r="C5">
        <v>8.0000000000000002E-3</v>
      </c>
    </row>
    <row r="6" spans="1:3" x14ac:dyDescent="0.25">
      <c r="B6" s="79" t="s">
        <v>488</v>
      </c>
      <c r="C6">
        <v>8.0000000000000002E-3</v>
      </c>
    </row>
    <row r="7" spans="1:3" x14ac:dyDescent="0.25">
      <c r="A7" t="s">
        <v>495</v>
      </c>
      <c r="B7" s="79" t="s">
        <v>489</v>
      </c>
      <c r="C7">
        <v>5.0000000000000001E-4</v>
      </c>
    </row>
    <row r="8" spans="1:3" x14ac:dyDescent="0.25">
      <c r="B8" s="79" t="s">
        <v>490</v>
      </c>
      <c r="C8">
        <v>5.0000000000000001E-4</v>
      </c>
    </row>
    <row r="10" spans="1:3" x14ac:dyDescent="0.25">
      <c r="B10" t="s">
        <v>482</v>
      </c>
      <c r="C10" t="s">
        <v>483</v>
      </c>
    </row>
    <row r="11" spans="1:3" x14ac:dyDescent="0.25">
      <c r="A11" t="s">
        <v>584</v>
      </c>
      <c r="B11" s="79" t="s">
        <v>489</v>
      </c>
      <c r="C11">
        <v>5.0000000000000001E-4</v>
      </c>
    </row>
    <row r="12" spans="1:3" x14ac:dyDescent="0.25">
      <c r="B12" s="79" t="s">
        <v>490</v>
      </c>
      <c r="C12">
        <v>5.0000000000000001E-4</v>
      </c>
    </row>
  </sheetData>
  <pageMargins left="0.7" right="0.7" top="0.75" bottom="0.75" header="0.3" footer="0.3"/>
  <tableParts count="2">
    <tablePart r:id="rId1"/>
    <tablePart r:id="rId2"/>
  </tableParts>
</worksheet>
</file>

<file path=xl/worksheets/sheet9.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871C5784-50E9-4740-B453-F828322C7554}">
  <sheetPr codeName="Sheet17"/>
  <dimension ref="A1:E31"/>
  <sheetViews>
    <sheetView workbookViewId="0">
      <selection activeCell="A29" sqref="A29"/>
    </sheetView>
  </sheetViews>
  <sheetFormatPr defaultRowHeight="15" x14ac:dyDescent="0.25"/>
  <cols>
    <col min="1" max="1" width="43" bestFit="1" customWidth="1"/>
    <col min="2" max="2" width="49.28515625" bestFit="1" customWidth="1"/>
    <col min="3" max="3" width="22.7109375" bestFit="1" customWidth="1"/>
    <col min="4" max="4" width="9.28515625" bestFit="1" customWidth="1"/>
    <col min="5" max="5" width="26.85546875" bestFit="1" customWidth="1"/>
  </cols>
  <sheetData>
    <row r="1" spans="1:5" x14ac:dyDescent="0.25">
      <c r="B1" t="s">
        <v>115</v>
      </c>
      <c r="C1" t="s">
        <v>445</v>
      </c>
      <c r="D1" t="s">
        <v>446</v>
      </c>
      <c r="E1" t="s">
        <v>216</v>
      </c>
    </row>
    <row r="2" spans="1:5" x14ac:dyDescent="0.25">
      <c r="A2" t="s">
        <v>496</v>
      </c>
      <c r="B2" s="79" t="s">
        <v>447</v>
      </c>
      <c r="C2" s="79" t="s">
        <v>448</v>
      </c>
      <c r="D2" s="79" t="s">
        <v>449</v>
      </c>
      <c r="E2" s="79" t="s">
        <v>450</v>
      </c>
    </row>
    <row r="3" spans="1:5" x14ac:dyDescent="0.25">
      <c r="B3" s="79" t="s">
        <v>451</v>
      </c>
      <c r="C3" s="79" t="s">
        <v>452</v>
      </c>
      <c r="D3" s="79" t="s">
        <v>58</v>
      </c>
      <c r="E3" s="79" t="s">
        <v>452</v>
      </c>
    </row>
    <row r="4" spans="1:5" x14ac:dyDescent="0.25">
      <c r="B4" s="79" t="s">
        <v>453</v>
      </c>
      <c r="C4" s="79" t="s">
        <v>452</v>
      </c>
      <c r="D4" s="79" t="s">
        <v>454</v>
      </c>
      <c r="E4" s="79" t="s">
        <v>455</v>
      </c>
    </row>
    <row r="5" spans="1:5" x14ac:dyDescent="0.25">
      <c r="B5" s="79" t="s">
        <v>456</v>
      </c>
      <c r="C5" s="79" t="s">
        <v>452</v>
      </c>
      <c r="D5" s="79" t="s">
        <v>457</v>
      </c>
      <c r="E5" s="79" t="s">
        <v>458</v>
      </c>
    </row>
    <row r="6" spans="1:5" x14ac:dyDescent="0.25">
      <c r="B6" s="79" t="s">
        <v>459</v>
      </c>
      <c r="C6" s="79" t="s">
        <v>452</v>
      </c>
      <c r="D6" s="79" t="s">
        <v>460</v>
      </c>
      <c r="E6" s="79" t="s">
        <v>461</v>
      </c>
    </row>
    <row r="7" spans="1:5" x14ac:dyDescent="0.25">
      <c r="B7" s="79" t="s">
        <v>462</v>
      </c>
      <c r="C7" s="79" t="s">
        <v>452</v>
      </c>
      <c r="D7" s="79" t="s">
        <v>463</v>
      </c>
      <c r="E7" s="79" t="s">
        <v>464</v>
      </c>
    </row>
    <row r="8" spans="1:5" x14ac:dyDescent="0.25">
      <c r="A8" t="s">
        <v>497</v>
      </c>
      <c r="B8" s="79" t="s">
        <v>465</v>
      </c>
      <c r="C8" s="79"/>
      <c r="D8" s="79"/>
      <c r="E8" s="79" t="s">
        <v>466</v>
      </c>
    </row>
    <row r="9" spans="1:5" x14ac:dyDescent="0.25">
      <c r="B9" s="79" t="s">
        <v>467</v>
      </c>
      <c r="C9" s="79"/>
      <c r="D9" s="79"/>
      <c r="E9" s="79" t="s">
        <v>468</v>
      </c>
    </row>
    <row r="10" spans="1:5" x14ac:dyDescent="0.25">
      <c r="B10" s="79" t="s">
        <v>469</v>
      </c>
      <c r="C10" s="79"/>
      <c r="D10" s="79"/>
      <c r="E10" s="79" t="s">
        <v>468</v>
      </c>
    </row>
    <row r="11" spans="1:5" x14ac:dyDescent="0.25">
      <c r="A11" t="s">
        <v>498</v>
      </c>
      <c r="B11" s="79" t="s">
        <v>470</v>
      </c>
      <c r="C11" s="79"/>
      <c r="D11" s="79"/>
      <c r="E11" s="79" t="s">
        <v>466</v>
      </c>
    </row>
    <row r="12" spans="1:5" x14ac:dyDescent="0.25">
      <c r="B12" s="79" t="s">
        <v>471</v>
      </c>
      <c r="C12" s="79"/>
      <c r="D12" s="79"/>
      <c r="E12" s="79" t="s">
        <v>472</v>
      </c>
    </row>
    <row r="13" spans="1:5" x14ac:dyDescent="0.25">
      <c r="B13" s="79" t="s">
        <v>473</v>
      </c>
      <c r="C13" s="79"/>
      <c r="D13" s="79"/>
      <c r="E13" s="79" t="s">
        <v>452</v>
      </c>
    </row>
    <row r="14" spans="1:5" x14ac:dyDescent="0.25">
      <c r="B14" s="79" t="s">
        <v>474</v>
      </c>
      <c r="C14" s="79"/>
      <c r="D14" s="79"/>
      <c r="E14" s="79" t="s">
        <v>475</v>
      </c>
    </row>
    <row r="16" spans="1:5" x14ac:dyDescent="0.25">
      <c r="B16" t="s">
        <v>476</v>
      </c>
      <c r="C16" t="s">
        <v>477</v>
      </c>
      <c r="D16" t="s">
        <v>478</v>
      </c>
    </row>
    <row r="17" spans="1:4" x14ac:dyDescent="0.25">
      <c r="A17" t="s">
        <v>481</v>
      </c>
      <c r="B17" s="79" t="s">
        <v>479</v>
      </c>
      <c r="C17">
        <v>2.5000000000000001E-3</v>
      </c>
      <c r="D17">
        <v>2.5000000000000001E-3</v>
      </c>
    </row>
    <row r="18" spans="1:4" x14ac:dyDescent="0.25">
      <c r="B18" s="79" t="s">
        <v>480</v>
      </c>
      <c r="C18">
        <v>3.6999999999999998E-2</v>
      </c>
      <c r="D18">
        <v>0.05</v>
      </c>
    </row>
    <row r="20" spans="1:4" x14ac:dyDescent="0.25">
      <c r="B20" t="s">
        <v>585</v>
      </c>
      <c r="C20" t="s">
        <v>466</v>
      </c>
    </row>
    <row r="21" spans="1:4" x14ac:dyDescent="0.25">
      <c r="A21" t="s">
        <v>595</v>
      </c>
      <c r="B21" s="79" t="s">
        <v>586</v>
      </c>
      <c r="C21" s="79" t="s">
        <v>466</v>
      </c>
    </row>
    <row r="22" spans="1:4" x14ac:dyDescent="0.25">
      <c r="B22" s="79" t="s">
        <v>587</v>
      </c>
      <c r="C22" s="79" t="s">
        <v>588</v>
      </c>
    </row>
    <row r="23" spans="1:4" x14ac:dyDescent="0.25">
      <c r="B23" s="79" t="s">
        <v>81</v>
      </c>
      <c r="C23" s="79" t="s">
        <v>589</v>
      </c>
    </row>
    <row r="24" spans="1:4" x14ac:dyDescent="0.25">
      <c r="B24" s="79" t="s">
        <v>82</v>
      </c>
      <c r="C24" s="79" t="s">
        <v>475</v>
      </c>
    </row>
    <row r="25" spans="1:4" x14ac:dyDescent="0.25">
      <c r="B25" s="79" t="s">
        <v>83</v>
      </c>
      <c r="C25" s="79" t="s">
        <v>590</v>
      </c>
    </row>
    <row r="26" spans="1:4" x14ac:dyDescent="0.25">
      <c r="B26" s="79" t="s">
        <v>591</v>
      </c>
      <c r="C26" s="79" t="s">
        <v>592</v>
      </c>
    </row>
    <row r="27" spans="1:4" x14ac:dyDescent="0.25">
      <c r="B27" s="79" t="s">
        <v>593</v>
      </c>
      <c r="C27" s="79" t="s">
        <v>594</v>
      </c>
    </row>
    <row r="30" spans="1:4" x14ac:dyDescent="0.25">
      <c r="B30" s="79"/>
    </row>
    <row r="31" spans="1:4" x14ac:dyDescent="0.25">
      <c r="B31" s="79"/>
    </row>
  </sheetData>
  <pageMargins left="0.7" right="0.7" top="0.75" bottom="0.75" header="0.3" footer="0.3"/>
  <pageSetup orientation="portrait" r:id="rId1"/>
  <tableParts count="3">
    <tablePart r:id="rId2"/>
    <tablePart r:id="rId3"/>
    <tablePart r:id="rId4"/>
  </tableParts>
</worksheet>
</file>

<file path=xl/worksheets/sheet10.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500-000000000000}">
  <sheetPr codeName="Sheet6"/>
  <dimension ref="A1:D39"/>
  <sheetViews>
    <sheetView topLeftCell="A7" workbookViewId="0">
      <selection activeCell="A34" sqref="A34"/>
    </sheetView>
  </sheetViews>
  <sheetFormatPr defaultRowHeight="15" x14ac:dyDescent="0.25"/>
  <cols>
    <col min="1" max="1" width="35.7109375" bestFit="1" customWidth="1"/>
    <col min="2" max="2" width="21" bestFit="1" customWidth="1"/>
    <col min="3" max="4" width="11.7109375" bestFit="1" customWidth="1"/>
  </cols>
  <sheetData>
    <row r="1" spans="1:4" x14ac:dyDescent="0.25">
      <c r="B1" t="s">
        <v>115</v>
      </c>
      <c r="C1" t="s">
        <v>116</v>
      </c>
      <c r="D1" t="s">
        <v>117</v>
      </c>
    </row>
    <row r="2" spans="1:4" x14ac:dyDescent="0.25">
      <c r="A2" t="s">
        <v>107</v>
      </c>
      <c r="B2" t="s">
        <v>118</v>
      </c>
      <c r="D2" t="s">
        <v>119</v>
      </c>
    </row>
    <row r="3" spans="1:4" x14ac:dyDescent="0.25">
      <c r="C3" t="s">
        <v>120</v>
      </c>
      <c r="D3" t="s">
        <v>121</v>
      </c>
    </row>
    <row r="4" spans="1:4" x14ac:dyDescent="0.25">
      <c r="A4" t="s">
        <v>108</v>
      </c>
      <c r="C4" t="s">
        <v>122</v>
      </c>
      <c r="D4" t="s">
        <v>123</v>
      </c>
    </row>
    <row r="5" spans="1:4" x14ac:dyDescent="0.25">
      <c r="C5" t="s">
        <v>124</v>
      </c>
      <c r="D5" t="s">
        <v>123</v>
      </c>
    </row>
    <row r="6" spans="1:4" x14ac:dyDescent="0.25">
      <c r="C6" t="s">
        <v>125</v>
      </c>
      <c r="D6" t="s">
        <v>126</v>
      </c>
    </row>
    <row r="7" spans="1:4" x14ac:dyDescent="0.25">
      <c r="C7" t="s">
        <v>127</v>
      </c>
      <c r="D7" t="s">
        <v>128</v>
      </c>
    </row>
    <row r="8" spans="1:4" x14ac:dyDescent="0.25">
      <c r="C8" t="s">
        <v>129</v>
      </c>
      <c r="D8" t="s">
        <v>130</v>
      </c>
    </row>
    <row r="9" spans="1:4" x14ac:dyDescent="0.25">
      <c r="C9" t="s">
        <v>131</v>
      </c>
      <c r="D9" t="s">
        <v>132</v>
      </c>
    </row>
    <row r="10" spans="1:4" x14ac:dyDescent="0.25">
      <c r="C10" t="s">
        <v>133</v>
      </c>
      <c r="D10" t="s">
        <v>134</v>
      </c>
    </row>
    <row r="11" spans="1:4" x14ac:dyDescent="0.25">
      <c r="C11" t="s">
        <v>135</v>
      </c>
      <c r="D11" t="s">
        <v>136</v>
      </c>
    </row>
    <row r="12" spans="1:4" x14ac:dyDescent="0.25">
      <c r="C12" t="s">
        <v>120</v>
      </c>
      <c r="D12" t="s">
        <v>121</v>
      </c>
    </row>
    <row r="13" spans="1:4" x14ac:dyDescent="0.25">
      <c r="A13" t="s">
        <v>109</v>
      </c>
      <c r="C13" t="s">
        <v>137</v>
      </c>
      <c r="D13" t="s">
        <v>126</v>
      </c>
    </row>
    <row r="14" spans="1:4" x14ac:dyDescent="0.25">
      <c r="C14" t="s">
        <v>138</v>
      </c>
      <c r="D14" t="s">
        <v>139</v>
      </c>
    </row>
    <row r="15" spans="1:4" x14ac:dyDescent="0.25">
      <c r="C15" t="s">
        <v>140</v>
      </c>
      <c r="D15" t="s">
        <v>130</v>
      </c>
    </row>
    <row r="16" spans="1:4" x14ac:dyDescent="0.25">
      <c r="C16" t="s">
        <v>141</v>
      </c>
      <c r="D16" t="s">
        <v>132</v>
      </c>
    </row>
    <row r="17" spans="1:4" x14ac:dyDescent="0.25">
      <c r="A17" t="s">
        <v>110</v>
      </c>
      <c r="B17" t="s">
        <v>118</v>
      </c>
      <c r="D17" t="s">
        <v>142</v>
      </c>
    </row>
    <row r="18" spans="1:4" x14ac:dyDescent="0.25">
      <c r="C18" t="s">
        <v>120</v>
      </c>
      <c r="D18" t="s">
        <v>121</v>
      </c>
    </row>
    <row r="19" spans="1:4" x14ac:dyDescent="0.25">
      <c r="C19" t="s">
        <v>137</v>
      </c>
      <c r="D19" t="s">
        <v>143</v>
      </c>
    </row>
    <row r="20" spans="1:4" x14ac:dyDescent="0.25">
      <c r="C20" t="s">
        <v>138</v>
      </c>
      <c r="D20" t="s">
        <v>143</v>
      </c>
    </row>
    <row r="21" spans="1:4" x14ac:dyDescent="0.25">
      <c r="C21" t="s">
        <v>140</v>
      </c>
      <c r="D21" t="s">
        <v>130</v>
      </c>
    </row>
    <row r="22" spans="1:4" x14ac:dyDescent="0.25">
      <c r="C22" t="s">
        <v>141</v>
      </c>
      <c r="D22" t="s">
        <v>130</v>
      </c>
    </row>
    <row r="26" spans="1:4" x14ac:dyDescent="0.25">
      <c r="A26" t="s">
        <v>442</v>
      </c>
      <c r="B26" t="s">
        <v>120</v>
      </c>
      <c r="C26" t="s">
        <v>121</v>
      </c>
    </row>
    <row r="27" spans="1:4" x14ac:dyDescent="0.25">
      <c r="B27" s="79" t="s">
        <v>118</v>
      </c>
      <c r="C27">
        <v>0.25</v>
      </c>
    </row>
    <row r="30" spans="1:4" x14ac:dyDescent="0.25">
      <c r="A30" t="s">
        <v>444</v>
      </c>
      <c r="B30" t="s">
        <v>120</v>
      </c>
      <c r="C30" t="s">
        <v>121</v>
      </c>
    </row>
    <row r="31" spans="1:4" x14ac:dyDescent="0.25">
      <c r="B31" s="79" t="s">
        <v>443</v>
      </c>
      <c r="C31">
        <v>0</v>
      </c>
    </row>
    <row r="33" spans="1:4" x14ac:dyDescent="0.25">
      <c r="A33" t="s">
        <v>583</v>
      </c>
      <c r="B33" t="s">
        <v>569</v>
      </c>
      <c r="C33" t="s">
        <v>570</v>
      </c>
      <c r="D33" t="s">
        <v>571</v>
      </c>
    </row>
    <row r="34" spans="1:4" x14ac:dyDescent="0.25">
      <c r="B34" s="79" t="s">
        <v>572</v>
      </c>
      <c r="C34" s="79" t="s">
        <v>573</v>
      </c>
      <c r="D34" s="79" t="s">
        <v>574</v>
      </c>
    </row>
    <row r="35" spans="1:4" x14ac:dyDescent="0.25">
      <c r="B35" s="79" t="s">
        <v>575</v>
      </c>
      <c r="C35" s="79" t="s">
        <v>576</v>
      </c>
      <c r="D35" s="79" t="s">
        <v>577</v>
      </c>
    </row>
    <row r="36" spans="1:4" x14ac:dyDescent="0.25">
      <c r="B36" s="79" t="s">
        <v>578</v>
      </c>
      <c r="C36" s="79" t="s">
        <v>574</v>
      </c>
      <c r="D36" s="79" t="s">
        <v>574</v>
      </c>
    </row>
    <row r="37" spans="1:4" x14ac:dyDescent="0.25">
      <c r="B37" s="79" t="s">
        <v>579</v>
      </c>
      <c r="C37" s="79" t="s">
        <v>580</v>
      </c>
      <c r="D37" s="79" t="s">
        <v>580</v>
      </c>
    </row>
    <row r="38" spans="1:4" x14ac:dyDescent="0.25">
      <c r="B38" s="79" t="s">
        <v>581</v>
      </c>
      <c r="C38" s="79" t="s">
        <v>573</v>
      </c>
      <c r="D38" s="79" t="s">
        <v>574</v>
      </c>
    </row>
    <row r="39" spans="1:4" x14ac:dyDescent="0.25">
      <c r="B39" s="79" t="s">
        <v>582</v>
      </c>
      <c r="C39" s="79" t="s">
        <v>577</v>
      </c>
      <c r="D39" s="79" t="s">
        <v>580</v>
      </c>
    </row>
  </sheetData>
  <pageMargins left="0.7" right="0.7" top="0.75" bottom="0.75" header="0.3" footer="0.3"/>
  <tableParts count="4">
    <tablePart r:id="rId1"/>
    <tablePart r:id="rId2"/>
    <tablePart r:id="rId3"/>
    <tablePart r:id="rId4"/>
  </tableParts>
</worksheet>
</file>

<file path=xl/worksheets/sheet11.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600-000000000000}">
  <sheetPr codeName="Sheet7"/>
  <dimension ref="A1:B6"/>
  <sheetViews>
    <sheetView workbookViewId="0">
      <selection activeCell="L39" sqref="L39"/>
    </sheetView>
  </sheetViews>
  <sheetFormatPr defaultRowHeight="15" x14ac:dyDescent="0.25"/>
  <cols>
    <col min="1" max="1" width="20.28515625" bestFit="1" customWidth="1"/>
    <col min="2" max="2" width="16" bestFit="1" customWidth="1"/>
  </cols>
  <sheetData>
    <row r="1" spans="1:2" x14ac:dyDescent="0.25">
      <c r="A1" t="s">
        <v>112</v>
      </c>
      <c r="B1" t="s">
        <v>113</v>
      </c>
    </row>
    <row r="2" spans="1:2" x14ac:dyDescent="0.25">
      <c r="A2" t="s">
        <v>120</v>
      </c>
      <c r="B2" t="s">
        <v>121</v>
      </c>
    </row>
    <row r="3" spans="1:2" x14ac:dyDescent="0.25">
      <c r="A3" t="s">
        <v>137</v>
      </c>
      <c r="B3" t="s">
        <v>143</v>
      </c>
    </row>
    <row r="4" spans="1:2" x14ac:dyDescent="0.25">
      <c r="A4" t="s">
        <v>138</v>
      </c>
      <c r="B4" t="s">
        <v>143</v>
      </c>
    </row>
    <row r="5" spans="1:2" x14ac:dyDescent="0.25">
      <c r="A5" t="s">
        <v>140</v>
      </c>
      <c r="B5" t="s">
        <v>130</v>
      </c>
    </row>
    <row r="6" spans="1:2" x14ac:dyDescent="0.25">
      <c r="A6" t="s">
        <v>141</v>
      </c>
      <c r="B6" t="s">
        <v>130</v>
      </c>
    </row>
  </sheetData>
  <pageMargins left="0.7" right="0.7" top="0.75" bottom="0.75" header="0.3" footer="0.3"/>
  <tableParts count="1">
    <tablePart r:id="rId1"/>
  </tableParts>
</worksheet>
</file>

<file path=xl/worksheets/sheet12.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700-000000000000}">
  <sheetPr codeName="Sheet8"/>
  <dimension ref="A1:B2"/>
  <sheetViews>
    <sheetView workbookViewId="0"/>
  </sheetViews>
  <sheetFormatPr defaultRowHeight="15" x14ac:dyDescent="0.25"/>
  <cols>
    <col min="1" max="1" width="13.7109375" bestFit="1" customWidth="1"/>
    <col min="2" max="2" width="18.28515625" bestFit="1" customWidth="1"/>
  </cols>
  <sheetData>
    <row r="1" spans="1:2" x14ac:dyDescent="0.25">
      <c r="A1" t="s">
        <v>120</v>
      </c>
      <c r="B1" t="s">
        <v>121</v>
      </c>
    </row>
    <row r="2" spans="1:2" x14ac:dyDescent="0.25">
      <c r="A2" t="s">
        <v>118</v>
      </c>
      <c r="B2">
        <v>0.15</v>
      </c>
    </row>
  </sheetData>
  <pageMargins left="0.7" right="0.7" top="0.75" bottom="0.75" header="0.3" footer="0.3"/>
  <tableParts count="1">
    <tablePart r:id="rId1"/>
  </tableParts>
</worksheet>
</file>

<file path=xl/worksheets/sheet13.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800-000000000000}">
  <sheetPr codeName="Sheet9"/>
  <dimension ref="A1:B6"/>
  <sheetViews>
    <sheetView workbookViewId="0"/>
  </sheetViews>
  <sheetFormatPr defaultRowHeight="15" x14ac:dyDescent="0.25"/>
  <cols>
    <col min="1" max="1" width="20.28515625" bestFit="1" customWidth="1"/>
    <col min="2" max="2" width="16" bestFit="1" customWidth="1"/>
  </cols>
  <sheetData>
    <row r="1" spans="1:2" x14ac:dyDescent="0.25">
      <c r="A1" t="s">
        <v>112</v>
      </c>
      <c r="B1" t="s">
        <v>113</v>
      </c>
    </row>
    <row r="2" spans="1:2" x14ac:dyDescent="0.25">
      <c r="A2" t="s">
        <v>120</v>
      </c>
      <c r="B2" t="s">
        <v>121</v>
      </c>
    </row>
    <row r="3" spans="1:2" x14ac:dyDescent="0.25">
      <c r="A3" t="s">
        <v>137</v>
      </c>
      <c r="B3" t="s">
        <v>126</v>
      </c>
    </row>
    <row r="4" spans="1:2" x14ac:dyDescent="0.25">
      <c r="A4" t="s">
        <v>138</v>
      </c>
      <c r="B4" t="s">
        <v>139</v>
      </c>
    </row>
    <row r="5" spans="1:2" x14ac:dyDescent="0.25">
      <c r="A5" t="s">
        <v>140</v>
      </c>
      <c r="B5" t="s">
        <v>130</v>
      </c>
    </row>
    <row r="6" spans="1:2" x14ac:dyDescent="0.25">
      <c r="A6" t="s">
        <v>141</v>
      </c>
      <c r="B6" t="s">
        <v>132</v>
      </c>
    </row>
  </sheetData>
  <pageMargins left="0.7" right="0.7" top="0.75" bottom="0.75" header="0.3" footer="0.3"/>
  <tableParts count="1">
    <tablePart r:id="rId1"/>
  </tableParts>
</worksheet>
</file>

<file path=xl/worksheets/sheet14.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900-000000000000}">
  <sheetPr codeName="Sheet10"/>
  <dimension ref="A1:B10"/>
  <sheetViews>
    <sheetView workbookViewId="0"/>
  </sheetViews>
  <sheetFormatPr defaultRowHeight="15" x14ac:dyDescent="0.25"/>
  <cols>
    <col min="1" max="1" width="24.42578125" bestFit="1" customWidth="1"/>
    <col min="2" max="2" width="16" bestFit="1" customWidth="1"/>
  </cols>
  <sheetData>
    <row r="1" spans="1:2" x14ac:dyDescent="0.25">
      <c r="A1" t="s">
        <v>112</v>
      </c>
      <c r="B1" t="s">
        <v>113</v>
      </c>
    </row>
    <row r="2" spans="1:2" x14ac:dyDescent="0.25">
      <c r="A2" t="s">
        <v>120</v>
      </c>
      <c r="B2" t="s">
        <v>121</v>
      </c>
    </row>
    <row r="3" spans="1:2" x14ac:dyDescent="0.25">
      <c r="A3" t="s">
        <v>122</v>
      </c>
      <c r="B3" t="s">
        <v>123</v>
      </c>
    </row>
    <row r="4" spans="1:2" x14ac:dyDescent="0.25">
      <c r="A4" t="s">
        <v>124</v>
      </c>
      <c r="B4" t="s">
        <v>123</v>
      </c>
    </row>
    <row r="5" spans="1:2" x14ac:dyDescent="0.25">
      <c r="A5" t="s">
        <v>125</v>
      </c>
      <c r="B5" t="s">
        <v>126</v>
      </c>
    </row>
    <row r="6" spans="1:2" x14ac:dyDescent="0.25">
      <c r="A6" t="s">
        <v>127</v>
      </c>
      <c r="B6" t="s">
        <v>128</v>
      </c>
    </row>
    <row r="7" spans="1:2" x14ac:dyDescent="0.25">
      <c r="A7" t="s">
        <v>129</v>
      </c>
      <c r="B7" t="s">
        <v>130</v>
      </c>
    </row>
    <row r="8" spans="1:2" x14ac:dyDescent="0.25">
      <c r="A8" t="s">
        <v>131</v>
      </c>
      <c r="B8" t="s">
        <v>132</v>
      </c>
    </row>
    <row r="9" spans="1:2" x14ac:dyDescent="0.25">
      <c r="A9" t="s">
        <v>133</v>
      </c>
      <c r="B9" t="s">
        <v>134</v>
      </c>
    </row>
    <row r="10" spans="1:2" x14ac:dyDescent="0.25">
      <c r="A10" t="s">
        <v>135</v>
      </c>
      <c r="B10" t="s">
        <v>136</v>
      </c>
    </row>
  </sheetData>
  <pageMargins left="0.7" right="0.7" top="0.75" bottom="0.75" header="0.3" footer="0.3"/>
  <tableParts count="1">
    <tablePart r:id="rId1"/>
  </tableParts>
</worksheet>
</file>

<file path=xl/worksheets/sheet15.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A00-000000000000}">
  <sheetPr codeName="Sheet11"/>
  <dimension ref="A1:B2"/>
  <sheetViews>
    <sheetView workbookViewId="0"/>
  </sheetViews>
  <sheetFormatPr defaultRowHeight="15" x14ac:dyDescent="0.25"/>
  <cols>
    <col min="1" max="1" width="13.7109375" bestFit="1" customWidth="1"/>
    <col min="2" max="2" width="18.28515625" bestFit="1" customWidth="1"/>
  </cols>
  <sheetData>
    <row r="1" spans="1:2" x14ac:dyDescent="0.25">
      <c r="A1" t="s">
        <v>120</v>
      </c>
      <c r="B1" t="s">
        <v>121</v>
      </c>
    </row>
    <row r="2" spans="1:2" x14ac:dyDescent="0.25">
      <c r="A2" t="s">
        <v>118</v>
      </c>
      <c r="B2">
        <v>1.05</v>
      </c>
    </row>
  </sheetData>
  <pageMargins left="0.7" right="0.7" top="0.75" bottom="0.75" header="0.3" footer="0.3"/>
  <tableParts count="1">
    <tablePart r:id="rId1"/>
  </tableParts>
</worksheet>
</file>

<file path=xl/worksheets/sheet16.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F3CA24EF-BF9F-4211-B31A-37519D5F4FCB}">
  <sheetPr codeName="Sheet13"/>
  <dimension ref="A1:C57"/>
  <sheetViews>
    <sheetView workbookViewId="0">
      <selection activeCell="B1" sqref="B1:C59"/>
    </sheetView>
  </sheetViews>
  <sheetFormatPr defaultRowHeight="15" x14ac:dyDescent="0.25"/>
  <cols>
    <col min="1" max="1" width="30.42578125" bestFit="1" customWidth="1"/>
    <col min="2" max="2" width="33.28515625" bestFit="1" customWidth="1"/>
    <col min="3" max="3" width="53.140625" bestFit="1" customWidth="1"/>
    <col min="4" max="4" width="15" bestFit="1" customWidth="1"/>
    <col min="5" max="5" width="17.5703125" bestFit="1" customWidth="1"/>
  </cols>
  <sheetData>
    <row r="1" spans="1:3" x14ac:dyDescent="0.25">
      <c r="A1" t="s">
        <v>148</v>
      </c>
      <c r="B1" t="s">
        <v>149</v>
      </c>
      <c r="C1" t="s">
        <v>150</v>
      </c>
    </row>
    <row r="2" spans="1:3" x14ac:dyDescent="0.25">
      <c r="A2" t="s">
        <v>151</v>
      </c>
      <c r="B2" t="s">
        <v>152</v>
      </c>
      <c r="C2" t="s">
        <v>153</v>
      </c>
    </row>
    <row r="3" spans="1:3" x14ac:dyDescent="0.25">
      <c r="B3" t="s">
        <v>154</v>
      </c>
      <c r="C3" t="s">
        <v>155</v>
      </c>
    </row>
    <row r="4" spans="1:3" x14ac:dyDescent="0.25">
      <c r="B4" t="s">
        <v>156</v>
      </c>
      <c r="C4" t="s">
        <v>157</v>
      </c>
    </row>
    <row r="5" spans="1:3" x14ac:dyDescent="0.25">
      <c r="B5" t="s">
        <v>158</v>
      </c>
      <c r="C5" t="s">
        <v>142</v>
      </c>
    </row>
    <row r="6" spans="1:3" x14ac:dyDescent="0.25">
      <c r="B6" t="s">
        <v>159</v>
      </c>
      <c r="C6" t="s">
        <v>142</v>
      </c>
    </row>
    <row r="7" spans="1:3" x14ac:dyDescent="0.25">
      <c r="B7" t="s">
        <v>160</v>
      </c>
      <c r="C7" t="s">
        <v>161</v>
      </c>
    </row>
    <row r="8" spans="1:3" x14ac:dyDescent="0.25">
      <c r="A8" t="s">
        <v>162</v>
      </c>
      <c r="B8" t="s">
        <v>163</v>
      </c>
      <c r="C8" t="s">
        <v>153</v>
      </c>
    </row>
    <row r="9" spans="1:3" x14ac:dyDescent="0.25">
      <c r="B9" t="s">
        <v>164</v>
      </c>
      <c r="C9" t="s">
        <v>165</v>
      </c>
    </row>
    <row r="10" spans="1:3" x14ac:dyDescent="0.25">
      <c r="A10" t="s">
        <v>24</v>
      </c>
      <c r="B10" t="s">
        <v>163</v>
      </c>
      <c r="C10" t="s">
        <v>153</v>
      </c>
    </row>
    <row r="11" spans="1:3" x14ac:dyDescent="0.25">
      <c r="B11" t="s">
        <v>166</v>
      </c>
      <c r="C11" t="s">
        <v>510</v>
      </c>
    </row>
    <row r="12" spans="1:3" x14ac:dyDescent="0.25">
      <c r="A12" t="s">
        <v>167</v>
      </c>
      <c r="B12" t="s">
        <v>168</v>
      </c>
      <c r="C12" t="s">
        <v>190</v>
      </c>
    </row>
    <row r="13" spans="1:3" x14ac:dyDescent="0.25">
      <c r="B13" t="s">
        <v>173</v>
      </c>
      <c r="C13" t="s">
        <v>653</v>
      </c>
    </row>
    <row r="14" spans="1:3" x14ac:dyDescent="0.25">
      <c r="A14" t="s">
        <v>172</v>
      </c>
      <c r="B14" t="s">
        <v>174</v>
      </c>
      <c r="C14" t="s">
        <v>654</v>
      </c>
    </row>
    <row r="15" spans="1:3" x14ac:dyDescent="0.25">
      <c r="B15" t="s">
        <v>175</v>
      </c>
      <c r="C15" t="s">
        <v>176</v>
      </c>
    </row>
    <row r="16" spans="1:3" x14ac:dyDescent="0.25">
      <c r="B16" t="s">
        <v>170</v>
      </c>
      <c r="C16" t="s">
        <v>177</v>
      </c>
    </row>
    <row r="17" spans="1:3" x14ac:dyDescent="0.25">
      <c r="B17" t="s">
        <v>178</v>
      </c>
      <c r="C17" t="s">
        <v>179</v>
      </c>
    </row>
    <row r="18" spans="1:3" x14ac:dyDescent="0.25">
      <c r="B18" t="s">
        <v>180</v>
      </c>
      <c r="C18" t="s">
        <v>181</v>
      </c>
    </row>
    <row r="19" spans="1:3" x14ac:dyDescent="0.25">
      <c r="B19" t="s">
        <v>168</v>
      </c>
      <c r="C19" t="s">
        <v>169</v>
      </c>
    </row>
    <row r="20" spans="1:3" x14ac:dyDescent="0.25">
      <c r="B20" t="s">
        <v>170</v>
      </c>
      <c r="C20" t="s">
        <v>171</v>
      </c>
    </row>
    <row r="21" spans="1:3" x14ac:dyDescent="0.25">
      <c r="B21" t="s">
        <v>168</v>
      </c>
      <c r="C21" t="s">
        <v>183</v>
      </c>
    </row>
    <row r="22" spans="1:3" x14ac:dyDescent="0.25">
      <c r="A22" t="s">
        <v>182</v>
      </c>
      <c r="B22" t="s">
        <v>170</v>
      </c>
      <c r="C22" t="s">
        <v>184</v>
      </c>
    </row>
    <row r="23" spans="1:3" x14ac:dyDescent="0.25">
      <c r="B23" t="s">
        <v>170</v>
      </c>
      <c r="C23" t="s">
        <v>185</v>
      </c>
    </row>
    <row r="24" spans="1:3" x14ac:dyDescent="0.25">
      <c r="B24" t="s">
        <v>170</v>
      </c>
      <c r="C24" t="s">
        <v>186</v>
      </c>
    </row>
    <row r="25" spans="1:3" x14ac:dyDescent="0.25">
      <c r="B25" t="s">
        <v>170</v>
      </c>
      <c r="C25" t="s">
        <v>187</v>
      </c>
    </row>
    <row r="26" spans="1:3" x14ac:dyDescent="0.25">
      <c r="B26" t="s">
        <v>178</v>
      </c>
      <c r="C26" t="s">
        <v>188</v>
      </c>
    </row>
    <row r="27" spans="1:3" x14ac:dyDescent="0.25">
      <c r="B27" t="s">
        <v>178</v>
      </c>
      <c r="C27" t="s">
        <v>187</v>
      </c>
    </row>
    <row r="28" spans="1:3" x14ac:dyDescent="0.25">
      <c r="B28" t="s">
        <v>180</v>
      </c>
      <c r="C28" t="s">
        <v>187</v>
      </c>
    </row>
    <row r="29" spans="1:3" x14ac:dyDescent="0.25">
      <c r="B29" t="s">
        <v>168</v>
      </c>
      <c r="C29" t="s">
        <v>190</v>
      </c>
    </row>
    <row r="30" spans="1:3" x14ac:dyDescent="0.25">
      <c r="A30" t="s">
        <v>189</v>
      </c>
      <c r="B30" t="s">
        <v>191</v>
      </c>
      <c r="C30" t="s">
        <v>192</v>
      </c>
    </row>
    <row r="31" spans="1:3" x14ac:dyDescent="0.25">
      <c r="B31" t="s">
        <v>193</v>
      </c>
      <c r="C31" t="s">
        <v>194</v>
      </c>
    </row>
    <row r="32" spans="1:3" x14ac:dyDescent="0.25">
      <c r="B32" t="s">
        <v>168</v>
      </c>
      <c r="C32" t="s">
        <v>190</v>
      </c>
    </row>
    <row r="33" spans="1:3" x14ac:dyDescent="0.25">
      <c r="A33" t="s">
        <v>195</v>
      </c>
      <c r="B33" t="s">
        <v>147</v>
      </c>
      <c r="C33" t="s">
        <v>196</v>
      </c>
    </row>
    <row r="34" spans="1:3" x14ac:dyDescent="0.25">
      <c r="B34" t="s">
        <v>173</v>
      </c>
      <c r="C34" t="s">
        <v>197</v>
      </c>
    </row>
    <row r="35" spans="1:3" x14ac:dyDescent="0.25">
      <c r="B35" t="s">
        <v>174</v>
      </c>
      <c r="C35" t="s">
        <v>198</v>
      </c>
    </row>
    <row r="36" spans="1:3" x14ac:dyDescent="0.25">
      <c r="B36" t="s">
        <v>175</v>
      </c>
      <c r="C36" t="s">
        <v>199</v>
      </c>
    </row>
    <row r="37" spans="1:3" x14ac:dyDescent="0.25">
      <c r="B37" t="s">
        <v>170</v>
      </c>
      <c r="C37" t="s">
        <v>200</v>
      </c>
    </row>
    <row r="38" spans="1:3" x14ac:dyDescent="0.25">
      <c r="B38" t="s">
        <v>178</v>
      </c>
      <c r="C38" t="s">
        <v>201</v>
      </c>
    </row>
    <row r="39" spans="1:3" x14ac:dyDescent="0.25">
      <c r="B39" t="s">
        <v>180</v>
      </c>
      <c r="C39" t="s">
        <v>202</v>
      </c>
    </row>
    <row r="40" spans="1:3" x14ac:dyDescent="0.25">
      <c r="B40" t="s">
        <v>204</v>
      </c>
      <c r="C40" t="s">
        <v>205</v>
      </c>
    </row>
    <row r="41" spans="1:3" x14ac:dyDescent="0.25">
      <c r="A41" t="s">
        <v>203</v>
      </c>
      <c r="B41" t="s">
        <v>206</v>
      </c>
      <c r="C41" t="s">
        <v>207</v>
      </c>
    </row>
    <row r="42" spans="1:3" x14ac:dyDescent="0.25">
      <c r="B42" t="s">
        <v>173</v>
      </c>
      <c r="C42" t="s">
        <v>655</v>
      </c>
    </row>
    <row r="43" spans="1:3" x14ac:dyDescent="0.25">
      <c r="B43" t="s">
        <v>174</v>
      </c>
      <c r="C43" t="s">
        <v>656</v>
      </c>
    </row>
    <row r="44" spans="1:3" x14ac:dyDescent="0.25">
      <c r="B44" t="s">
        <v>175</v>
      </c>
      <c r="C44" t="s">
        <v>208</v>
      </c>
    </row>
    <row r="45" spans="1:3" x14ac:dyDescent="0.25">
      <c r="B45" t="s">
        <v>170</v>
      </c>
      <c r="C45" t="s">
        <v>657</v>
      </c>
    </row>
    <row r="46" spans="1:3" x14ac:dyDescent="0.25">
      <c r="B46" t="s">
        <v>163</v>
      </c>
      <c r="C46" t="s">
        <v>153</v>
      </c>
    </row>
    <row r="47" spans="1:3" x14ac:dyDescent="0.25">
      <c r="A47" t="s">
        <v>209</v>
      </c>
      <c r="B47" t="s">
        <v>166</v>
      </c>
      <c r="C47" t="s">
        <v>510</v>
      </c>
    </row>
    <row r="48" spans="1:3" x14ac:dyDescent="0.25">
      <c r="B48" t="s">
        <v>163</v>
      </c>
      <c r="C48" t="s">
        <v>153</v>
      </c>
    </row>
    <row r="49" spans="1:3" x14ac:dyDescent="0.25">
      <c r="A49" t="s">
        <v>210</v>
      </c>
      <c r="B49" t="s">
        <v>166</v>
      </c>
      <c r="C49" t="s">
        <v>510</v>
      </c>
    </row>
    <row r="50" spans="1:3" x14ac:dyDescent="0.25">
      <c r="B50" t="s">
        <v>163</v>
      </c>
      <c r="C50" t="s">
        <v>211</v>
      </c>
    </row>
    <row r="51" spans="1:3" x14ac:dyDescent="0.25">
      <c r="B51" t="s">
        <v>212</v>
      </c>
      <c r="C51" t="s">
        <v>213</v>
      </c>
    </row>
    <row r="52" spans="1:3" x14ac:dyDescent="0.25">
      <c r="B52" t="s">
        <v>163</v>
      </c>
      <c r="C52" t="s">
        <v>153</v>
      </c>
    </row>
    <row r="53" spans="1:3" x14ac:dyDescent="0.25">
      <c r="B53" t="s">
        <v>212</v>
      </c>
      <c r="C53" t="s">
        <v>214</v>
      </c>
    </row>
    <row r="54" spans="1:3" x14ac:dyDescent="0.25">
      <c r="B54" t="s">
        <v>215</v>
      </c>
      <c r="C54" t="s">
        <v>216</v>
      </c>
    </row>
    <row r="55" spans="1:3" x14ac:dyDescent="0.25">
      <c r="B55" t="s">
        <v>212</v>
      </c>
      <c r="C55" t="s">
        <v>217</v>
      </c>
    </row>
    <row r="56" spans="1:3" x14ac:dyDescent="0.25">
      <c r="B56" t="s">
        <v>219</v>
      </c>
      <c r="C56" t="s">
        <v>220</v>
      </c>
    </row>
    <row r="57" spans="1:3" x14ac:dyDescent="0.25">
      <c r="A57" t="s">
        <v>218</v>
      </c>
      <c r="B57" t="s">
        <v>221</v>
      </c>
      <c r="C57" t="s">
        <v>171</v>
      </c>
    </row>
  </sheetData>
  <pageMargins left="0.7" right="0.7" top="0.75" bottom="0.75" header="0.3" footer="0.3"/>
  <pageSetup orientation="portrait" r:id="rId1"/>
  <tableParts count="1">
    <tablePart r:id="rId2"/>
  </tableParts>
</worksheet>
</file>

<file path=xl/worksheets/sheet17.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A611E488-A533-46E9-9E95-49B2C3E8508D}">
  <sheetPr codeName="Sheet14"/>
  <dimension ref="A1:F65"/>
  <sheetViews>
    <sheetView topLeftCell="A28" workbookViewId="0">
      <selection activeCell="E6" sqref="E6"/>
    </sheetView>
  </sheetViews>
  <sheetFormatPr defaultRowHeight="15" x14ac:dyDescent="0.25"/>
  <cols>
    <col min="1" max="1" width="23.7109375" bestFit="1" customWidth="1"/>
    <col min="2" max="3" width="8.5703125" bestFit="1" customWidth="1"/>
    <col min="4" max="4" width="28" bestFit="1" customWidth="1"/>
    <col min="5" max="6" width="81.140625" bestFit="1" customWidth="1"/>
  </cols>
  <sheetData>
    <row r="1" spans="1:6" s="1" customFormat="1" x14ac:dyDescent="0.25">
      <c r="A1" s="1" t="s">
        <v>222</v>
      </c>
    </row>
    <row r="2" spans="1:6" x14ac:dyDescent="0.25">
      <c r="B2" t="s">
        <v>223</v>
      </c>
      <c r="C2" t="s">
        <v>224</v>
      </c>
      <c r="D2" t="s">
        <v>225</v>
      </c>
    </row>
    <row r="3" spans="1:6" x14ac:dyDescent="0.25">
      <c r="A3" t="s">
        <v>226</v>
      </c>
      <c r="B3" t="s">
        <v>227</v>
      </c>
      <c r="C3" t="s">
        <v>228</v>
      </c>
      <c r="D3" t="s">
        <v>229</v>
      </c>
    </row>
    <row r="4" spans="1:6" x14ac:dyDescent="0.25">
      <c r="B4" t="s">
        <v>230</v>
      </c>
      <c r="C4" t="s">
        <v>230</v>
      </c>
      <c r="D4" t="s">
        <v>230</v>
      </c>
    </row>
    <row r="5" spans="1:6" x14ac:dyDescent="0.25">
      <c r="B5" t="s">
        <v>231</v>
      </c>
      <c r="C5" t="s">
        <v>231</v>
      </c>
      <c r="D5" t="s">
        <v>231</v>
      </c>
    </row>
    <row r="6" spans="1:6" x14ac:dyDescent="0.25">
      <c r="A6" t="s">
        <v>232</v>
      </c>
      <c r="B6" t="s">
        <v>233</v>
      </c>
      <c r="C6" t="s">
        <v>229</v>
      </c>
      <c r="D6" t="s">
        <v>234</v>
      </c>
    </row>
    <row r="7" spans="1:6" x14ac:dyDescent="0.25">
      <c r="B7" t="s">
        <v>230</v>
      </c>
      <c r="C7" t="s">
        <v>230</v>
      </c>
      <c r="D7" t="s">
        <v>230</v>
      </c>
    </row>
    <row r="8" spans="1:6" x14ac:dyDescent="0.25">
      <c r="B8" t="s">
        <v>231</v>
      </c>
      <c r="C8" t="s">
        <v>231</v>
      </c>
      <c r="D8" t="s">
        <v>231</v>
      </c>
    </row>
    <row r="11" spans="1:6" s="1" customFormat="1" x14ac:dyDescent="0.25">
      <c r="A11" s="1" t="s">
        <v>235</v>
      </c>
    </row>
    <row r="12" spans="1:6" x14ac:dyDescent="0.25">
      <c r="B12" t="s">
        <v>236</v>
      </c>
      <c r="C12" t="s">
        <v>237</v>
      </c>
      <c r="D12" t="s">
        <v>238</v>
      </c>
      <c r="E12" t="s">
        <v>239</v>
      </c>
      <c r="F12" t="s">
        <v>240</v>
      </c>
    </row>
    <row r="13" spans="1:6" x14ac:dyDescent="0.25">
      <c r="B13" t="s">
        <v>241</v>
      </c>
      <c r="C13" t="s">
        <v>242</v>
      </c>
      <c r="D13" t="s">
        <v>242</v>
      </c>
      <c r="E13" t="s">
        <v>58</v>
      </c>
      <c r="F13" t="s">
        <v>242</v>
      </c>
    </row>
    <row r="14" spans="1:6" x14ac:dyDescent="0.25">
      <c r="B14" t="s">
        <v>243</v>
      </c>
      <c r="C14" t="s">
        <v>242</v>
      </c>
      <c r="D14" t="s">
        <v>242</v>
      </c>
      <c r="E14" t="s">
        <v>58</v>
      </c>
      <c r="F14" t="s">
        <v>242</v>
      </c>
    </row>
    <row r="15" spans="1:6" x14ac:dyDescent="0.25">
      <c r="B15" t="s">
        <v>244</v>
      </c>
      <c r="C15" t="s">
        <v>245</v>
      </c>
      <c r="D15" t="s">
        <v>245</v>
      </c>
      <c r="E15" t="s">
        <v>58</v>
      </c>
      <c r="F15" t="s">
        <v>245</v>
      </c>
    </row>
    <row r="16" spans="1:6" x14ac:dyDescent="0.25">
      <c r="B16" t="s">
        <v>246</v>
      </c>
      <c r="C16" t="s">
        <v>247</v>
      </c>
      <c r="D16" t="s">
        <v>247</v>
      </c>
      <c r="E16" t="s">
        <v>58</v>
      </c>
      <c r="F16" t="s">
        <v>247</v>
      </c>
    </row>
    <row r="17" spans="1:6" x14ac:dyDescent="0.25">
      <c r="B17" t="s">
        <v>248</v>
      </c>
      <c r="C17" t="s">
        <v>231</v>
      </c>
      <c r="D17" t="s">
        <v>231</v>
      </c>
      <c r="E17" t="s">
        <v>58</v>
      </c>
      <c r="F17" t="s">
        <v>231</v>
      </c>
    </row>
    <row r="19" spans="1:6" s="1" customFormat="1" x14ac:dyDescent="0.25">
      <c r="A19" s="1" t="s">
        <v>111</v>
      </c>
    </row>
    <row r="20" spans="1:6" x14ac:dyDescent="0.25">
      <c r="B20" t="s">
        <v>249</v>
      </c>
      <c r="C20" t="s">
        <v>250</v>
      </c>
      <c r="D20" t="s">
        <v>251</v>
      </c>
      <c r="E20" t="s">
        <v>252</v>
      </c>
      <c r="F20" t="s">
        <v>253</v>
      </c>
    </row>
    <row r="21" spans="1:6" x14ac:dyDescent="0.25">
      <c r="B21" t="s">
        <v>145</v>
      </c>
      <c r="C21" t="s">
        <v>254</v>
      </c>
      <c r="D21" t="s">
        <v>255</v>
      </c>
    </row>
    <row r="22" spans="1:6" x14ac:dyDescent="0.25">
      <c r="B22" t="s">
        <v>256</v>
      </c>
      <c r="C22" t="s">
        <v>257</v>
      </c>
      <c r="D22" t="s">
        <v>258</v>
      </c>
    </row>
    <row r="23" spans="1:6" x14ac:dyDescent="0.25">
      <c r="B23" t="s">
        <v>259</v>
      </c>
      <c r="C23" t="s">
        <v>260</v>
      </c>
      <c r="D23" t="s">
        <v>261</v>
      </c>
    </row>
    <row r="24" spans="1:6" x14ac:dyDescent="0.25">
      <c r="B24" t="s">
        <v>262</v>
      </c>
      <c r="C24" t="s">
        <v>263</v>
      </c>
      <c r="D24" t="s">
        <v>264</v>
      </c>
    </row>
    <row r="25" spans="1:6" x14ac:dyDescent="0.25">
      <c r="B25" t="s">
        <v>265</v>
      </c>
      <c r="C25" t="s">
        <v>266</v>
      </c>
      <c r="D25" t="s">
        <v>267</v>
      </c>
    </row>
    <row r="26" spans="1:6" x14ac:dyDescent="0.25">
      <c r="B26" t="s">
        <v>268</v>
      </c>
      <c r="C26" t="s">
        <v>268</v>
      </c>
      <c r="D26" t="s">
        <v>268</v>
      </c>
    </row>
    <row r="27" spans="1:6" x14ac:dyDescent="0.25">
      <c r="E27" t="s">
        <v>145</v>
      </c>
      <c r="F27" t="s">
        <v>260</v>
      </c>
    </row>
    <row r="28" spans="1:6" x14ac:dyDescent="0.25">
      <c r="E28" t="s">
        <v>256</v>
      </c>
      <c r="F28" t="s">
        <v>269</v>
      </c>
    </row>
    <row r="29" spans="1:6" x14ac:dyDescent="0.25">
      <c r="E29" t="s">
        <v>259</v>
      </c>
      <c r="F29" t="s">
        <v>270</v>
      </c>
    </row>
    <row r="30" spans="1:6" x14ac:dyDescent="0.25">
      <c r="E30" t="s">
        <v>262</v>
      </c>
      <c r="F30" t="s">
        <v>266</v>
      </c>
    </row>
    <row r="31" spans="1:6" x14ac:dyDescent="0.25">
      <c r="E31" t="s">
        <v>265</v>
      </c>
      <c r="F31" t="s">
        <v>271</v>
      </c>
    </row>
    <row r="32" spans="1:6" x14ac:dyDescent="0.25">
      <c r="E32" t="s">
        <v>272</v>
      </c>
      <c r="F32" t="s">
        <v>272</v>
      </c>
    </row>
    <row r="35" spans="1:4" s="1" customFormat="1" x14ac:dyDescent="0.25">
      <c r="A35" s="1" t="s">
        <v>273</v>
      </c>
    </row>
    <row r="37" spans="1:4" x14ac:dyDescent="0.25">
      <c r="A37" t="s">
        <v>278</v>
      </c>
      <c r="B37" t="s">
        <v>112</v>
      </c>
      <c r="C37" t="s">
        <v>113</v>
      </c>
      <c r="D37" t="s">
        <v>114</v>
      </c>
    </row>
    <row r="38" spans="1:4" x14ac:dyDescent="0.25">
      <c r="B38" t="s">
        <v>279</v>
      </c>
      <c r="C38" t="s">
        <v>145</v>
      </c>
      <c r="D38">
        <v>2.35E-2</v>
      </c>
    </row>
    <row r="39" spans="1:4" x14ac:dyDescent="0.25">
      <c r="B39" t="s">
        <v>279</v>
      </c>
      <c r="C39" t="s">
        <v>256</v>
      </c>
      <c r="D39">
        <v>2.5999999999999999E-2</v>
      </c>
    </row>
    <row r="40" spans="1:4" x14ac:dyDescent="0.25">
      <c r="B40" t="s">
        <v>279</v>
      </c>
      <c r="C40" t="s">
        <v>259</v>
      </c>
      <c r="D40">
        <v>2.6499999999999999E-2</v>
      </c>
    </row>
    <row r="41" spans="1:4" x14ac:dyDescent="0.25">
      <c r="B41" t="s">
        <v>279</v>
      </c>
      <c r="C41" t="s">
        <v>262</v>
      </c>
      <c r="D41">
        <v>2.7E-2</v>
      </c>
    </row>
    <row r="42" spans="1:4" x14ac:dyDescent="0.25">
      <c r="B42" t="s">
        <v>279</v>
      </c>
      <c r="C42" t="s">
        <v>265</v>
      </c>
      <c r="D42">
        <v>0.03</v>
      </c>
    </row>
    <row r="44" spans="1:4" s="1" customFormat="1" x14ac:dyDescent="0.25">
      <c r="A44" s="1" t="s">
        <v>280</v>
      </c>
    </row>
    <row r="45" spans="1:4" x14ac:dyDescent="0.25">
      <c r="A45" t="s">
        <v>281</v>
      </c>
      <c r="B45" t="s">
        <v>274</v>
      </c>
      <c r="C45" t="s">
        <v>275</v>
      </c>
      <c r="D45" t="s">
        <v>276</v>
      </c>
    </row>
    <row r="46" spans="1:4" x14ac:dyDescent="0.25">
      <c r="B46" t="s">
        <v>276</v>
      </c>
      <c r="D46" t="s">
        <v>277</v>
      </c>
    </row>
    <row r="48" spans="1:4" x14ac:dyDescent="0.25">
      <c r="A48" t="s">
        <v>282</v>
      </c>
      <c r="B48" t="s">
        <v>112</v>
      </c>
      <c r="C48" t="s">
        <v>113</v>
      </c>
      <c r="D48" t="s">
        <v>114</v>
      </c>
    </row>
    <row r="49" spans="1:4" x14ac:dyDescent="0.25">
      <c r="B49" t="s">
        <v>282</v>
      </c>
      <c r="C49" t="s">
        <v>145</v>
      </c>
      <c r="D49">
        <v>2.35E-2</v>
      </c>
    </row>
    <row r="50" spans="1:4" x14ac:dyDescent="0.25">
      <c r="B50" t="s">
        <v>282</v>
      </c>
      <c r="C50" t="s">
        <v>256</v>
      </c>
      <c r="D50">
        <v>2.5999999999999999E-2</v>
      </c>
    </row>
    <row r="51" spans="1:4" x14ac:dyDescent="0.25">
      <c r="B51" t="s">
        <v>282</v>
      </c>
      <c r="C51" t="s">
        <v>259</v>
      </c>
      <c r="D51">
        <v>2.6499999999999999E-2</v>
      </c>
    </row>
    <row r="52" spans="1:4" x14ac:dyDescent="0.25">
      <c r="B52" t="s">
        <v>282</v>
      </c>
      <c r="C52" t="s">
        <v>262</v>
      </c>
      <c r="D52">
        <v>2.7E-2</v>
      </c>
    </row>
    <row r="53" spans="1:4" x14ac:dyDescent="0.25">
      <c r="B53" t="s">
        <v>282</v>
      </c>
      <c r="C53" t="s">
        <v>265</v>
      </c>
      <c r="D53">
        <v>0.03</v>
      </c>
    </row>
    <row r="55" spans="1:4" s="1" customFormat="1" x14ac:dyDescent="0.25">
      <c r="A55" s="1" t="s">
        <v>283</v>
      </c>
    </row>
    <row r="56" spans="1:4" x14ac:dyDescent="0.25">
      <c r="B56" t="s">
        <v>274</v>
      </c>
      <c r="C56" t="s">
        <v>275</v>
      </c>
      <c r="D56" t="s">
        <v>276</v>
      </c>
    </row>
    <row r="57" spans="1:4" x14ac:dyDescent="0.25">
      <c r="B57" t="s">
        <v>276</v>
      </c>
      <c r="D57" t="s">
        <v>284</v>
      </c>
    </row>
    <row r="58" spans="1:4" x14ac:dyDescent="0.25">
      <c r="B58" t="s">
        <v>285</v>
      </c>
      <c r="C58" t="s">
        <v>286</v>
      </c>
    </row>
    <row r="59" spans="1:4" x14ac:dyDescent="0.25">
      <c r="B59" t="s">
        <v>276</v>
      </c>
      <c r="D59" t="s">
        <v>287</v>
      </c>
    </row>
    <row r="60" spans="1:4" x14ac:dyDescent="0.25">
      <c r="B60" t="s">
        <v>285</v>
      </c>
      <c r="C60" t="s">
        <v>286</v>
      </c>
    </row>
    <row r="61" spans="1:4" x14ac:dyDescent="0.25">
      <c r="B61" t="s">
        <v>276</v>
      </c>
      <c r="D61" t="s">
        <v>288</v>
      </c>
    </row>
    <row r="62" spans="1:4" x14ac:dyDescent="0.25">
      <c r="B62" t="s">
        <v>285</v>
      </c>
      <c r="C62" t="s">
        <v>286</v>
      </c>
    </row>
    <row r="63" spans="1:4" x14ac:dyDescent="0.25">
      <c r="B63" t="s">
        <v>285</v>
      </c>
      <c r="C63" t="s">
        <v>286</v>
      </c>
    </row>
    <row r="64" spans="1:4" x14ac:dyDescent="0.25">
      <c r="B64" t="s">
        <v>276</v>
      </c>
      <c r="D64" t="s">
        <v>289</v>
      </c>
    </row>
    <row r="65" spans="2:3" x14ac:dyDescent="0.25">
      <c r="B65" t="s">
        <v>285</v>
      </c>
      <c r="C65" t="s">
        <v>290</v>
      </c>
    </row>
  </sheetData>
  <pageMargins left="0.7" right="0.7" top="0.75" bottom="0.75" header="0.3" footer="0.3"/>
  <tableParts count="7">
    <tablePart r:id="rId1"/>
    <tablePart r:id="rId2"/>
    <tablePart r:id="rId3"/>
    <tablePart r:id="rId4"/>
    <tablePart r:id="rId5"/>
    <tablePart r:id="rId6"/>
    <tablePart r:id="rId7"/>
  </tableParts>
</worksheet>
</file>

<file path=xl/worksheets/sheet18.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D8411BB7-5E27-4634-A257-3A854600ED19}">
  <sheetPr codeName="Sheet15"/>
  <dimension ref="A1:D29"/>
  <sheetViews>
    <sheetView workbookViewId="0">
      <selection activeCell="B1" sqref="B1:D30"/>
    </sheetView>
  </sheetViews>
  <sheetFormatPr defaultRowHeight="15" x14ac:dyDescent="0.25"/>
  <cols>
    <col min="1" max="1" width="56" bestFit="1" customWidth="1"/>
    <col min="2" max="2" width="15.85546875" bestFit="1" customWidth="1"/>
    <col min="3" max="3" width="34.7109375" bestFit="1" customWidth="1"/>
    <col min="4" max="4" width="15.85546875" bestFit="1" customWidth="1"/>
  </cols>
  <sheetData>
    <row r="1" spans="1:4" x14ac:dyDescent="0.25">
      <c r="B1" t="s">
        <v>149</v>
      </c>
      <c r="C1" t="s">
        <v>150</v>
      </c>
      <c r="D1" t="s">
        <v>291</v>
      </c>
    </row>
    <row r="2" spans="1:4" x14ac:dyDescent="0.25">
      <c r="A2" t="s">
        <v>292</v>
      </c>
      <c r="B2" t="s">
        <v>106</v>
      </c>
      <c r="C2" t="s">
        <v>293</v>
      </c>
      <c r="D2" t="s">
        <v>294</v>
      </c>
    </row>
    <row r="3" spans="1:4" x14ac:dyDescent="0.25">
      <c r="B3" t="s">
        <v>106</v>
      </c>
      <c r="C3" t="s">
        <v>295</v>
      </c>
      <c r="D3" t="s">
        <v>130</v>
      </c>
    </row>
    <row r="4" spans="1:4" x14ac:dyDescent="0.25">
      <c r="B4" t="s">
        <v>106</v>
      </c>
      <c r="C4" t="s">
        <v>296</v>
      </c>
      <c r="D4" t="s">
        <v>130</v>
      </c>
    </row>
    <row r="5" spans="1:4" x14ac:dyDescent="0.25">
      <c r="B5" t="s">
        <v>106</v>
      </c>
      <c r="C5" t="s">
        <v>297</v>
      </c>
      <c r="D5" t="s">
        <v>298</v>
      </c>
    </row>
    <row r="6" spans="1:4" x14ac:dyDescent="0.25">
      <c r="B6" t="s">
        <v>106</v>
      </c>
      <c r="C6" t="s">
        <v>299</v>
      </c>
      <c r="D6" t="s">
        <v>298</v>
      </c>
    </row>
    <row r="7" spans="1:4" x14ac:dyDescent="0.25">
      <c r="A7" t="s">
        <v>300</v>
      </c>
      <c r="B7" t="s">
        <v>106</v>
      </c>
      <c r="C7" t="s">
        <v>301</v>
      </c>
      <c r="D7" t="s">
        <v>136</v>
      </c>
    </row>
    <row r="8" spans="1:4" x14ac:dyDescent="0.25">
      <c r="B8" t="s">
        <v>106</v>
      </c>
      <c r="C8" t="s">
        <v>302</v>
      </c>
      <c r="D8" t="s">
        <v>303</v>
      </c>
    </row>
    <row r="9" spans="1:4" x14ac:dyDescent="0.25">
      <c r="B9" t="s">
        <v>106</v>
      </c>
      <c r="C9" t="s">
        <v>131</v>
      </c>
      <c r="D9" t="s">
        <v>303</v>
      </c>
    </row>
    <row r="10" spans="1:4" x14ac:dyDescent="0.25">
      <c r="B10" t="s">
        <v>106</v>
      </c>
      <c r="C10" t="s">
        <v>129</v>
      </c>
      <c r="D10" t="s">
        <v>298</v>
      </c>
    </row>
    <row r="11" spans="1:4" x14ac:dyDescent="0.25">
      <c r="B11" t="s">
        <v>106</v>
      </c>
      <c r="C11" t="s">
        <v>127</v>
      </c>
      <c r="D11" t="s">
        <v>294</v>
      </c>
    </row>
    <row r="12" spans="1:4" x14ac:dyDescent="0.25">
      <c r="B12" t="s">
        <v>106</v>
      </c>
      <c r="C12" t="s">
        <v>304</v>
      </c>
      <c r="D12" t="s">
        <v>305</v>
      </c>
    </row>
    <row r="13" spans="1:4" x14ac:dyDescent="0.25">
      <c r="A13" t="s">
        <v>306</v>
      </c>
      <c r="B13" t="s">
        <v>106</v>
      </c>
      <c r="C13" t="s">
        <v>307</v>
      </c>
      <c r="D13" t="s">
        <v>136</v>
      </c>
    </row>
    <row r="14" spans="1:4" x14ac:dyDescent="0.25">
      <c r="B14" t="s">
        <v>106</v>
      </c>
      <c r="C14" t="s">
        <v>308</v>
      </c>
      <c r="D14" t="s">
        <v>644</v>
      </c>
    </row>
    <row r="15" spans="1:4" x14ac:dyDescent="0.25">
      <c r="A15" t="s">
        <v>309</v>
      </c>
      <c r="B15" t="s">
        <v>106</v>
      </c>
      <c r="C15" t="s">
        <v>310</v>
      </c>
      <c r="D15" t="s">
        <v>136</v>
      </c>
    </row>
    <row r="16" spans="1:4" x14ac:dyDescent="0.25">
      <c r="B16" t="s">
        <v>106</v>
      </c>
      <c r="C16" t="s">
        <v>311</v>
      </c>
      <c r="D16" t="s">
        <v>136</v>
      </c>
    </row>
    <row r="17" spans="1:4" x14ac:dyDescent="0.25">
      <c r="B17" t="s">
        <v>106</v>
      </c>
      <c r="C17" t="s">
        <v>312</v>
      </c>
      <c r="D17" t="s">
        <v>136</v>
      </c>
    </row>
    <row r="18" spans="1:4" x14ac:dyDescent="0.25">
      <c r="B18" t="s">
        <v>106</v>
      </c>
      <c r="C18" t="s">
        <v>308</v>
      </c>
      <c r="D18" t="s">
        <v>294</v>
      </c>
    </row>
    <row r="19" spans="1:4" x14ac:dyDescent="0.25">
      <c r="B19" t="s">
        <v>106</v>
      </c>
      <c r="C19" t="s">
        <v>313</v>
      </c>
      <c r="D19" t="s">
        <v>305</v>
      </c>
    </row>
    <row r="20" spans="1:4" x14ac:dyDescent="0.25">
      <c r="A20" t="s">
        <v>314</v>
      </c>
      <c r="B20" t="s">
        <v>106</v>
      </c>
      <c r="C20" t="s">
        <v>310</v>
      </c>
      <c r="D20" t="s">
        <v>303</v>
      </c>
    </row>
    <row r="21" spans="1:4" x14ac:dyDescent="0.25">
      <c r="B21" t="s">
        <v>106</v>
      </c>
      <c r="C21" t="s">
        <v>308</v>
      </c>
      <c r="D21" t="s">
        <v>294</v>
      </c>
    </row>
    <row r="22" spans="1:4" x14ac:dyDescent="0.25">
      <c r="B22" t="s">
        <v>106</v>
      </c>
      <c r="C22" t="s">
        <v>315</v>
      </c>
      <c r="D22" t="s">
        <v>294</v>
      </c>
    </row>
    <row r="23" spans="1:4" x14ac:dyDescent="0.25">
      <c r="B23" t="s">
        <v>106</v>
      </c>
      <c r="C23" t="s">
        <v>316</v>
      </c>
      <c r="D23" t="s">
        <v>305</v>
      </c>
    </row>
    <row r="24" spans="1:4" x14ac:dyDescent="0.25">
      <c r="B24" t="s">
        <v>106</v>
      </c>
      <c r="C24" t="s">
        <v>317</v>
      </c>
      <c r="D24" t="s">
        <v>318</v>
      </c>
    </row>
    <row r="25" spans="1:4" x14ac:dyDescent="0.25">
      <c r="A25" t="s">
        <v>319</v>
      </c>
      <c r="B25" t="s">
        <v>106</v>
      </c>
      <c r="C25" t="s">
        <v>310</v>
      </c>
      <c r="D25" t="s">
        <v>298</v>
      </c>
    </row>
    <row r="26" spans="1:4" x14ac:dyDescent="0.25">
      <c r="B26" t="s">
        <v>106</v>
      </c>
      <c r="C26" t="s">
        <v>320</v>
      </c>
      <c r="D26" t="s">
        <v>321</v>
      </c>
    </row>
    <row r="27" spans="1:4" x14ac:dyDescent="0.25">
      <c r="B27" t="s">
        <v>106</v>
      </c>
      <c r="C27" t="s">
        <v>322</v>
      </c>
      <c r="D27" t="s">
        <v>323</v>
      </c>
    </row>
    <row r="28" spans="1:4" x14ac:dyDescent="0.25">
      <c r="A28" t="s">
        <v>324</v>
      </c>
      <c r="B28" t="s">
        <v>106</v>
      </c>
      <c r="C28" t="s">
        <v>325</v>
      </c>
      <c r="D28" t="s">
        <v>326</v>
      </c>
    </row>
    <row r="29" spans="1:4" x14ac:dyDescent="0.25">
      <c r="B29" t="s">
        <v>106</v>
      </c>
      <c r="C29" t="s">
        <v>327</v>
      </c>
      <c r="D29" t="s">
        <v>326</v>
      </c>
    </row>
  </sheetData>
  <pageMargins left="0.7" right="0.7" top="0.75" bottom="0.75" header="0.3" footer="0.3"/>
  <pageSetup orientation="portrait" r:id="rId1"/>
  <tableParts count="1">
    <tablePart r:id="rId2"/>
  </tableParts>
</worksheet>
</file>

<file path=xl/worksheets/sheet19.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104160AD-1C8C-4DC3-850F-7FC1DE304E58}">
  <sheetPr codeName="Sheet16"/>
  <dimension ref="A1:E82"/>
  <sheetViews>
    <sheetView workbookViewId="0">
      <selection activeCell="H86" sqref="H86"/>
    </sheetView>
  </sheetViews>
  <sheetFormatPr defaultRowHeight="15" x14ac:dyDescent="0.25"/>
  <cols>
    <col min="1" max="1" width="56.7109375" bestFit="1" customWidth="1"/>
    <col min="2" max="2" width="57.7109375" bestFit="1" customWidth="1"/>
    <col min="3" max="4" width="39.140625" bestFit="1" customWidth="1"/>
    <col min="5" max="5" width="19.85546875" bestFit="1" customWidth="1"/>
  </cols>
  <sheetData>
    <row r="1" spans="1:5" x14ac:dyDescent="0.25">
      <c r="B1" t="s">
        <v>149</v>
      </c>
      <c r="C1" t="s">
        <v>150</v>
      </c>
      <c r="D1" t="s">
        <v>291</v>
      </c>
      <c r="E1" t="s">
        <v>328</v>
      </c>
    </row>
    <row r="2" spans="1:5" x14ac:dyDescent="0.25">
      <c r="A2" t="s">
        <v>329</v>
      </c>
      <c r="B2" t="s">
        <v>329</v>
      </c>
      <c r="C2" t="s">
        <v>330</v>
      </c>
      <c r="D2" t="s">
        <v>330</v>
      </c>
      <c r="E2" t="s">
        <v>331</v>
      </c>
    </row>
    <row r="3" spans="1:5" x14ac:dyDescent="0.25">
      <c r="B3" t="s">
        <v>329</v>
      </c>
      <c r="C3" t="s">
        <v>332</v>
      </c>
      <c r="D3" t="s">
        <v>332</v>
      </c>
      <c r="E3" t="s">
        <v>331</v>
      </c>
    </row>
    <row r="4" spans="1:5" x14ac:dyDescent="0.25">
      <c r="A4" t="s">
        <v>333</v>
      </c>
      <c r="B4" t="s">
        <v>333</v>
      </c>
      <c r="C4" t="s">
        <v>39</v>
      </c>
      <c r="D4" t="s">
        <v>39</v>
      </c>
      <c r="E4" t="s">
        <v>491</v>
      </c>
    </row>
    <row r="5" spans="1:5" x14ac:dyDescent="0.25">
      <c r="B5" t="s">
        <v>333</v>
      </c>
      <c r="C5" t="s">
        <v>335</v>
      </c>
      <c r="D5" t="s">
        <v>335</v>
      </c>
      <c r="E5" t="s">
        <v>343</v>
      </c>
    </row>
    <row r="6" spans="1:5" x14ac:dyDescent="0.25">
      <c r="B6" t="s">
        <v>333</v>
      </c>
      <c r="C6" t="s">
        <v>336</v>
      </c>
      <c r="D6" t="s">
        <v>336</v>
      </c>
      <c r="E6" t="s">
        <v>491</v>
      </c>
    </row>
    <row r="7" spans="1:5" x14ac:dyDescent="0.25">
      <c r="B7" t="s">
        <v>333</v>
      </c>
      <c r="C7" t="s">
        <v>337</v>
      </c>
      <c r="D7" t="s">
        <v>337</v>
      </c>
      <c r="E7" t="s">
        <v>491</v>
      </c>
    </row>
    <row r="8" spans="1:5" x14ac:dyDescent="0.25">
      <c r="B8" t="s">
        <v>333</v>
      </c>
      <c r="C8" t="s">
        <v>338</v>
      </c>
      <c r="D8" t="s">
        <v>338</v>
      </c>
      <c r="E8" t="s">
        <v>339</v>
      </c>
    </row>
    <row r="9" spans="1:5" x14ac:dyDescent="0.25">
      <c r="B9" t="s">
        <v>333</v>
      </c>
      <c r="C9" t="s">
        <v>340</v>
      </c>
      <c r="D9" t="s">
        <v>340</v>
      </c>
      <c r="E9" t="s">
        <v>339</v>
      </c>
    </row>
    <row r="10" spans="1:5" x14ac:dyDescent="0.25">
      <c r="A10" t="s">
        <v>341</v>
      </c>
      <c r="B10" t="s">
        <v>341</v>
      </c>
      <c r="C10" t="s">
        <v>342</v>
      </c>
      <c r="D10" t="s">
        <v>342</v>
      </c>
      <c r="E10" t="s">
        <v>277</v>
      </c>
    </row>
    <row r="11" spans="1:5" x14ac:dyDescent="0.25">
      <c r="B11" t="s">
        <v>341</v>
      </c>
      <c r="C11" t="s">
        <v>344</v>
      </c>
      <c r="D11" t="s">
        <v>344</v>
      </c>
      <c r="E11" t="s">
        <v>345</v>
      </c>
    </row>
    <row r="12" spans="1:5" x14ac:dyDescent="0.25">
      <c r="A12" t="s">
        <v>346</v>
      </c>
      <c r="B12" t="s">
        <v>347</v>
      </c>
      <c r="C12" t="s">
        <v>348</v>
      </c>
      <c r="D12" t="s">
        <v>349</v>
      </c>
      <c r="E12" t="s">
        <v>350</v>
      </c>
    </row>
    <row r="13" spans="1:5" x14ac:dyDescent="0.25">
      <c r="B13" t="s">
        <v>351</v>
      </c>
      <c r="C13" t="s">
        <v>639</v>
      </c>
      <c r="D13" t="s">
        <v>639</v>
      </c>
      <c r="E13" t="s">
        <v>639</v>
      </c>
    </row>
    <row r="14" spans="1:5" x14ac:dyDescent="0.25">
      <c r="B14" t="s">
        <v>352</v>
      </c>
      <c r="C14" t="s">
        <v>343</v>
      </c>
      <c r="D14" t="s">
        <v>343</v>
      </c>
      <c r="E14" t="s">
        <v>343</v>
      </c>
    </row>
    <row r="15" spans="1:5" x14ac:dyDescent="0.25">
      <c r="B15" t="s">
        <v>353</v>
      </c>
      <c r="C15" t="s">
        <v>345</v>
      </c>
      <c r="D15" t="s">
        <v>345</v>
      </c>
      <c r="E15" t="s">
        <v>345</v>
      </c>
    </row>
    <row r="16" spans="1:5" x14ac:dyDescent="0.25">
      <c r="B16" t="s">
        <v>354</v>
      </c>
      <c r="C16" t="s">
        <v>277</v>
      </c>
      <c r="D16" t="s">
        <v>277</v>
      </c>
      <c r="E16" t="s">
        <v>277</v>
      </c>
    </row>
    <row r="17" spans="1:5" x14ac:dyDescent="0.25">
      <c r="B17" t="s">
        <v>355</v>
      </c>
      <c r="C17" t="s">
        <v>261</v>
      </c>
      <c r="D17" t="s">
        <v>261</v>
      </c>
      <c r="E17" t="s">
        <v>261</v>
      </c>
    </row>
    <row r="18" spans="1:5" x14ac:dyDescent="0.25">
      <c r="A18" t="s">
        <v>356</v>
      </c>
      <c r="B18" t="s">
        <v>168</v>
      </c>
      <c r="C18" t="s">
        <v>357</v>
      </c>
      <c r="D18" t="s">
        <v>358</v>
      </c>
      <c r="E18" t="s">
        <v>359</v>
      </c>
    </row>
    <row r="19" spans="1:5" x14ac:dyDescent="0.25">
      <c r="B19" t="s">
        <v>145</v>
      </c>
      <c r="C19" t="s">
        <v>505</v>
      </c>
      <c r="D19" t="s">
        <v>254</v>
      </c>
      <c r="E19" t="s">
        <v>360</v>
      </c>
    </row>
    <row r="20" spans="1:5" x14ac:dyDescent="0.25">
      <c r="B20" t="s">
        <v>146</v>
      </c>
      <c r="C20" t="s">
        <v>269</v>
      </c>
      <c r="D20" t="s">
        <v>506</v>
      </c>
      <c r="E20" t="s">
        <v>507</v>
      </c>
    </row>
    <row r="21" spans="1:5" x14ac:dyDescent="0.25">
      <c r="B21" t="s">
        <v>361</v>
      </c>
      <c r="C21" t="s">
        <v>365</v>
      </c>
      <c r="D21" t="s">
        <v>266</v>
      </c>
      <c r="E21" t="s">
        <v>362</v>
      </c>
    </row>
    <row r="22" spans="1:5" x14ac:dyDescent="0.25">
      <c r="B22" t="s">
        <v>363</v>
      </c>
      <c r="C22" t="s">
        <v>367</v>
      </c>
      <c r="D22" t="s">
        <v>365</v>
      </c>
      <c r="E22" t="s">
        <v>364</v>
      </c>
    </row>
    <row r="23" spans="1:5" x14ac:dyDescent="0.25">
      <c r="B23" t="s">
        <v>366</v>
      </c>
      <c r="C23" t="s">
        <v>509</v>
      </c>
      <c r="D23" t="s">
        <v>271</v>
      </c>
      <c r="E23" t="s">
        <v>508</v>
      </c>
    </row>
    <row r="24" spans="1:5" x14ac:dyDescent="0.25">
      <c r="A24" t="s">
        <v>368</v>
      </c>
      <c r="B24" t="s">
        <v>168</v>
      </c>
      <c r="C24" t="s">
        <v>357</v>
      </c>
    </row>
    <row r="25" spans="1:5" x14ac:dyDescent="0.25">
      <c r="B25" t="s">
        <v>369</v>
      </c>
      <c r="C25" t="s">
        <v>505</v>
      </c>
    </row>
    <row r="26" spans="1:5" x14ac:dyDescent="0.25">
      <c r="B26" t="s">
        <v>370</v>
      </c>
      <c r="C26" t="s">
        <v>269</v>
      </c>
    </row>
    <row r="27" spans="1:5" x14ac:dyDescent="0.25">
      <c r="B27" t="s">
        <v>371</v>
      </c>
      <c r="C27" t="s">
        <v>365</v>
      </c>
    </row>
    <row r="28" spans="1:5" x14ac:dyDescent="0.25">
      <c r="B28" t="s">
        <v>372</v>
      </c>
      <c r="C28" t="s">
        <v>367</v>
      </c>
    </row>
    <row r="29" spans="1:5" x14ac:dyDescent="0.25">
      <c r="B29" t="s">
        <v>373</v>
      </c>
      <c r="C29" t="s">
        <v>509</v>
      </c>
    </row>
    <row r="30" spans="1:5" x14ac:dyDescent="0.25">
      <c r="A30" t="s">
        <v>374</v>
      </c>
      <c r="B30" t="s">
        <v>374</v>
      </c>
      <c r="C30" t="s">
        <v>375</v>
      </c>
      <c r="D30" t="s">
        <v>376</v>
      </c>
    </row>
    <row r="31" spans="1:5" x14ac:dyDescent="0.25">
      <c r="B31" t="s">
        <v>374</v>
      </c>
      <c r="C31" t="s">
        <v>377</v>
      </c>
      <c r="D31" t="s">
        <v>491</v>
      </c>
      <c r="E31" t="s">
        <v>491</v>
      </c>
    </row>
    <row r="32" spans="1:5" x14ac:dyDescent="0.25">
      <c r="B32" t="s">
        <v>378</v>
      </c>
      <c r="C32" t="s">
        <v>379</v>
      </c>
    </row>
    <row r="33" spans="1:3" x14ac:dyDescent="0.25">
      <c r="B33" t="s">
        <v>380</v>
      </c>
      <c r="C33" t="s">
        <v>376</v>
      </c>
    </row>
    <row r="34" spans="1:3" x14ac:dyDescent="0.25">
      <c r="B34" t="s">
        <v>381</v>
      </c>
      <c r="C34" t="s">
        <v>379</v>
      </c>
    </row>
    <row r="35" spans="1:3" x14ac:dyDescent="0.25">
      <c r="B35" t="s">
        <v>382</v>
      </c>
      <c r="C35" t="s">
        <v>383</v>
      </c>
    </row>
    <row r="36" spans="1:3" x14ac:dyDescent="0.25">
      <c r="B36" t="s">
        <v>384</v>
      </c>
      <c r="C36" t="s">
        <v>376</v>
      </c>
    </row>
    <row r="37" spans="1:3" x14ac:dyDescent="0.25">
      <c r="B37" t="s">
        <v>385</v>
      </c>
      <c r="C37" t="s">
        <v>386</v>
      </c>
    </row>
    <row r="38" spans="1:3" x14ac:dyDescent="0.25">
      <c r="B38" t="s">
        <v>387</v>
      </c>
      <c r="C38" t="s">
        <v>388</v>
      </c>
    </row>
    <row r="39" spans="1:3" x14ac:dyDescent="0.25">
      <c r="B39" t="s">
        <v>389</v>
      </c>
      <c r="C39" t="s">
        <v>390</v>
      </c>
    </row>
    <row r="40" spans="1:3" x14ac:dyDescent="0.25">
      <c r="B40" t="s">
        <v>391</v>
      </c>
      <c r="C40" t="s">
        <v>392</v>
      </c>
    </row>
    <row r="41" spans="1:3" x14ac:dyDescent="0.25">
      <c r="B41" t="s">
        <v>393</v>
      </c>
      <c r="C41" t="s">
        <v>394</v>
      </c>
    </row>
    <row r="42" spans="1:3" x14ac:dyDescent="0.25">
      <c r="B42" t="s">
        <v>395</v>
      </c>
      <c r="C42" t="s">
        <v>396</v>
      </c>
    </row>
    <row r="43" spans="1:3" x14ac:dyDescent="0.25">
      <c r="B43" t="s">
        <v>397</v>
      </c>
      <c r="C43" t="s">
        <v>398</v>
      </c>
    </row>
    <row r="44" spans="1:3" x14ac:dyDescent="0.25">
      <c r="A44" t="s">
        <v>399</v>
      </c>
      <c r="B44" t="s">
        <v>400</v>
      </c>
      <c r="C44" t="s">
        <v>379</v>
      </c>
    </row>
    <row r="45" spans="1:3" x14ac:dyDescent="0.25">
      <c r="B45" t="s">
        <v>401</v>
      </c>
      <c r="C45" t="s">
        <v>402</v>
      </c>
    </row>
    <row r="46" spans="1:3" x14ac:dyDescent="0.25">
      <c r="B46" t="s">
        <v>403</v>
      </c>
      <c r="C46" t="s">
        <v>404</v>
      </c>
    </row>
    <row r="47" spans="1:3" x14ac:dyDescent="0.25">
      <c r="B47" t="s">
        <v>405</v>
      </c>
      <c r="C47" t="s">
        <v>379</v>
      </c>
    </row>
    <row r="48" spans="1:3" x14ac:dyDescent="0.25">
      <c r="B48" t="s">
        <v>406</v>
      </c>
      <c r="C48" t="s">
        <v>383</v>
      </c>
    </row>
    <row r="49" spans="1:4" x14ac:dyDescent="0.25">
      <c r="B49" t="s">
        <v>407</v>
      </c>
      <c r="C49" t="s">
        <v>376</v>
      </c>
    </row>
    <row r="50" spans="1:4" x14ac:dyDescent="0.25">
      <c r="B50" t="s">
        <v>408</v>
      </c>
      <c r="C50" t="s">
        <v>386</v>
      </c>
    </row>
    <row r="51" spans="1:4" x14ac:dyDescent="0.25">
      <c r="B51" t="s">
        <v>409</v>
      </c>
      <c r="C51" t="s">
        <v>388</v>
      </c>
    </row>
    <row r="52" spans="1:4" x14ac:dyDescent="0.25">
      <c r="B52" t="s">
        <v>410</v>
      </c>
      <c r="C52" t="s">
        <v>390</v>
      </c>
    </row>
    <row r="53" spans="1:4" x14ac:dyDescent="0.25">
      <c r="B53" t="s">
        <v>411</v>
      </c>
      <c r="C53" t="s">
        <v>392</v>
      </c>
    </row>
    <row r="54" spans="1:4" x14ac:dyDescent="0.25">
      <c r="B54" t="s">
        <v>412</v>
      </c>
      <c r="C54" t="s">
        <v>394</v>
      </c>
    </row>
    <row r="55" spans="1:4" x14ac:dyDescent="0.25">
      <c r="B55" t="s">
        <v>413</v>
      </c>
      <c r="C55" t="s">
        <v>396</v>
      </c>
    </row>
    <row r="56" spans="1:4" x14ac:dyDescent="0.25">
      <c r="B56" t="s">
        <v>414</v>
      </c>
      <c r="C56" t="s">
        <v>398</v>
      </c>
    </row>
    <row r="57" spans="1:4" x14ac:dyDescent="0.25">
      <c r="A57" t="s">
        <v>415</v>
      </c>
      <c r="B57" t="s">
        <v>415</v>
      </c>
      <c r="C57" t="s">
        <v>168</v>
      </c>
      <c r="D57" t="s">
        <v>379</v>
      </c>
    </row>
    <row r="58" spans="1:4" x14ac:dyDescent="0.25">
      <c r="B58" t="s">
        <v>415</v>
      </c>
      <c r="C58" t="s">
        <v>416</v>
      </c>
      <c r="D58" t="s">
        <v>383</v>
      </c>
    </row>
    <row r="59" spans="1:4" x14ac:dyDescent="0.25">
      <c r="B59" t="s">
        <v>415</v>
      </c>
      <c r="C59" t="s">
        <v>385</v>
      </c>
      <c r="D59" t="s">
        <v>386</v>
      </c>
    </row>
    <row r="60" spans="1:4" x14ac:dyDescent="0.25">
      <c r="B60" t="s">
        <v>415</v>
      </c>
      <c r="C60" t="s">
        <v>417</v>
      </c>
      <c r="D60" t="s">
        <v>376</v>
      </c>
    </row>
    <row r="61" spans="1:4" x14ac:dyDescent="0.25">
      <c r="B61" t="s">
        <v>415</v>
      </c>
      <c r="C61" t="s">
        <v>418</v>
      </c>
      <c r="D61" t="s">
        <v>388</v>
      </c>
    </row>
    <row r="62" spans="1:4" x14ac:dyDescent="0.25">
      <c r="B62" t="s">
        <v>415</v>
      </c>
      <c r="C62" t="s">
        <v>419</v>
      </c>
      <c r="D62" t="s">
        <v>390</v>
      </c>
    </row>
    <row r="63" spans="1:4" x14ac:dyDescent="0.25">
      <c r="B63" t="s">
        <v>415</v>
      </c>
      <c r="C63" t="s">
        <v>420</v>
      </c>
      <c r="D63" t="s">
        <v>392</v>
      </c>
    </row>
    <row r="64" spans="1:4" x14ac:dyDescent="0.25">
      <c r="B64" t="s">
        <v>415</v>
      </c>
      <c r="C64" t="s">
        <v>421</v>
      </c>
      <c r="D64" t="s">
        <v>394</v>
      </c>
    </row>
    <row r="65" spans="1:5" x14ac:dyDescent="0.25">
      <c r="B65" t="s">
        <v>415</v>
      </c>
      <c r="C65" t="s">
        <v>395</v>
      </c>
      <c r="D65" t="s">
        <v>396</v>
      </c>
    </row>
    <row r="66" spans="1:5" x14ac:dyDescent="0.25">
      <c r="B66" t="s">
        <v>415</v>
      </c>
      <c r="C66" t="s">
        <v>422</v>
      </c>
      <c r="D66" t="s">
        <v>398</v>
      </c>
    </row>
    <row r="67" spans="1:5" x14ac:dyDescent="0.25">
      <c r="A67" t="s">
        <v>423</v>
      </c>
      <c r="B67" t="s">
        <v>423</v>
      </c>
      <c r="C67" t="s">
        <v>424</v>
      </c>
      <c r="D67" t="s">
        <v>425</v>
      </c>
      <c r="E67" t="s">
        <v>426</v>
      </c>
    </row>
    <row r="68" spans="1:5" x14ac:dyDescent="0.25">
      <c r="B68" t="s">
        <v>423</v>
      </c>
      <c r="C68" t="s">
        <v>427</v>
      </c>
      <c r="D68" t="s">
        <v>428</v>
      </c>
      <c r="E68" t="s">
        <v>383</v>
      </c>
    </row>
    <row r="69" spans="1:5" x14ac:dyDescent="0.25">
      <c r="B69" t="s">
        <v>423</v>
      </c>
      <c r="C69" t="s">
        <v>429</v>
      </c>
      <c r="D69" t="s">
        <v>428</v>
      </c>
      <c r="E69" t="s">
        <v>383</v>
      </c>
    </row>
    <row r="70" spans="1:5" x14ac:dyDescent="0.25">
      <c r="A70" t="s">
        <v>430</v>
      </c>
      <c r="B70" t="s">
        <v>430</v>
      </c>
      <c r="C70" t="s">
        <v>430</v>
      </c>
    </row>
    <row r="71" spans="1:5" x14ac:dyDescent="0.25">
      <c r="B71" t="s">
        <v>431</v>
      </c>
      <c r="C71" t="s">
        <v>376</v>
      </c>
    </row>
    <row r="72" spans="1:5" x14ac:dyDescent="0.25">
      <c r="A72" t="s">
        <v>432</v>
      </c>
      <c r="B72" t="s">
        <v>432</v>
      </c>
      <c r="C72" t="s">
        <v>432</v>
      </c>
    </row>
    <row r="73" spans="1:5" x14ac:dyDescent="0.25">
      <c r="B73" t="s">
        <v>433</v>
      </c>
      <c r="C73" t="s">
        <v>428</v>
      </c>
    </row>
    <row r="74" spans="1:5" x14ac:dyDescent="0.25">
      <c r="A74" t="s">
        <v>434</v>
      </c>
      <c r="B74" t="s">
        <v>434</v>
      </c>
      <c r="C74" t="s">
        <v>434</v>
      </c>
    </row>
    <row r="75" spans="1:5" x14ac:dyDescent="0.25">
      <c r="B75" t="s">
        <v>435</v>
      </c>
      <c r="C75" t="s">
        <v>242</v>
      </c>
    </row>
    <row r="76" spans="1:5" x14ac:dyDescent="0.25">
      <c r="B76" t="s">
        <v>436</v>
      </c>
      <c r="C76" t="s">
        <v>334</v>
      </c>
    </row>
    <row r="77" spans="1:5" x14ac:dyDescent="0.25">
      <c r="B77" t="s">
        <v>437</v>
      </c>
      <c r="C77" t="s">
        <v>492</v>
      </c>
    </row>
    <row r="78" spans="1:5" x14ac:dyDescent="0.25">
      <c r="B78" t="s">
        <v>438</v>
      </c>
      <c r="C78" t="s">
        <v>277</v>
      </c>
    </row>
    <row r="79" spans="1:5" x14ac:dyDescent="0.25">
      <c r="B79" t="s">
        <v>439</v>
      </c>
      <c r="C79" t="s">
        <v>491</v>
      </c>
    </row>
    <row r="80" spans="1:5" x14ac:dyDescent="0.25">
      <c r="B80" t="s">
        <v>440</v>
      </c>
      <c r="C80" t="s">
        <v>491</v>
      </c>
    </row>
    <row r="82" spans="1:1" x14ac:dyDescent="0.25">
      <c r="A82" s="2"/>
    </row>
  </sheetData>
  <pageMargins left="0.7" right="0.7" top="0.75" bottom="0.75" header="0.3" footer="0.3"/>
  <tableParts count="1">
    <tablePart r:id="rId1"/>
  </tableParts>
</worksheet>
</file>

<file path=xl/worksheets/sheet20.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DF1C8081-6A83-47D2-AD9D-392DF2744A8A}">
  <sheetPr codeName="Sheet26"/>
  <dimension ref="A1:B5"/>
  <sheetViews>
    <sheetView workbookViewId="0">
      <selection sqref="A1:B5"/>
    </sheetView>
  </sheetViews>
  <sheetFormatPr defaultRowHeight="15" x14ac:dyDescent="0.25"/>
  <cols>
    <col min="1" max="1" width="81.140625" bestFit="1" customWidth="1"/>
    <col min="2" max="2" width="23.140625" bestFit="1" customWidth="1"/>
  </cols>
  <sheetData>
    <row r="1" spans="1:2" x14ac:dyDescent="0.25">
      <c r="A1" t="s">
        <v>482</v>
      </c>
      <c r="B1" t="s">
        <v>553</v>
      </c>
    </row>
    <row r="2" spans="1:2" x14ac:dyDescent="0.25">
      <c r="A2" s="79" t="s">
        <v>554</v>
      </c>
      <c r="B2">
        <v>4.4999999999999997E-3</v>
      </c>
    </row>
    <row r="3" spans="1:2" x14ac:dyDescent="0.25">
      <c r="A3" s="79" t="s">
        <v>555</v>
      </c>
      <c r="B3">
        <v>0.01</v>
      </c>
    </row>
    <row r="4" spans="1:2" x14ac:dyDescent="0.25">
      <c r="A4" s="79" t="s">
        <v>556</v>
      </c>
      <c r="B4">
        <v>1.0500000000000001E-2</v>
      </c>
    </row>
    <row r="5" spans="1:2" x14ac:dyDescent="0.25">
      <c r="A5" s="79" t="s">
        <v>557</v>
      </c>
      <c r="B5">
        <v>1.15E-2</v>
      </c>
    </row>
  </sheetData>
  <pageMargins left="0.7" right="0.7" top="0.75" bottom="0.75" header="0.3" footer="0.3"/>
  <tableParts count="1">
    <tablePart r:id="rId1"/>
  </tableParts>
</worksheet>
</file>

<file path=xl/worksheets/sheet21.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B00-000000000000}">
  <sheetPr codeName="Sheet12"/>
  <dimension ref="A1:B2"/>
  <sheetViews>
    <sheetView workbookViewId="0">
      <selection activeCell="K19" sqref="K19"/>
    </sheetView>
  </sheetViews>
  <sheetFormatPr defaultRowHeight="15" x14ac:dyDescent="0.25"/>
  <cols>
    <col min="1" max="1" width="23" bestFit="1" customWidth="1"/>
    <col min="2" max="2" width="14.85546875" bestFit="1" customWidth="1"/>
  </cols>
  <sheetData>
    <row r="1" spans="1:2" x14ac:dyDescent="0.25">
      <c r="A1" t="s">
        <v>441</v>
      </c>
      <c r="B1" t="s">
        <v>144</v>
      </c>
    </row>
    <row r="2" spans="1:2" x14ac:dyDescent="0.25">
      <c r="A2" s="79" t="s">
        <v>41</v>
      </c>
      <c r="B2">
        <v>1.4999999999999999E-2</v>
      </c>
    </row>
  </sheetData>
  <pageMargins left="0.7" right="0.7" top="0.75" bottom="0.75" header="0.3" footer="0.3"/>
  <tableParts count="1">
    <tablePart r:id="rId1"/>
  </tableParts>
</worksheet>
</file>

<file path=xl/worksheets/sheet22.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72302914-10B4-4A93-8338-458BFDDF487F}">
  <sheetPr codeName="Sheet19"/>
  <dimension ref="A1:E5"/>
  <sheetViews>
    <sheetView workbookViewId="0">
      <selection activeCell="B1" sqref="B1:E5"/>
    </sheetView>
  </sheetViews>
  <sheetFormatPr defaultRowHeight="15" x14ac:dyDescent="0.25"/>
  <cols>
    <col min="1" max="1" width="35.85546875" customWidth="1"/>
    <col min="2" max="2" width="18.140625" bestFit="1" customWidth="1"/>
    <col min="3" max="3" width="77.28515625" bestFit="1" customWidth="1"/>
    <col min="4" max="4" width="25.42578125" bestFit="1" customWidth="1"/>
    <col min="5" max="5" width="23.42578125" bestFit="1" customWidth="1"/>
    <col min="6" max="6" width="25.42578125" bestFit="1" customWidth="1"/>
    <col min="7" max="7" width="23.42578125" bestFit="1" customWidth="1"/>
  </cols>
  <sheetData>
    <row r="1" spans="1:5" x14ac:dyDescent="0.25">
      <c r="B1" t="s">
        <v>499</v>
      </c>
      <c r="C1" t="s">
        <v>500</v>
      </c>
      <c r="D1" t="s">
        <v>511</v>
      </c>
      <c r="E1" t="s">
        <v>512</v>
      </c>
    </row>
    <row r="2" spans="1:5" x14ac:dyDescent="0.25">
      <c r="A2" t="s">
        <v>501</v>
      </c>
      <c r="B2" s="79" t="s">
        <v>499</v>
      </c>
      <c r="C2" s="79" t="s">
        <v>501</v>
      </c>
      <c r="D2" s="79" t="s">
        <v>513</v>
      </c>
      <c r="E2" s="79"/>
    </row>
    <row r="3" spans="1:5" x14ac:dyDescent="0.25">
      <c r="A3" t="s">
        <v>502</v>
      </c>
      <c r="B3" s="79" t="s">
        <v>499</v>
      </c>
      <c r="C3" s="79" t="s">
        <v>502</v>
      </c>
      <c r="D3" s="79" t="s">
        <v>343</v>
      </c>
      <c r="E3" s="79"/>
    </row>
    <row r="4" spans="1:5" x14ac:dyDescent="0.25">
      <c r="A4" t="s">
        <v>503</v>
      </c>
      <c r="B4" s="79" t="s">
        <v>499</v>
      </c>
      <c r="C4" s="79" t="s">
        <v>503</v>
      </c>
      <c r="D4" s="79" t="s">
        <v>343</v>
      </c>
      <c r="E4" s="79"/>
    </row>
    <row r="5" spans="1:5" x14ac:dyDescent="0.25">
      <c r="A5" t="s">
        <v>504</v>
      </c>
      <c r="B5" s="79" t="s">
        <v>499</v>
      </c>
      <c r="C5" s="79" t="s">
        <v>504</v>
      </c>
      <c r="D5" s="79" t="s">
        <v>242</v>
      </c>
      <c r="E5" s="79"/>
    </row>
  </sheetData>
  <pageMargins left="0.7" right="0.7" top="0.75" bottom="0.75" header="0.3" footer="0.3"/>
  <tableParts count="1">
    <tablePart r:id="rId1"/>
  </tableParts>
</worksheet>
</file>

<file path=xl/worksheets/sheet23.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233D887-26A0-457F-9680-465B244BCFBD}">
  <sheetPr codeName="Sheet27"/>
  <dimension ref="A1:C5"/>
  <sheetViews>
    <sheetView workbookViewId="0">
      <selection activeCell="D14" sqref="D14"/>
    </sheetView>
  </sheetViews>
  <sheetFormatPr defaultRowHeight="15" x14ac:dyDescent="0.25"/>
  <cols>
    <col min="1" max="1" width="7.28515625" bestFit="1" customWidth="1"/>
    <col min="2" max="2" width="24.7109375" bestFit="1" customWidth="1"/>
    <col min="3" max="3" width="13.42578125" bestFit="1" customWidth="1"/>
  </cols>
  <sheetData>
    <row r="1" spans="1:3" x14ac:dyDescent="0.25">
      <c r="A1" t="s">
        <v>106</v>
      </c>
      <c r="B1" t="s">
        <v>558</v>
      </c>
      <c r="C1" t="s">
        <v>559</v>
      </c>
    </row>
    <row r="2" spans="1:3" x14ac:dyDescent="0.25">
      <c r="B2" s="79" t="s">
        <v>41</v>
      </c>
      <c r="C2" s="79" t="s">
        <v>560</v>
      </c>
    </row>
    <row r="3" spans="1:3" x14ac:dyDescent="0.25">
      <c r="B3" s="79" t="s">
        <v>561</v>
      </c>
      <c r="C3" s="79" t="s">
        <v>560</v>
      </c>
    </row>
    <row r="4" spans="1:3" x14ac:dyDescent="0.25">
      <c r="B4" s="79" t="s">
        <v>562</v>
      </c>
      <c r="C4" s="79" t="s">
        <v>560</v>
      </c>
    </row>
    <row r="5" spans="1:3" x14ac:dyDescent="0.25">
      <c r="B5" s="79" t="s">
        <v>563</v>
      </c>
      <c r="C5" s="79" t="s">
        <v>564</v>
      </c>
    </row>
  </sheetData>
  <pageMargins left="0.7" right="0.7" top="0.75" bottom="0.75" header="0.3" footer="0.3"/>
  <tableParts count="1">
    <tablePart r:id="rId1"/>
  </tableParts>
</worksheet>
</file>

<file path=xl/worksheets/sheet24.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D18EA9F3-7E72-4374-B3DB-836472B55807}">
  <sheetPr codeName="Sheet4"/>
  <dimension ref="A1:F12"/>
  <sheetViews>
    <sheetView workbookViewId="0">
      <selection activeCell="A18" sqref="A18"/>
    </sheetView>
  </sheetViews>
  <sheetFormatPr defaultRowHeight="15" x14ac:dyDescent="0.25"/>
  <cols>
    <col min="1" max="2" width="80.28515625" bestFit="1" customWidth="1"/>
    <col min="3" max="6" width="38.28515625" bestFit="1" customWidth="1"/>
  </cols>
  <sheetData>
    <row r="1" spans="1:6" x14ac:dyDescent="0.25">
      <c r="A1" t="s">
        <v>112</v>
      </c>
      <c r="B1" t="s">
        <v>113</v>
      </c>
      <c r="C1" t="s">
        <v>114</v>
      </c>
      <c r="D1" t="s">
        <v>596</v>
      </c>
      <c r="E1" t="s">
        <v>597</v>
      </c>
      <c r="F1" t="s">
        <v>598</v>
      </c>
    </row>
    <row r="2" spans="1:6" x14ac:dyDescent="0.25">
      <c r="A2" s="79" t="s">
        <v>599</v>
      </c>
      <c r="B2" s="79" t="s">
        <v>599</v>
      </c>
      <c r="C2" s="79" t="s">
        <v>600</v>
      </c>
      <c r="D2" s="79" t="s">
        <v>601</v>
      </c>
      <c r="E2" s="79" t="s">
        <v>602</v>
      </c>
      <c r="F2" s="79" t="s">
        <v>603</v>
      </c>
    </row>
    <row r="3" spans="1:6" x14ac:dyDescent="0.25">
      <c r="A3" s="79" t="s">
        <v>604</v>
      </c>
      <c r="B3" s="79" t="s">
        <v>604</v>
      </c>
      <c r="C3" s="79" t="s">
        <v>604</v>
      </c>
      <c r="D3" s="79" t="s">
        <v>604</v>
      </c>
      <c r="E3" s="79" t="s">
        <v>604</v>
      </c>
      <c r="F3" s="79" t="s">
        <v>604</v>
      </c>
    </row>
    <row r="4" spans="1:6" x14ac:dyDescent="0.25">
      <c r="A4" s="79" t="s">
        <v>605</v>
      </c>
      <c r="B4" s="79" t="s">
        <v>605</v>
      </c>
      <c r="C4" s="79" t="s">
        <v>606</v>
      </c>
      <c r="D4" s="79" t="s">
        <v>277</v>
      </c>
      <c r="E4" s="79" t="s">
        <v>607</v>
      </c>
      <c r="F4" s="79" t="s">
        <v>608</v>
      </c>
    </row>
    <row r="5" spans="1:6" x14ac:dyDescent="0.25">
      <c r="A5" s="79" t="s">
        <v>609</v>
      </c>
      <c r="B5" s="79" t="s">
        <v>609</v>
      </c>
      <c r="C5" s="79" t="s">
        <v>610</v>
      </c>
      <c r="D5" s="79" t="s">
        <v>611</v>
      </c>
      <c r="E5" s="79" t="s">
        <v>607</v>
      </c>
      <c r="F5" s="79" t="s">
        <v>608</v>
      </c>
    </row>
    <row r="6" spans="1:6" x14ac:dyDescent="0.25">
      <c r="A6" s="79" t="s">
        <v>612</v>
      </c>
      <c r="B6" s="79" t="s">
        <v>612</v>
      </c>
      <c r="C6" s="79" t="s">
        <v>613</v>
      </c>
      <c r="D6" s="79" t="s">
        <v>277</v>
      </c>
      <c r="E6" s="79" t="s">
        <v>607</v>
      </c>
      <c r="F6" s="79" t="s">
        <v>614</v>
      </c>
    </row>
    <row r="7" spans="1:6" x14ac:dyDescent="0.25">
      <c r="A7" s="79" t="s">
        <v>615</v>
      </c>
      <c r="B7" s="79" t="s">
        <v>615</v>
      </c>
      <c r="C7" s="79" t="s">
        <v>616</v>
      </c>
      <c r="D7" s="79" t="s">
        <v>611</v>
      </c>
      <c r="E7" s="79" t="s">
        <v>607</v>
      </c>
      <c r="F7" s="79" t="s">
        <v>614</v>
      </c>
    </row>
    <row r="8" spans="1:6" x14ac:dyDescent="0.25">
      <c r="A8" s="79" t="s">
        <v>617</v>
      </c>
      <c r="B8" s="79" t="s">
        <v>617</v>
      </c>
      <c r="C8" s="79" t="s">
        <v>618</v>
      </c>
      <c r="D8" s="79" t="s">
        <v>277</v>
      </c>
      <c r="E8" s="79" t="s">
        <v>607</v>
      </c>
      <c r="F8" s="79" t="s">
        <v>614</v>
      </c>
    </row>
    <row r="9" spans="1:6" x14ac:dyDescent="0.25">
      <c r="A9" s="79" t="s">
        <v>619</v>
      </c>
      <c r="B9" s="79" t="s">
        <v>619</v>
      </c>
      <c r="C9" s="79" t="s">
        <v>620</v>
      </c>
      <c r="D9" s="79" t="s">
        <v>611</v>
      </c>
      <c r="E9" s="79" t="s">
        <v>607</v>
      </c>
      <c r="F9" s="79" t="s">
        <v>614</v>
      </c>
    </row>
    <row r="10" spans="1:6" x14ac:dyDescent="0.25">
      <c r="A10" s="79" t="s">
        <v>621</v>
      </c>
      <c r="B10" s="79" t="s">
        <v>621</v>
      </c>
      <c r="C10" s="79" t="s">
        <v>621</v>
      </c>
      <c r="D10" s="79" t="s">
        <v>621</v>
      </c>
      <c r="E10" s="79" t="s">
        <v>621</v>
      </c>
      <c r="F10" s="79" t="s">
        <v>621</v>
      </c>
    </row>
    <row r="11" spans="1:6" x14ac:dyDescent="0.25">
      <c r="A11" s="79" t="s">
        <v>622</v>
      </c>
      <c r="B11" s="79" t="s">
        <v>622</v>
      </c>
      <c r="C11" s="79" t="s">
        <v>623</v>
      </c>
      <c r="D11" s="79" t="s">
        <v>624</v>
      </c>
      <c r="E11" s="79" t="s">
        <v>607</v>
      </c>
      <c r="F11" s="79" t="s">
        <v>608</v>
      </c>
    </row>
    <row r="12" spans="1:6" x14ac:dyDescent="0.25">
      <c r="A12" s="79" t="s">
        <v>625</v>
      </c>
      <c r="B12" s="79" t="s">
        <v>625</v>
      </c>
      <c r="C12" s="79" t="s">
        <v>626</v>
      </c>
      <c r="D12" s="79" t="s">
        <v>491</v>
      </c>
      <c r="E12" s="79" t="s">
        <v>607</v>
      </c>
      <c r="F12" s="79" t="s">
        <v>608</v>
      </c>
    </row>
  </sheetData>
  <pageMargins left="0.7" right="0.7" top="0.75" bottom="0.75" header="0.3" footer="0.3"/>
  <tableParts count="1">
    <tablePart r:id="rId1"/>
  </tableParts>
</worksheet>
</file>

<file path=customXml/_rels/item1.xml.rels><?xml version="1.0" encoding="UTF-8" standalone="yes"?>
<Relationships xmlns="http://schemas.openxmlformats.org/package/2006/relationships"><Relationship Id="rId1" Type="http://schemas.openxmlformats.org/officeDocument/2006/relationships/customXmlProps" Target="itemProps1.xml"/></Relationships>
</file>

<file path=customXml/item1.xml>�� 
</file>

<file path=customXml/itemProps1.xml><?xml version="1.0" encoding="utf-8"?>
<ds:datastoreItem xmlns:ds="http://schemas.openxmlformats.org/officeDocument/2006/customXml" ds:itemID="{D0F1078E-237A-485A-B67A-78DE8896052B}">
  <ds:schemaRefs>
    <ds:schemaRef ds:uri="http://schemas.microsoft.com/DataMashup"/>
  </ds:schemaRefs>
</ds:datastoreItem>
</file>

<file path=docProps/app.xml><?xml version="1.0" encoding="utf-8"?>
<Properties xmlns="http://schemas.openxmlformats.org/officeDocument/2006/extended-properties" xmlns:vt="http://schemas.openxmlformats.org/officeDocument/2006/docPropsVTypes">
  <Application>Microsoft Excel</Application>
  <DocSecurity>0</DocSecurity>
  <ScaleCrop>false</ScaleCrop>
  <HeadingPairs>
    <vt:vector size="4" baseType="variant">
      <vt:variant>
        <vt:lpstr>Worksheets</vt:lpstr>
      </vt:variant>
      <vt:variant>
        <vt:i4>24</vt:i4>
      </vt:variant>
      <vt:variant>
        <vt:lpstr>Named Ranges</vt:lpstr>
      </vt:variant>
      <vt:variant>
        <vt:i4>3</vt:i4>
      </vt:variant>
    </vt:vector>
  </HeadingPairs>
  <TitlesOfParts>
    <vt:vector size="27" baseType="lpstr">
      <vt:lpstr>Menu</vt:lpstr>
      <vt:lpstr>Retail_Report</vt:lpstr>
      <vt:lpstr>US$_Report</vt:lpstr>
      <vt:lpstr>Broker_Report</vt:lpstr>
      <vt:lpstr>Dev Change Log</vt:lpstr>
      <vt:lpstr>CIBC_rates</vt:lpstr>
      <vt:lpstr>TD_rates</vt:lpstr>
      <vt:lpstr>BMO_rates</vt:lpstr>
      <vt:lpstr>BNS_rates</vt:lpstr>
      <vt:lpstr>RBC_rates</vt:lpstr>
      <vt:lpstr>Sheet10</vt:lpstr>
      <vt:lpstr>Sheet9</vt:lpstr>
      <vt:lpstr>Sheet8</vt:lpstr>
      <vt:lpstr>Sheet7</vt:lpstr>
      <vt:lpstr>Sheet6</vt:lpstr>
      <vt:lpstr>Simplii_rates</vt:lpstr>
      <vt:lpstr>ICICI_rates</vt:lpstr>
      <vt:lpstr>NBC_rates</vt:lpstr>
      <vt:lpstr>Manulife_rates</vt:lpstr>
      <vt:lpstr>HSBC_rates</vt:lpstr>
      <vt:lpstr>CT_rates</vt:lpstr>
      <vt:lpstr>B2B_rates</vt:lpstr>
      <vt:lpstr>Meridian_rates</vt:lpstr>
      <vt:lpstr>Altamira_rates</vt:lpstr>
      <vt:lpstr>BNS_rates!moneymaster</vt:lpstr>
      <vt:lpstr>BNS_rates!mpsa</vt:lpstr>
      <vt:lpstr>BNS_rates!ssaa</vt:lpstr>
    </vt:vector>
  </TitlesOfParts>
  <Manager/>
  <Company/>
  <LinksUpToDate>false</LinksUpToDate>
  <SharedDoc>false</SharedDoc>
  <HyperlinkBase/>
  <HyperlinksChanged>false</HyperlinksChanged>
  <AppVersion>16.0300</AppVersion>
</Properties>
</file>

<file path=docProps/core.xml><?xml version="1.0" encoding="utf-8"?>
<cp:coreProperties xmlns:cp="http://schemas.openxmlformats.org/package/2006/metadata/core-properties" xmlns:dc="http://purl.org/dc/elements/1.1/" xmlns:dcterms="http://purl.org/dc/terms/" xmlns:dcmitype="http://purl.org/dc/dcmitype/" xmlns:xsi="http://www.w3.org/2001/XMLSchema-instance">
  <dc:title/>
  <dc:subject/>
  <dc:creator/>
  <cp:keywords/>
  <dc:description/>
  <cp:lastModifiedBy>KamalaKannan, Ashwin</cp:lastModifiedBy>
  <cp:revision/>
  <dcterms:created xsi:type="dcterms:W3CDTF">2015-06-05T18:17:20Z</dcterms:created>
  <dcterms:modified xsi:type="dcterms:W3CDTF">2018-11-08T18:30:33Z</dcterms:modified>
  <cp:category/>
  <cp:contentStatus/>
</cp:coreProperties>
</file>