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alixi\Documents\repos\competitive-tracker\Rate Scanner\"/>
    </mc:Choice>
  </mc:AlternateContent>
  <xr:revisionPtr revIDLastSave="0" documentId="13_ncr:1_{956D1FF3-B6DF-4ACD-A61E-1224FF841E00}" xr6:coauthVersionLast="41" xr6:coauthVersionMax="41" xr10:uidLastSave="{00000000-0000-0000-0000-000000000000}"/>
  <bookViews>
    <workbookView xWindow="-120" yWindow="-120"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Simplii_rates!$B$10:$C$11</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31"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2"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3"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4"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<sst xmlns="http://schemas.openxmlformats.org/spreadsheetml/2006/main" count="1067" uniqueCount="511">
  <si>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</si>
  <si>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</si>
  <si>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</si>
  <si>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</si>
  <si>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</si>
  <si>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</si>
  <si>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</si>
  <si>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</si>
  <si>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</si>
  <si>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</si>
  <si>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</si>
  <si>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</si>
  <si>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</si>
  <si>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</si>
  <si>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</si>
  <si>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</si>
  <si>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</si>
  <si>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</si>
  <si>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</si>
  <si>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</si>
  <si>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</si>
  <si>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</si>
  <si>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</si>
  <si>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</si>
  <si>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</si>
  <si>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</si>
  <si>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</si>
  <si>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</si>
  <si>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</si>
  <si>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</si>
  <si>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</si>
  <si>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</si>
  <si>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</si>
  <si>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</si>
  <si>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</si>
  <si>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</si>
  <si>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</si>
  <si>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</si>
  <si>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</si>
  <si>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</si>
  <si>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</si>
  <si>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</si>
  <si>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</si>
  <si>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</si>
  <si>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</si>
  <si>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</si>
  <si>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</si>
  <si>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</si>
  <si>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</si>
  <si>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</si>
  <si>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</si>
  <si>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</si>
  <si>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</si>
  <si>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</si>
  <si>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</si>
  <si>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</si>
  <si>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</si>
  <si>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</si>
  <si>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</si>
  <si>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</si>
  <si>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</si>
  <si>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</si>
  <si>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</si>
  <si>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</si>
  <si>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</si>
  <si>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</si>
  <si>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</si>
  <si>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</si>
  <si>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</si>
  <si>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</si>
  <si>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</si>
  <si>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</si>
  <si>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</si>
  <si>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</si>
  <si>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</si>
  <si>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</si>
  <si>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</si>
  <si>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</si>
  <si>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</si>
  <si>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</si>
  <si>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</si>
  <si>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</si>
  <si>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</si>
  <si>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</si>
  <si>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</si>
  <si>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</si>
  <si>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</si>
  <si>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</si>
  <si>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</si>
  <si>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</si>
  <si>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</si>
  <si>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</si>
  <si>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</si>
  <si>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</si>
  <si>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</si>
  <si>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</si>
  <si>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</si>
  <si>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</si>
  <si>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</si>
  <si>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</si>
  <si>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</si>
  <si>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</si>
  <si>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</si>
  <si>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</si>
  <si>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</si>
  <si>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</si>
  <si>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</si>
  <si>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</si>
  <si>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</si>
  <si>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</si>
  <si>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</si>
  <si>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</si>
  <si>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</si>
  <si>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</si>
  <si>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</si>
  <si>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</si>
  <si>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</si>
  <si>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</si>
  <si>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</si>
  <si>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</si>
  <si>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</si>
  <si>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</si>
  <si>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</si>
  <si>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</si>
  <si>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</si>
  <si>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</si>
  <si>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</si>
  <si>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</si>
  <si>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</si>
  <si>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</si>
  <si>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</si>
  <si>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</si>
  <si>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</si>
  <si>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</si>
  <si>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</si>
  <si>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</si>
  <si>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</si>
  <si>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</si>
  <si>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</si>
  <si>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</si>
  <si>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</si>
  <si>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</si>
  <si>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</si>
  <si>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</si>
  <si>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</si>
  <si>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</si>
  <si>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</si>
  <si>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</si>
  <si>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</si>
  <si>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</si>
  <si>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</si>
  <si>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</si>
  <si>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</si>
  <si>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</si>
  <si>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</si>
  <si>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</si>
  <si>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</si>
  <si>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</si>
  <si>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</si>
  <si>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</si>
  <si>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</si>
  <si>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</si>
  <si>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</si>
  <si>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</si>
  <si>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</si>
  <si>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</si>
  <si>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</si>
  <si>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</si>
  <si>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</si>
  <si>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</si>
  <si>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</si>
  <si>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</si>
  <si>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</si>
  <si>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</si>
  <si>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</si>
  <si>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</si>
  <si>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</si>
  <si>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</si>
  <si>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</si>
  <si>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</si>
  <si>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</si>
  <si>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</si>
  <si>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</si>
  <si>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</si>
  <si>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</si>
  <si>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</si>
  <si>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</si>
  <si>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</si>
  <si>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</si>
  <si>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</si>
  <si>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</si>
  <si>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</si>
  <si>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</si>
  <si>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</si>
  <si>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</si>
  <si>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</si>
  <si>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</si>
  <si>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</si>
  <si>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</si>
  <si>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</si>
  <si>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</si>
  <si>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</si>
  <si>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</si>
  <si>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</si>
  <si>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</si>
  <si>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</si>
  <si>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</si>
  <si>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</si>
  <si>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</si>
  <si>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</si>
  <si>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</si>
  <si>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</si>
  <si>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</si>
  <si>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</si>
  <si>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</si>
  <si>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</si>
  <si>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</si>
  <si>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</si>
  <si>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</si>
  <si>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</si>
  <si>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</si>
  <si>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</si>
  <si>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</si>
  <si>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</si>
  <si>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</si>
  <si>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</si>
  <si>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</si>
  <si>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</si>
  <si>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</si>
  <si>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</si>
  <si>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</si>
  <si>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</si>
  <si>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</si>
  <si>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</si>
  <si>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</si>
  <si>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</si>
  <si>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</si>
  <si>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</si>
  <si>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</si>
  <si>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</si>
  <si>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</si>
  <si>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</si>
  <si>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</si>
  <si>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</si>
  <si>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</si>
  <si>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</si>
  <si>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</si>
  <si>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</si>
  <si>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</si>
  <si>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</si>
  <si>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</si>
  <si>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</si>
  <si>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</si>
  <si>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</si>
  <si>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</si>
  <si>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</si>
  <si>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</si>
  <si>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</si>
  <si>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</si>
  <si>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</si>
  <si>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</si>
  <si>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</si>
  <si>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</si>
  <si>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</si>
  <si>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</si>
  <si>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</si>
  <si>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</si>
  <si>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</si>
  <si>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</si>
  <si>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</si>
  <si>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</si>
  <si>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</si>
  <si>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</si>
  <si>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</si>
  <si>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</si>
  <si>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</si>
  <si>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</si>
  <si>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</si>
  <si>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</si>
  <si>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</si>
  <si>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</si>
  <si>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</si>
  <si>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</si>
  <si>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</si>
  <si>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</si>
  <si>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</si>
  <si>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</si>
  <si>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</si>
  <si>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</si>
  <si>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</si>
  <si>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</si>
  <si>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</si>
  <si>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</si>
  <si>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</si>
  <si>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</si>
  <si>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</si>
  <si>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</si>
  <si>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</si>
  <si>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</si>
  <si>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</si>
  <si>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</si>
  <si>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</si>
  <si>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</si>
  <si>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</si>
  <si>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</si>
  <si>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</si>
  <si>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</si>
  <si>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</si>
  <si>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</si>
  <si>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</si>
  <si>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</si>
  <si>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</si>
  <si>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</si>
  <si>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</si>
  <si>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</si>
  <si>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</si>
  <si>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</si>
  <si>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</si>
  <si>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</si>
  <si>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</si>
  <si>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</si>
  <si>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</si>
  <si>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</si>
  <si>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</si>
  <si>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</si>
  <si>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</si>
  <si>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</si>
  <si>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</si>
  <si>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</si>
  <si>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</si>
  <si>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</si>
  <si>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</si>
  <si>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</si>
  <si>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</si>
  <si>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</si>
  <si>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</si>
  <si>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</si>
  <si>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</si>
  <si>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</si>
  <si>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</si>
  <si>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</si>
  <si>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</si>
  <si>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</si>
  <si>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</si>
  <si>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</si>
  <si>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</si>
  <si>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</si>
  <si>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</si>
  <si>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</si>
  <si>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</si>
  <si>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</si>
  <si>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</si>
  <si>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</si>
  <si>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</si>
  <si>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</si>
  <si>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</si>
  <si>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</si>
  <si>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</si>
  <si>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</si>
  <si>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</si>
  <si>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</si>
  <si>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</si>
  <si>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</si>
  <si>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</si>
  <si>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</si>
  <si>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</si>
  <si>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</si>
  <si>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</si>
  <si>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</si>
  <si>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</si>
  <si>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</si>
  <si>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</si>
  <si>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</si>
  <si>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</si>
  <si>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</si>
  <si>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</si>
  <si>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</si>
  <si>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</si>
  <si>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</si>
  <si>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</si>
  <si>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</si>
  <si>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</si>
  <si>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</si>
  <si>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</si>
  <si>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</si>
  <si>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</si>
  <si>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</si>
  <si>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</si>
  <si>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</si>
  <si>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</si>
  <si>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</si>
  <si>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</si>
  <si>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</si>
  <si>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</si>
  <si>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</si>
  <si>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</si>
  <si>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</si>
  <si>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</si>
  <si>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</si>
  <si>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</si>
  <si>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</si>
  <si>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</si>
  <si>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</si>
  <si>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</si>
  <si>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</si>
  <si>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</si>
  <si>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</si>
  <si>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</si>
  <si>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</si>
  <si>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</si>
  <si>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</si>
  <si>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</si>
  <si>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</si>
  <si>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</si>
  <si>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</si>
  <si>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</si>
  <si>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</si>
  <si>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</si>
  <si>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</si>
  <si>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</si>
  <si>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</si>
  <si>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</si>
  <si>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</si>
  <si>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</si>
  <si>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</si>
  <si>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</si>
  <si>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</si>
  <si>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</si>
  <si>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</si>
  <si>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</si>
  <si>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</si>
  <si>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</si>
  <si>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</si>
  <si>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</si>
  <si>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</si>
  <si>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</si>
  <si>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</si>
  <si>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</si>
  <si>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</si>
  <si>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</si>
  <si>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</si>
  <si>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</si>
  <si>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</si>
  <si>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</si>
  <si>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</si>
  <si>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</si>
  <si>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</si>
  <si>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</si>
  <si>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</si>
  <si>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</si>
  <si>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</si>
  <si>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</si>
  <si>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</si>
  <si>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</si>
  <si>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</si>
  <si>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</si>
  <si>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</si>
  <si>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</si>
  <si>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</si>
  <si>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</si>
  <si>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</si>
  <si>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</si>
  <si>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</si>
  <si>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</si>
  <si>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</si>
  <si>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</si>
  <si>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</si>
  <si>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</si>
  <si>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</si>
  <si>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</si>
  <si>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</si>
  <si>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</si>
  <si>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</si>
  <si>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</si>
  <si>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</si>
  <si>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</si>
  <si>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</si>
  <si>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</si>
  <si>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</si>
  <si>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</si>
  <si>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</si>
  <si>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</si>
  <si>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</si>
  <si>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</si>
  <si>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</si>
  <si>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</si>
  <si>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</si>
  <si>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</si>
  <si>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</si>
  <si>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</si>
  <si>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</si>
  <si>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</si>
  <si>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</si>
  <si>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</si>
  <si>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</si>
  <si>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</si>
  <si>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</si>
  <si>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</si>
  <si>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</si>
  <si>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</si>
  <si>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</si>
  <si>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</si>
  <si>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</si>
  <si>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</si>
  <si>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</si>
  <si>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Daily balance</t>
  </si>
  <si>
    <t>Annual rate</t>
  </si>
  <si>
    <t>1.15%</t>
  </si>
  <si>
    <t>0.60% p.a.</t>
  </si>
  <si>
    <t>0.90%</t>
  </si>
  <si>
    <t>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</si>
</sst>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4" fillId="0" borderId="1" xfId="0" applyFont="1" applyFill="1" applyBorder="1" applyAlignment="1">
      <alignment horizontal="center"/>
    </xf>
    <xf numFmtId="0" fontId="15" fillId="11" borderId="11" xfId="0" applyFont="1" applyFill="1" applyBorder="1"/>
    <xf numFmtId="0" fontId="15" fillId="11" borderId="12" xfId="0" applyFont="1" applyFill="1" applyBorder="1"/>
    <xf numFmtId="0" fontId="15"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40">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14" formatCode="0.00%"/>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2"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1"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4"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17"/>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0"/>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1"/>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1"/>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6"/>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15"/>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14"/>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3"/>
    <tableColumn id="2" xr3:uid="{D2046F38-483B-420D-B944-6BCD7B2B4D92}" uniqueName="2" name="Column2" queryTableFieldId="10" dataDxfId="12"/>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1"/>
    <tableColumn id="3" xr3:uid="{D2622B16-D1C8-4760-8BD0-953D9FAFA8F1}" uniqueName="3" name="Get Started" queryTableFieldId="3" dataDxfId="1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8"/>
    <tableColumn id="2" xr3:uid="{E833CA69-9186-43DA-874F-48DEFE4DA80F}" uniqueName="2" name="Column2" queryTableFieldId="2" dataDxfId="7"/>
    <tableColumn id="3" xr3:uid="{B093F79F-8E4B-49FF-A371-4731884C2E1B}" uniqueName="3" name="Column3" queryTableFieldId="3" dataDxfId="6"/>
    <tableColumn id="4" xr3:uid="{785FF59B-0966-4865-9D07-9033DADA44AF}" uniqueName="4" name="Column4" queryTableFieldId="4" dataDxfId="5"/>
    <tableColumn id="5" xr3:uid="{C61AE777-3A15-4C02-9B1F-136299A5FAC7}" uniqueName="5" name="Column5" queryTableFieldId="5" dataDxfId="4"/>
    <tableColumn id="6" xr3:uid="{FC09C788-CCE1-4C6F-81DC-01AAACC99B7F}" uniqueName="6" name="Column6" queryTableFieldId="6" dataDxf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2"/>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0" dataCellStyle="Percent">
  <autoFilter ref="B1:B2" xr:uid="{C980BFDA-0405-401E-BCEB-26B225E26F58}"/>
  <tableColumns count="1">
    <tableColumn id="1" xr3:uid="{08B47E43-1968-41DF-9C1B-EC6B8CD9E754}" uniqueName="1" name="Text" queryTableFieldId="3"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9"/>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23"/>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29"/>
    <tableColumn id="2" xr3:uid="{5B7C4811-4C53-41A6-96BF-5389107C4D47}" uniqueName="2" name="Currency" queryTableFieldId="2" dataDxfId="28"/>
    <tableColumn id="3" xr3:uid="{734665F7-5DB2-40AD-BD3B-98FD29CBE168}" uniqueName="3" name="Minimum1" queryTableFieldId="3"/>
    <tableColumn id="4" xr3:uid="{BDB4B9A1-7155-498E-B2E8-661728BDEEFB}" uniqueName="4" name="Maximum" queryTableFieldId="4" dataDxfId="2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6"/>
    <tableColumn id="4" xr3:uid="{5AABEE2E-2BF3-4006-B415-E5BEAE632E5A}" uniqueName="4" name="Interest Rate" queryTableFieldId="4" dataDxfId="2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22"/>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0"/>
    <tableColumn id="2" xr3:uid="{1C664E64-3B1D-4B6F-B067-F394E342CE45}" uniqueName="2" name="Interest Rate" queryTableFieldId="2" dataDxfId="19"/>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24">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18"/>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tabSelected="1"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7"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8" t="s">
        <v>261</v>
      </c>
      <c r="F3" s="79"/>
      <c r="G3" s="79"/>
      <c r="H3" s="79"/>
      <c r="I3" s="80"/>
    </row>
    <row r="4" spans="2:9" x14ac:dyDescent="0.25">
      <c r="B4" s="21"/>
      <c r="E4" s="21" t="s">
        <v>262</v>
      </c>
      <c r="F4" s="21" t="s">
        <v>263</v>
      </c>
      <c r="G4" s="21" t="s">
        <v>264</v>
      </c>
      <c r="H4" s="21" t="s">
        <v>330</v>
      </c>
      <c r="I4" s="21" t="s">
        <v>265</v>
      </c>
    </row>
    <row r="5" spans="2:9" x14ac:dyDescent="0.25">
      <c r="B5" s="31" t="s">
        <v>177</v>
      </c>
      <c r="E5" s="37">
        <v>0</v>
      </c>
      <c r="F5" s="19" t="s">
        <v>318</v>
      </c>
      <c r="G5" s="19" t="s">
        <v>266</v>
      </c>
      <c r="H5" s="19">
        <v>13</v>
      </c>
    </row>
    <row r="6" spans="2:9" x14ac:dyDescent="0.25">
      <c r="B6" s="32"/>
      <c r="E6" s="37">
        <v>1</v>
      </c>
      <c r="F6" s="19" t="s">
        <v>367</v>
      </c>
      <c r="G6" s="19" t="s">
        <v>266</v>
      </c>
      <c r="H6" s="19">
        <v>1</v>
      </c>
    </row>
    <row r="7" spans="2:9" x14ac:dyDescent="0.25">
      <c r="B7" s="33"/>
      <c r="E7" s="37">
        <v>2</v>
      </c>
      <c r="F7" s="19" t="s">
        <v>435</v>
      </c>
      <c r="G7" s="19" t="s">
        <v>266</v>
      </c>
      <c r="H7" s="19">
        <v>1</v>
      </c>
    </row>
    <row r="8" spans="2:9" x14ac:dyDescent="0.25">
      <c r="B8" s="34"/>
      <c r="E8" s="37">
        <v>3</v>
      </c>
      <c r="F8" s="19" t="s">
        <v>320</v>
      </c>
      <c r="G8" s="19" t="s">
        <v>266</v>
      </c>
      <c r="H8" s="19">
        <v>9</v>
      </c>
    </row>
    <row r="9" spans="2:9" x14ac:dyDescent="0.25">
      <c r="B9" s="35"/>
      <c r="E9" s="37">
        <v>4</v>
      </c>
      <c r="F9" s="19" t="s">
        <v>436</v>
      </c>
      <c r="G9" s="19" t="s">
        <v>266</v>
      </c>
      <c r="H9" s="19">
        <v>7</v>
      </c>
    </row>
    <row r="10" spans="2:9" x14ac:dyDescent="0.25">
      <c r="B10" s="31" t="s">
        <v>178</v>
      </c>
      <c r="E10" s="37">
        <v>5</v>
      </c>
      <c r="F10" s="19" t="s">
        <v>395</v>
      </c>
      <c r="G10" s="19" t="s">
        <v>266</v>
      </c>
      <c r="H10" s="19">
        <v>10</v>
      </c>
    </row>
    <row r="11" spans="2:9" x14ac:dyDescent="0.25">
      <c r="B11" s="32"/>
      <c r="E11" s="37">
        <v>6</v>
      </c>
      <c r="F11" s="19" t="s">
        <v>454</v>
      </c>
      <c r="G11" s="19" t="s">
        <v>266</v>
      </c>
      <c r="H11" s="19">
        <v>3</v>
      </c>
    </row>
    <row r="12" spans="2:9" x14ac:dyDescent="0.25">
      <c r="B12" s="33"/>
      <c r="E12" s="37">
        <v>7</v>
      </c>
      <c r="F12" s="19" t="s">
        <v>455</v>
      </c>
      <c r="G12" s="19" t="s">
        <v>266</v>
      </c>
      <c r="H12" s="19">
        <v>2</v>
      </c>
    </row>
    <row r="13" spans="2:9" x14ac:dyDescent="0.25">
      <c r="B13" s="33"/>
      <c r="E13" s="37">
        <v>8</v>
      </c>
      <c r="F13" s="19" t="s">
        <v>396</v>
      </c>
      <c r="G13" s="19" t="s">
        <v>266</v>
      </c>
      <c r="H13" s="19">
        <v>5</v>
      </c>
    </row>
    <row r="14" spans="2:9" x14ac:dyDescent="0.25">
      <c r="B14" s="33"/>
      <c r="E14" s="37">
        <v>9</v>
      </c>
      <c r="F14" s="19" t="s">
        <v>397</v>
      </c>
      <c r="G14" s="19" t="s">
        <v>266</v>
      </c>
      <c r="H14" s="19">
        <v>6</v>
      </c>
    </row>
    <row r="15" spans="2:9" x14ac:dyDescent="0.25">
      <c r="B15" s="33"/>
      <c r="E15" s="37">
        <v>10</v>
      </c>
      <c r="F15" s="19" t="s">
        <v>398</v>
      </c>
      <c r="G15" s="19" t="s">
        <v>266</v>
      </c>
      <c r="H15" s="19">
        <v>15</v>
      </c>
    </row>
    <row r="16" spans="2:9" x14ac:dyDescent="0.25">
      <c r="B16" s="33"/>
      <c r="E16" s="37">
        <v>11</v>
      </c>
      <c r="F16" s="19" t="s">
        <v>496</v>
      </c>
      <c r="G16" s="19" t="s">
        <v>266</v>
      </c>
      <c r="H16" s="19">
        <v>16</v>
      </c>
    </row>
    <row r="17" spans="2:9" x14ac:dyDescent="0.25">
      <c r="B17" s="35"/>
      <c r="E17" s="37">
        <v>12</v>
      </c>
      <c r="F17" s="19" t="s">
        <v>497</v>
      </c>
      <c r="G17" s="19" t="s">
        <v>266</v>
      </c>
      <c r="H17" s="19">
        <v>13</v>
      </c>
    </row>
    <row r="18" spans="2:9" x14ac:dyDescent="0.25">
      <c r="B18" s="31" t="s">
        <v>179</v>
      </c>
      <c r="E18" s="37">
        <v>13</v>
      </c>
      <c r="F18" s="19" t="s">
        <v>498</v>
      </c>
      <c r="G18" s="19" t="s">
        <v>266</v>
      </c>
      <c r="H18" s="19">
        <v>10</v>
      </c>
    </row>
    <row r="19" spans="2:9" x14ac:dyDescent="0.25">
      <c r="B19" s="32"/>
      <c r="E19" s="37">
        <v>14</v>
      </c>
      <c r="F19" s="19" t="s">
        <v>499</v>
      </c>
      <c r="G19" s="19" t="s">
        <v>266</v>
      </c>
      <c r="H19" s="19">
        <v>100</v>
      </c>
    </row>
    <row r="20" spans="2:9" x14ac:dyDescent="0.25">
      <c r="B20" s="33"/>
      <c r="E20" s="37">
        <v>15</v>
      </c>
      <c r="F20" s="19" t="s">
        <v>319</v>
      </c>
      <c r="G20" s="19" t="s">
        <v>266</v>
      </c>
      <c r="H20" s="19">
        <v>12</v>
      </c>
    </row>
    <row r="21" spans="2:9" x14ac:dyDescent="0.25">
      <c r="B21" s="33"/>
      <c r="E21" s="37">
        <v>16</v>
      </c>
      <c r="F21" s="19" t="s">
        <v>267</v>
      </c>
      <c r="G21" s="19" t="s">
        <v>266</v>
      </c>
      <c r="H21" s="19">
        <v>13</v>
      </c>
    </row>
    <row r="22" spans="2:9" x14ac:dyDescent="0.25">
      <c r="B22" s="33"/>
      <c r="E22" s="37">
        <v>17</v>
      </c>
      <c r="F22" s="19" t="s">
        <v>453</v>
      </c>
      <c r="G22" s="19" t="s">
        <v>266</v>
      </c>
      <c r="H22" s="19">
        <v>62</v>
      </c>
    </row>
    <row r="23" spans="2:9" x14ac:dyDescent="0.25">
      <c r="B23" s="34"/>
      <c r="E23" s="37">
        <v>18</v>
      </c>
      <c r="F23" s="19" t="s">
        <v>391</v>
      </c>
      <c r="G23" s="19" t="s">
        <v>266</v>
      </c>
      <c r="H23" s="19">
        <v>6</v>
      </c>
    </row>
    <row r="24" spans="2:9" x14ac:dyDescent="0.25">
      <c r="B24" s="36"/>
      <c r="E24" s="37">
        <v>19</v>
      </c>
      <c r="F24" s="19" t="s">
        <v>390</v>
      </c>
      <c r="G24" s="19" t="s">
        <v>500</v>
      </c>
      <c r="H24" s="19">
        <v>101</v>
      </c>
      <c r="I24" s="19" t="s">
        <v>501</v>
      </c>
    </row>
    <row r="25" spans="2:9" x14ac:dyDescent="0.25">
      <c r="E25" s="37">
        <v>20</v>
      </c>
      <c r="F25" s="19" t="s">
        <v>437</v>
      </c>
      <c r="G25" s="19" t="s">
        <v>500</v>
      </c>
      <c r="H25" s="19">
        <v>100</v>
      </c>
      <c r="I25" s="19" t="s">
        <v>502</v>
      </c>
    </row>
    <row r="26" spans="2:9" x14ac:dyDescent="0.25">
      <c r="E26" s="37">
        <v>21</v>
      </c>
      <c r="F26" s="19" t="s">
        <v>415</v>
      </c>
      <c r="G26" s="19" t="s">
        <v>266</v>
      </c>
      <c r="H26" s="19">
        <v>1</v>
      </c>
    </row>
    <row r="27" spans="2:9" x14ac:dyDescent="0.25">
      <c r="E27" s="37">
        <v>22</v>
      </c>
      <c r="F27" s="19" t="s">
        <v>394</v>
      </c>
      <c r="G27" s="19" t="s">
        <v>500</v>
      </c>
      <c r="H27" s="19">
        <v>100</v>
      </c>
      <c r="I27" s="19" t="s">
        <v>501</v>
      </c>
    </row>
    <row r="28" spans="2:9" x14ac:dyDescent="0.25">
      <c r="E28" s="37">
        <v>23</v>
      </c>
      <c r="F28" s="19" t="s">
        <v>438</v>
      </c>
      <c r="G28" s="19" t="s">
        <v>266</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C1" zoomScale="85" zoomScaleNormal="85" workbookViewId="0">
      <selection activeCell="Q11" sqref="Q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5" x14ac:dyDescent="0.35">
      <c r="A2" s="3"/>
      <c r="B2" s="72" t="s">
        <v>450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5" t="s">
        <v>429</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281</v>
      </c>
      <c r="R9" s="48" t="s">
        <v>6</v>
      </c>
      <c r="S9" s="48" t="s">
        <v>342</v>
      </c>
      <c r="T9" s="48" t="s">
        <v>7</v>
      </c>
      <c r="U9" s="48" t="s">
        <v>8</v>
      </c>
      <c r="V9" s="48" t="s">
        <v>9</v>
      </c>
      <c r="W9" s="48" t="s">
        <v>10</v>
      </c>
      <c r="X9" s="48" t="s">
        <v>13</v>
      </c>
      <c r="Y9" s="49" t="s">
        <v>14</v>
      </c>
    </row>
    <row r="10" spans="1:28" ht="51.75" x14ac:dyDescent="0.25">
      <c r="A10" s="50"/>
      <c r="B10" s="51" t="s">
        <v>15</v>
      </c>
      <c r="C10" s="51" t="s">
        <v>16</v>
      </c>
      <c r="D10" s="51" t="s">
        <v>17</v>
      </c>
      <c r="E10" s="51" t="s">
        <v>18</v>
      </c>
      <c r="F10" s="51" t="s">
        <v>19</v>
      </c>
      <c r="G10" s="51" t="s">
        <v>20</v>
      </c>
      <c r="H10" s="51" t="s">
        <v>432</v>
      </c>
      <c r="I10" s="51" t="s">
        <v>333</v>
      </c>
      <c r="J10" s="52" t="s">
        <v>434</v>
      </c>
      <c r="K10" s="51" t="s">
        <v>334</v>
      </c>
      <c r="L10" s="51" t="s">
        <v>335</v>
      </c>
      <c r="M10" s="51" t="s">
        <v>21</v>
      </c>
      <c r="N10" s="51" t="s">
        <v>336</v>
      </c>
      <c r="O10" s="51" t="s">
        <v>337</v>
      </c>
      <c r="P10" s="51" t="s">
        <v>22</v>
      </c>
      <c r="Q10" s="51" t="s">
        <v>338</v>
      </c>
      <c r="R10" s="51" t="s">
        <v>19</v>
      </c>
      <c r="S10" s="51" t="s">
        <v>339</v>
      </c>
      <c r="T10" s="51" t="s">
        <v>23</v>
      </c>
      <c r="U10" s="51" t="s">
        <v>24</v>
      </c>
      <c r="V10" s="51" t="s">
        <v>433</v>
      </c>
      <c r="W10" s="51" t="s">
        <v>25</v>
      </c>
      <c r="X10" s="51" t="s">
        <v>27</v>
      </c>
      <c r="Y10" s="52" t="s">
        <v>28</v>
      </c>
    </row>
    <row r="11" spans="1:28" x14ac:dyDescent="0.25">
      <c r="A11" s="44" t="s">
        <v>356</v>
      </c>
      <c r="B11" s="44">
        <f>INDEX(CIBC_rates!$B$2:$E$3,MATCH(VALUE(LEFT(A11,FIND(" ",A11)-1)),CIBC_rates!$E$2:$E$3,1),2)*100</f>
        <v>1</v>
      </c>
      <c r="C11" s="43">
        <f>INDEX(CIBC_rates!$B$4:$E$5,MATCH(VALUE(LEFT(A11,FIND(" ",A11)-1)),CIBC_rates!$E$4:$E$5,1),2)*100</f>
        <v>0.1</v>
      </c>
      <c r="D11" s="43">
        <f>INDEX(CIBC_rates!$B$6:$E$6,MATCH(VALUE(LEFT(A11,FIND(" ",A11)-1)),CIBC_rates!$E$6:$E$6,1),2)*100</f>
        <v>0.05</v>
      </c>
      <c r="E11" s="43">
        <f>INDEX(TD_rates!$B$4:$E$9,MATCH(VALUE(LEFT(A11,FIND(" ",A11)-1)),TD_rates!$E$4:$E$9,1),2)*100</f>
        <v>0.05</v>
      </c>
      <c r="F11" s="42">
        <f>INDEX(TD_rates!$B$11:$E$16,MATCH(VALUE(LEFT(A11,FIND(" ",A11)-1)),TD_rates!$E$11:$E$16,1),2)*100</f>
        <v>0.3</v>
      </c>
      <c r="G11" s="44">
        <f>INDEX(TD_rates!$B$18:$E$23,MATCH(VALUE(LEFT(A11,FIND(" ",A11)-1)),TD_rates!$E$18:$E$23,1),2)*100</f>
        <v>1</v>
      </c>
      <c r="H11" s="42">
        <f>INDEX(BMO_rates!$B$2:$E$4,MATCH(VALUE(LEFT(A11,FIND(" ",A11)-1)),BMO_rates!$E$2:$E$4,1),2)*100</f>
        <v>0.2</v>
      </c>
      <c r="I11" s="44">
        <f>INDEX(BMO_rates!$B$5:$E$6,MATCH(VALUE(LEFT(A11,FIND(" ",A11)-1)),BMO_rates!$E$5:$E$6,1),2)*100</f>
        <v>0.8</v>
      </c>
      <c r="J11" s="42">
        <f>INDEX(BMO_rates!$B$7:$E$8,MATCH(VALUE(LEFT(A11,FIND(" ",A11)-1)),BMO_rates!$E$7:$E$8,1),2)*100</f>
        <v>0.05</v>
      </c>
      <c r="K11" s="42" t="str">
        <f>(BNS_Rates!$D$36)*100 &amp; " + " &amp; (BNS_Rates!$E$35)*100 &amp; ", "&amp; (BNS_Rates!$E$34)*100 &amp; ", "&amp; (BNS_Rates!$E$33)*100 &amp; ", "&amp; (BNS_Rates!$E$32)*100</f>
        <v>1 + 0.5, 0.6, 0.8, 1</v>
      </c>
      <c r="L11" s="44">
        <f>INDEX(BNS_Rates!$B$28:$G$29,MATCH(VALUE(LEFT(A11,FIND(" ",A11)-1)),BNS_Rates!$G$28:$G$29,1),2)*100</f>
        <v>0.05</v>
      </c>
      <c r="M11" s="44">
        <f>INDEX(BNS_Rates!$B$25:$G$27,MATCH(VALUE(LEFT(A11,FIND(" ",A11)-1)),BNS_Rates!$G$25:$G$27,1),2)*100</f>
        <v>1.0999999999999999</v>
      </c>
      <c r="N11" s="44" t="str">
        <f>INDEX(RBC_Rates!$A$168:$E$168,MATCH(VALUE(LEFT(A11,FIND(" ",A11)-1)),RBC_Rates!$E$168:$E$168,1),3)</f>
        <v>1.000</v>
      </c>
      <c r="O11" s="44" t="str">
        <f>INDEX(RBC_Rates!$A$160:$E$167,MATCH(VALUE(LEFT(A11,FIND(" ",A11)-1)),RBC_Rates!$E$160:$E$167,1),3)</f>
        <v>0.150 P</v>
      </c>
      <c r="P11" s="44" t="str">
        <f>INDEX(RBC_Rates!$A$156:$E$159,MATCH(VALUE(LEFT(A11,FIND(" ",A11)-1)),RBC_Rates!$E$156:$E$159,1),3)</f>
        <v>0.010 P</v>
      </c>
      <c r="Q11" s="59">
        <v>1.1000000000000001</v>
      </c>
      <c r="R11" s="8">
        <f>(Simplii_rates!$C$11)*100</f>
        <v>1.0999999999999999</v>
      </c>
      <c r="S11" s="43">
        <f>LEFT((ICICI_rates!$B$3),5)*100</f>
        <v>1.6</v>
      </c>
      <c r="T11" s="43">
        <f>(NBC_rates!$C$28)*100</f>
        <v>1</v>
      </c>
      <c r="U11" s="44">
        <f>(Manulife_rates!$C$7)*100</f>
        <v>1.2</v>
      </c>
      <c r="V11" s="42">
        <f>INDEX(HSBC_rates!$B$2:$I$5,MATCH(VALUE(LEFT(A11,FIND(" ",A11)-1)),HSBC_rates!$I$2:$I$5,1),2)*100</f>
        <v>1.05</v>
      </c>
      <c r="W11" s="42">
        <f>(CT_rates!$B$2)*100</f>
        <v>1.5</v>
      </c>
      <c r="X11" s="44">
        <f>(Meridian_rates!$A$2)*100</f>
        <v>1.3</v>
      </c>
      <c r="Y11" s="8">
        <f>(EQ_rates!$B$2)*100</f>
        <v>2.2999999999999998</v>
      </c>
    </row>
    <row r="12" spans="1:28" x14ac:dyDescent="0.25">
      <c r="A12" s="42" t="s">
        <v>357</v>
      </c>
      <c r="B12" s="42">
        <f>INDEX(CIBC_rates!$B$2:$E$3,MATCH(VALUE(LEFT(A12,FIND(" ",A12)-1)),CIBC_rates!$E$2:$E$3,1),2)*100</f>
        <v>1</v>
      </c>
      <c r="C12" s="43">
        <f>INDEX(CIBC_rates!$B$4:$E$5,MATCH(VALUE(LEFT(A12,FIND(" ",A12)-1)),CIBC_rates!$E$4:$E$5,1),2)*100</f>
        <v>0.1</v>
      </c>
      <c r="D12" s="43">
        <f>INDEX(CIBC_rates!$B$6:$E$6,MATCH(VALUE(LEFT(A12,FIND(" ",A12)-1)),CIBC_rates!$E$6:$E$6,1),2)*100</f>
        <v>0.05</v>
      </c>
      <c r="E12" s="43">
        <f>INDEX(TD_rates!$B$4:$E$9,MATCH(VALUE(LEFT(A12,FIND(" ",A12)-1)),TD_rates!$E$4:$E$9,1),2)*100</f>
        <v>0.05</v>
      </c>
      <c r="F12" s="42">
        <f>INDEX(TD_rates!$B$11:$E$16,MATCH(VALUE(LEFT(A12,FIND(" ",A12)-1)),TD_rates!$E$11:$E$16,1),2)*100</f>
        <v>0.3</v>
      </c>
      <c r="G12" s="42">
        <f>INDEX(TD_rates!$B$18:$E$23,MATCH(VALUE(LEFT(A12,FIND(" ",A12)-1)),TD_rates!$E$18:$E$23,1),2)*100</f>
        <v>1</v>
      </c>
      <c r="H12" s="42">
        <f>INDEX(BMO_rates!$B$2:$E$4,MATCH(VALUE(LEFT(A12,FIND(" ",A12)-1)),BMO_rates!$E$2:$E$4,1),2)*100</f>
        <v>1.6</v>
      </c>
      <c r="I12" s="44">
        <f>INDEX(BMO_rates!$B$5:$E$6,MATCH(VALUE(LEFT(A12,FIND(" ",A12)-1)),BMO_rates!$E$5:$E$6,1),2)*100</f>
        <v>0.8</v>
      </c>
      <c r="J12" s="42">
        <f>INDEX(BMO_rates!$B$7:$E$8,MATCH(VALUE(LEFT(A12,FIND(" ",A12)-1)),BMO_rates!$E$7:$E$8,1),2)*100</f>
        <v>0.05</v>
      </c>
      <c r="K12" s="42" t="str">
        <f>(BNS_Rates!$D$36)*100 &amp; " + " &amp; (BNS_Rates!$E$35)*100 &amp; ", "&amp; (BNS_Rates!$E$34)*100 &amp; ", "&amp; (BNS_Rates!$E$33)*100 &amp; ", "&amp; (BNS_Rates!$E$32)*100</f>
        <v>1 + 0.5, 0.6, 0.8, 1</v>
      </c>
      <c r="L12" s="44">
        <f>INDEX(BNS_Rates!$B$28:$G$29,MATCH(VALUE(LEFT(A12,FIND(" ",A12)-1)),BNS_Rates!$G$28:$G$29,1),2)*100</f>
        <v>0.05</v>
      </c>
      <c r="M12" s="44">
        <f>INDEX(BNS_Rates!$B$25:$G$27,MATCH(VALUE(LEFT(A12,FIND(" ",A12)-1)),BNS_Rates!$G$25:$G$27,1),2)*100</f>
        <v>1</v>
      </c>
      <c r="N12" s="44" t="str">
        <f>INDEX(RBC_Rates!$A$168:$E$168,MATCH(VALUE(LEFT(A12,FIND(" ",A12)-1)),RBC_Rates!$E$168:$E$168,1),3)</f>
        <v>1.000</v>
      </c>
      <c r="O12" s="44" t="str">
        <f>INDEX(RBC_Rates!$A$160:$E$167,MATCH(VALUE(LEFT(A12,FIND(" ",A12)-1)),RBC_Rates!$E$160:$E$167,1),3)</f>
        <v>0.150 P</v>
      </c>
      <c r="P12" s="44" t="str">
        <f>INDEX(RBC_Rates!$A$156:$E$159,MATCH(VALUE(LEFT(A12,FIND(" ",A12)-1)),RBC_Rates!$E$156:$E$159,1),3)</f>
        <v>0.010 P</v>
      </c>
      <c r="Q12" s="59">
        <f>$Q$11</f>
        <v>1.1000000000000001</v>
      </c>
      <c r="R12" s="8">
        <f>(Simplii_rates!$C$11)*100</f>
        <v>1.0999999999999999</v>
      </c>
      <c r="S12" s="43">
        <f>LEFT((ICICI_rates!$B$3),5)*100</f>
        <v>1.6</v>
      </c>
      <c r="T12" s="43">
        <f>(NBC_rates!$C$28)*100</f>
        <v>1</v>
      </c>
      <c r="U12" s="44">
        <f>(Manulife_rates!$C$7)*100</f>
        <v>1.2</v>
      </c>
      <c r="V12" s="42">
        <f>INDEX(HSBC_rates!$B$2:$I$5,MATCH(VALUE(LEFT(A12,FIND(" ",A12)-1)),HSBC_rates!$I$2:$I$5,1),2)*100</f>
        <v>1.05</v>
      </c>
      <c r="W12" s="42">
        <f>(CT_rates!$B$2)*100</f>
        <v>1.5</v>
      </c>
      <c r="X12" s="44">
        <f>(Meridian_rates!$A$2)*100</f>
        <v>1.3</v>
      </c>
      <c r="Y12" s="8">
        <f>(EQ_rates!$B$2)*100</f>
        <v>2.2999999999999998</v>
      </c>
    </row>
    <row r="13" spans="1:28" x14ac:dyDescent="0.25">
      <c r="A13" s="42" t="s">
        <v>358</v>
      </c>
      <c r="B13" s="42">
        <f>INDEX(CIBC_rates!$B$2:$E$3,MATCH(VALUE(LEFT(A13,FIND(" ",A13)-1)),CIBC_rates!$E$2:$E$3,1),2)*100</f>
        <v>1</v>
      </c>
      <c r="C13" s="43">
        <f>INDEX(CIBC_rates!$B$4:$E$5,MATCH(VALUE(LEFT(A13,FIND(" ",A13)-1)),CIBC_rates!$E$4:$E$5,1),2)*100</f>
        <v>0.1</v>
      </c>
      <c r="D13" s="43">
        <f>INDEX(CIBC_rates!$B$6:$E$6,MATCH(VALUE(LEFT(A13,FIND(" ",A13)-1)),CIBC_rates!$E$6:$E$6,1),2)*100</f>
        <v>0.05</v>
      </c>
      <c r="E13" s="43">
        <f>INDEX(TD_rates!$B$4:$E$9,MATCH(VALUE(LEFT(A13,FIND(" ",A13)-1)),TD_rates!$E$4:$E$9,1),2)*100</f>
        <v>0.05</v>
      </c>
      <c r="F13" s="42">
        <f>INDEX(TD_rates!$B$11:$E$16,MATCH(VALUE(LEFT(A13,FIND(" ",A13)-1)),TD_rates!$E$11:$E$16,1),2)*100</f>
        <v>0.3</v>
      </c>
      <c r="G13" s="42">
        <f>INDEX(TD_rates!$B$18:$E$23,MATCH(VALUE(LEFT(A13,FIND(" ",A13)-1)),TD_rates!$E$18:$E$23,1),2)*100</f>
        <v>1</v>
      </c>
      <c r="H13" s="42">
        <f>INDEX(BMO_rates!$B$2:$E$4,MATCH(VALUE(LEFT(A13,FIND(" ",A13)-1)),BMO_rates!$E$2:$E$4,1),2)*100</f>
        <v>1.6</v>
      </c>
      <c r="I13" s="44">
        <f>INDEX(BMO_rates!$B$5:$E$6,MATCH(VALUE(LEFT(A13,FIND(" ",A13)-1)),BMO_rates!$E$5:$E$6,1),2)*100</f>
        <v>0.8</v>
      </c>
      <c r="J13" s="42">
        <f>INDEX(BMO_rates!$B$7:$E$8,MATCH(VALUE(LEFT(A13,FIND(" ",A13)-1)),BMO_rates!$E$7:$E$8,1),2)*100</f>
        <v>0.05</v>
      </c>
      <c r="K13" s="42" t="str">
        <f>(BNS_Rates!$D$36)*100 &amp; " + " &amp; (BNS_Rates!$E$35)*100 &amp; ", "&amp; (BNS_Rates!$E$34)*100 &amp; ", "&amp; (BNS_Rates!$E$33)*100 &amp; ", "&amp; (BNS_Rates!$E$32)*100</f>
        <v>1 + 0.5, 0.6, 0.8, 1</v>
      </c>
      <c r="L13" s="44">
        <f>INDEX(BNS_Rates!$B$28:$G$29,MATCH(VALUE(LEFT(A13,FIND(" ",A13)-1)),BNS_Rates!$G$28:$G$29,1),2)*100</f>
        <v>0.05</v>
      </c>
      <c r="M13" s="44">
        <f>INDEX(BNS_Rates!$B$25:$G$27,MATCH(VALUE(LEFT(A13,FIND(" ",A13)-1)),BNS_Rates!$G$25:$G$27,1),2)*100</f>
        <v>1</v>
      </c>
      <c r="N13" s="44" t="str">
        <f>INDEX(RBC_Rates!$A$168:$E$168,MATCH(VALUE(LEFT(A13,FIND(" ",A13)-1)),RBC_Rates!$E$168:$E$168,1),3)</f>
        <v>1.000</v>
      </c>
      <c r="O13" s="44" t="str">
        <f>INDEX(RBC_Rates!$A$160:$E$167,MATCH(VALUE(LEFT(A13,FIND(" ",A13)-1)),RBC_Rates!$E$160:$E$167,1),3)</f>
        <v>0.050 P</v>
      </c>
      <c r="P13" s="44" t="str">
        <f>INDEX(RBC_Rates!$A$156:$E$159,MATCH(VALUE(LEFT(A13,FIND(" ",A13)-1)),RBC_Rates!$E$156:$E$159,1),3)</f>
        <v>0.010 P</v>
      </c>
      <c r="Q13" s="59">
        <f t="shared" ref="Q13:Q21" si="0">$Q$11</f>
        <v>1.1000000000000001</v>
      </c>
      <c r="R13" s="8">
        <f>(Simplii_rates!$C$11)*100</f>
        <v>1.0999999999999999</v>
      </c>
      <c r="S13" s="43">
        <f>LEFT((ICICI_rates!$B$3),5)*100</f>
        <v>1.6</v>
      </c>
      <c r="T13" s="43">
        <f>(NBC_rates!$C$28)*100</f>
        <v>1</v>
      </c>
      <c r="U13" s="44">
        <f>(Manulife_rates!$C$7)*100</f>
        <v>1.2</v>
      </c>
      <c r="V13" s="42">
        <f>INDEX(HSBC_rates!$B$2:$I$5,MATCH(VALUE(LEFT(A13,FIND(" ",A13)-1)),HSBC_rates!$I$2:$I$5,1),2)*100</f>
        <v>1.05</v>
      </c>
      <c r="W13" s="42">
        <f>(CT_rates!$B$2)*100</f>
        <v>1.5</v>
      </c>
      <c r="X13" s="44">
        <f>(Meridian_rates!$A$2)*100</f>
        <v>1.3</v>
      </c>
      <c r="Y13" s="8">
        <f>(EQ_rates!$B$2)*100</f>
        <v>2.2999999999999998</v>
      </c>
    </row>
    <row r="14" spans="1:28" x14ac:dyDescent="0.25">
      <c r="A14" s="42" t="s">
        <v>359</v>
      </c>
      <c r="B14" s="42">
        <f>INDEX(CIBC_rates!$B$2:$E$3,MATCH(VALUE(LEFT(A14,FIND(" ",A14)-1)),CIBC_rates!$E$2:$E$3,1),2)*100</f>
        <v>1</v>
      </c>
      <c r="C14" s="43">
        <f>INDEX(CIBC_rates!$B$4:$E$5,MATCH(VALUE(LEFT(A14,FIND(" ",A14)-1)),CIBC_rates!$E$4:$E$5,1),2)*100</f>
        <v>0.1</v>
      </c>
      <c r="D14" s="43">
        <f>INDEX(CIBC_rates!$B$6:$E$6,MATCH(VALUE(LEFT(A14,FIND(" ",A14)-1)),CIBC_rates!$E$6:$E$6,1),2)*100</f>
        <v>0.05</v>
      </c>
      <c r="E14" s="43">
        <f>INDEX(TD_rates!$B$4:$E$9,MATCH(VALUE(LEFT(A14,FIND(" ",A14)-1)),TD_rates!$E$4:$E$9,1),2)*100</f>
        <v>0.05</v>
      </c>
      <c r="F14" s="42">
        <f>INDEX(TD_rates!$B$11:$E$16,MATCH(VALUE(LEFT(A14,FIND(" ",A14)-1)),TD_rates!$E$11:$E$16,1),2)*100</f>
        <v>0.3</v>
      </c>
      <c r="G14" s="42">
        <f>INDEX(TD_rates!$B$18:$E$23,MATCH(VALUE(LEFT(A14,FIND(" ",A14)-1)),TD_rates!$E$18:$E$23,1),2)*100</f>
        <v>1</v>
      </c>
      <c r="H14" s="42">
        <f>INDEX(BMO_rates!$B$2:$E$4,MATCH(VALUE(LEFT(A14,FIND(" ",A14)-1)),BMO_rates!$E$2:$E$4,1),2)*100</f>
        <v>1.6</v>
      </c>
      <c r="I14" s="44">
        <f>INDEX(BMO_rates!$B$5:$E$6,MATCH(VALUE(LEFT(A14,FIND(" ",A14)-1)),BMO_rates!$E$5:$E$6,1),2)*100</f>
        <v>0.8</v>
      </c>
      <c r="J14" s="42">
        <f>INDEX(BMO_rates!$B$7:$E$8,MATCH(VALUE(LEFT(A14,FIND(" ",A14)-1)),BMO_rates!$E$7:$E$8,1),2)*100</f>
        <v>0.05</v>
      </c>
      <c r="K14" s="42" t="str">
        <f>(BNS_Rates!$D$36)*100 &amp; " + " &amp; (BNS_Rates!$E$35)*100 &amp; ", "&amp; (BNS_Rates!$E$34)*100 &amp; ", "&amp; (BNS_Rates!$E$33)*100 &amp; ", "&amp; (BNS_Rates!$E$32)*100</f>
        <v>1 + 0.5, 0.6, 0.8, 1</v>
      </c>
      <c r="L14" s="44">
        <f>INDEX(BNS_Rates!$B$28:$G$29,MATCH(VALUE(LEFT(A14,FIND(" ",A14)-1)),BNS_Rates!$G$28:$G$29,1),2)*100</f>
        <v>0.05</v>
      </c>
      <c r="M14" s="44">
        <f>INDEX(BNS_Rates!$B$25:$G$27,MATCH(VALUE(LEFT(A14,FIND(" ",A14)-1)),BNS_Rates!$G$25:$G$27,1),2)*100</f>
        <v>1</v>
      </c>
      <c r="N14" s="44" t="str">
        <f>INDEX(RBC_Rates!$A$168:$E$168,MATCH(VALUE(LEFT(A14,FIND(" ",A14)-1)),RBC_Rates!$E$168:$E$168,1),3)</f>
        <v>1.000</v>
      </c>
      <c r="O14" s="44" t="str">
        <f>INDEX(RBC_Rates!$A$160:$E$167,MATCH(VALUE(LEFT(A14,FIND(" ",A14)-1)),RBC_Rates!$E$160:$E$167,1),3)</f>
        <v>0.025 P</v>
      </c>
      <c r="P14" s="44" t="str">
        <f>INDEX(RBC_Rates!$A$156:$E$159,MATCH(VALUE(LEFT(A14,FIND(" ",A14)-1)),RBC_Rates!$E$156:$E$159,1),3)</f>
        <v>0.010 P</v>
      </c>
      <c r="Q14" s="59">
        <f t="shared" si="0"/>
        <v>1.1000000000000001</v>
      </c>
      <c r="R14" s="8">
        <f>(Simplii_rates!$C$11)*100</f>
        <v>1.0999999999999999</v>
      </c>
      <c r="S14" s="43">
        <f>LEFT((ICICI_rates!$B$3),5)*100</f>
        <v>1.6</v>
      </c>
      <c r="T14" s="43">
        <f>(NBC_rates!$C$28)*100</f>
        <v>1</v>
      </c>
      <c r="U14" s="44">
        <f>(Manulife_rates!$C$7)*100</f>
        <v>1.2</v>
      </c>
      <c r="V14" s="42">
        <f>INDEX(HSBC_rates!$B$2:$I$5,MATCH(VALUE(LEFT(A14,FIND(" ",A14)-1)),HSBC_rates!$I$2:$I$5,1),2)*100</f>
        <v>1.05</v>
      </c>
      <c r="W14" s="42">
        <f>(CT_rates!$B$2)*100</f>
        <v>1.5</v>
      </c>
      <c r="X14" s="44">
        <f>(Meridian_rates!$A$2)*100</f>
        <v>1.3</v>
      </c>
      <c r="Y14" s="8">
        <f>(EQ_rates!$B$2)*100</f>
        <v>2.2999999999999998</v>
      </c>
    </row>
    <row r="15" spans="1:28" x14ac:dyDescent="0.25">
      <c r="A15" s="42" t="s">
        <v>360</v>
      </c>
      <c r="B15" s="42">
        <f>INDEX(CIBC_rates!$B$2:$E$3,MATCH(VALUE(LEFT(A15,FIND(" ",A15)-1)),CIBC_rates!$E$2:$E$3,1),2)*100</f>
        <v>1</v>
      </c>
      <c r="C15" s="43">
        <f>INDEX(CIBC_rates!$B$4:$E$5,MATCH(VALUE(LEFT(A15,FIND(" ",A15)-1)),CIBC_rates!$E$4:$E$5,1),2)*100</f>
        <v>0.1</v>
      </c>
      <c r="D15" s="43">
        <f>INDEX(CIBC_rates!$B$6:$E$6,MATCH(VALUE(LEFT(A15,FIND(" ",A15)-1)),CIBC_rates!$E$6:$E$6,1),2)*100</f>
        <v>0.05</v>
      </c>
      <c r="E15" s="43">
        <f>INDEX(TD_rates!$B$4:$E$9,MATCH(VALUE(LEFT(A15,FIND(" ",A15)-1)),TD_rates!$E$4:$E$9,1),2)*100</f>
        <v>0.05</v>
      </c>
      <c r="F15" s="42">
        <f>INDEX(TD_rates!$B$11:$E$16,MATCH(VALUE(LEFT(A15,FIND(" ",A15)-1)),TD_rates!$E$11:$E$16,1),2)*100</f>
        <v>0.3</v>
      </c>
      <c r="G15" s="42">
        <f>INDEX(TD_rates!$B$18:$E$23,MATCH(VALUE(LEFT(A15,FIND(" ",A15)-1)),TD_rates!$E$18:$E$23,1),2)*100</f>
        <v>1</v>
      </c>
      <c r="H15" s="42">
        <f>INDEX(BMO_rates!$B$2:$E$4,MATCH(VALUE(LEFT(A15,FIND(" ",A15)-1)),BMO_rates!$E$2:$E$4,1),2)*100</f>
        <v>1.6</v>
      </c>
      <c r="I15" s="44">
        <f>INDEX(BMO_rates!$B$5:$E$6,MATCH(VALUE(LEFT(A15,FIND(" ",A15)-1)),BMO_rates!$E$5:$E$6,1),2)*100</f>
        <v>0.8</v>
      </c>
      <c r="J15" s="42">
        <f>INDEX(BMO_rates!$B$7:$E$8,MATCH(VALUE(LEFT(A15,FIND(" ",A15)-1)),BMO_rates!$E$7:$E$8,1),2)*100</f>
        <v>0.05</v>
      </c>
      <c r="K15" s="42" t="str">
        <f>(BNS_Rates!$D$36)*100 &amp; " + " &amp; (BNS_Rates!$E$35)*100 &amp; ", "&amp; (BNS_Rates!$E$34)*100 &amp; ", "&amp; (BNS_Rates!$E$33)*100 &amp; ", "&amp; (BNS_Rates!$E$32)*100</f>
        <v>1 + 0.5, 0.6, 0.8, 1</v>
      </c>
      <c r="L15" s="44">
        <f>INDEX(BNS_Rates!$B$28:$G$29,MATCH(VALUE(LEFT(A15,FIND(" ",A15)-1)),BNS_Rates!$G$28:$G$29,1),2)*100</f>
        <v>0.05</v>
      </c>
      <c r="M15" s="44">
        <f>INDEX(BNS_Rates!$B$25:$G$27,MATCH(VALUE(LEFT(A15,FIND(" ",A15)-1)),BNS_Rates!$G$25:$G$27,1),2)*100</f>
        <v>1</v>
      </c>
      <c r="N15" s="44" t="str">
        <f>INDEX(RBC_Rates!$A$168:$E$168,MATCH(VALUE(LEFT(A15,FIND(" ",A15)-1)),RBC_Rates!$E$168:$E$168,1),3)</f>
        <v>1.000</v>
      </c>
      <c r="O15" s="44" t="str">
        <f>INDEX(RBC_Rates!$A$160:$E$167,MATCH(VALUE(LEFT(A15,FIND(" ",A15)-1)),RBC_Rates!$E$160:$E$167,1),3)</f>
        <v>0.010</v>
      </c>
      <c r="P15" s="44" t="str">
        <f>INDEX(RBC_Rates!$A$156:$E$159,MATCH(VALUE(LEFT(A15,FIND(" ",A15)-1)),RBC_Rates!$E$156:$E$159,1),3)</f>
        <v>0.010 P</v>
      </c>
      <c r="Q15" s="59">
        <f t="shared" si="0"/>
        <v>1.1000000000000001</v>
      </c>
      <c r="R15" s="8">
        <f>(Simplii_rates!$C$11)*100</f>
        <v>1.0999999999999999</v>
      </c>
      <c r="S15" s="43">
        <f>LEFT((ICICI_rates!$B$3),5)*100</f>
        <v>1.6</v>
      </c>
      <c r="T15" s="43">
        <f>(NBC_rates!$C$28)*100</f>
        <v>1</v>
      </c>
      <c r="U15" s="44">
        <f>(Manulife_rates!$C$7)*100</f>
        <v>1.2</v>
      </c>
      <c r="V15" s="42">
        <f>INDEX(HSBC_rates!$B$2:$I$5,MATCH(VALUE(LEFT(A15,FIND(" ",A15)-1)),HSBC_rates!$I$2:$I$5,1),2)*100</f>
        <v>1.05</v>
      </c>
      <c r="W15" s="42">
        <f>(CT_rates!$B$2)*100</f>
        <v>1.5</v>
      </c>
      <c r="X15" s="44">
        <f>(Meridian_rates!$A$2)*100</f>
        <v>1.3</v>
      </c>
      <c r="Y15" s="8">
        <f>(EQ_rates!$B$2)*100</f>
        <v>2.2999999999999998</v>
      </c>
    </row>
    <row r="16" spans="1:28" x14ac:dyDescent="0.25">
      <c r="A16" s="42" t="s">
        <v>361</v>
      </c>
      <c r="B16" s="42">
        <f>INDEX(CIBC_rates!$B$2:$E$3,MATCH(VALUE(LEFT(A16,FIND(" ",A16)-1)),CIBC_rates!$E$2:$E$3,1),2)*100</f>
        <v>1</v>
      </c>
      <c r="C16" s="43">
        <f>INDEX(CIBC_rates!$B$4:$E$5,MATCH(VALUE(LEFT(A16,FIND(" ",A16)-1)),CIBC_rates!$E$4:$E$5,1),2)*100</f>
        <v>0.1</v>
      </c>
      <c r="D16" s="43">
        <f>INDEX(CIBC_rates!$B$6:$E$6,MATCH(VALUE(LEFT(A16,FIND(" ",A16)-1)),CIBC_rates!$E$6:$E$6,1),2)*100</f>
        <v>0.05</v>
      </c>
      <c r="E16" s="43">
        <f>INDEX(TD_rates!$B$4:$E$9,MATCH(VALUE(LEFT(A16,FIND(" ",A16)-1)),TD_rates!$E$4:$E$9,1),2)*100</f>
        <v>0.05</v>
      </c>
      <c r="F16" s="42">
        <f>INDEX(TD_rates!$B$11:$E$16,MATCH(VALUE(LEFT(A16,FIND(" ",A16)-1)),TD_rates!$E$11:$E$16,1),2)*100</f>
        <v>0.3</v>
      </c>
      <c r="G16" s="42">
        <f>INDEX(TD_rates!$B$18:$E$23,MATCH(VALUE(LEFT(A16,FIND(" ",A16)-1)),TD_rates!$E$18:$E$23,1),2)*100</f>
        <v>1</v>
      </c>
      <c r="H16" s="42">
        <f>INDEX(BMO_rates!$B$2:$E$4,MATCH(VALUE(LEFT(A16,FIND(" ",A16)-1)),BMO_rates!$E$2:$E$4,1),2)*100</f>
        <v>1.6</v>
      </c>
      <c r="I16" s="44">
        <f>INDEX(BMO_rates!$B$5:$E$6,MATCH(VALUE(LEFT(A16,FIND(" ",A16)-1)),BMO_rates!$E$5:$E$6,1),2)*100</f>
        <v>0.8</v>
      </c>
      <c r="J16" s="42">
        <f>INDEX(BMO_rates!$B$7:$E$8,MATCH(VALUE(LEFT(A16,FIND(" ",A16)-1)),BMO_rates!$E$7:$E$8,1),2)*100</f>
        <v>0.05</v>
      </c>
      <c r="K16" s="42" t="str">
        <f>(BNS_Rates!$D$36)*100 &amp; " + " &amp; (BNS_Rates!$E$35)*100 &amp; ", "&amp; (BNS_Rates!$E$34)*100 &amp; ", "&amp; (BNS_Rates!$E$33)*100 &amp; ", "&amp; (BNS_Rates!$E$32)*100</f>
        <v>1 + 0.5, 0.6, 0.8, 1</v>
      </c>
      <c r="L16" s="44">
        <f>INDEX(BNS_Rates!$B$28:$G$29,MATCH(VALUE(LEFT(A16,FIND(" ",A16)-1)),BNS_Rates!$G$28:$G$29,1),2)*100</f>
        <v>0.05</v>
      </c>
      <c r="M16" s="44">
        <f>INDEX(BNS_Rates!$B$25:$G$27,MATCH(VALUE(LEFT(A16,FIND(" ",A16)-1)),BNS_Rates!$G$25:$G$27,1),2)*100</f>
        <v>1</v>
      </c>
      <c r="N16" s="44" t="str">
        <f>INDEX(RBC_Rates!$A$168:$E$168,MATCH(VALUE(LEFT(A16,FIND(" ",A16)-1)),RBC_Rates!$E$168:$E$168,1),3)</f>
        <v>1.000</v>
      </c>
      <c r="O16" s="44" t="str">
        <f>INDEX(RBC_Rates!$A$160:$E$167,MATCH(VALUE(LEFT(A16,FIND(" ",A16)-1)),RBC_Rates!$E$160:$E$167,1),3)</f>
        <v>0.010</v>
      </c>
      <c r="P16" s="44" t="str">
        <f>INDEX(RBC_Rates!$A$156:$E$159,MATCH(VALUE(LEFT(A16,FIND(" ",A16)-1)),RBC_Rates!$E$156:$E$159,1),3)</f>
        <v>0.010 P</v>
      </c>
      <c r="Q16" s="59">
        <f t="shared" si="0"/>
        <v>1.1000000000000001</v>
      </c>
      <c r="R16" s="8">
        <f>(Simplii_rates!$C$11)*100</f>
        <v>1.0999999999999999</v>
      </c>
      <c r="S16" s="43">
        <f>LEFT((ICICI_rates!$B$3),5)*100</f>
        <v>1.6</v>
      </c>
      <c r="T16" s="43">
        <f>(NBC_rates!$C$28)*100</f>
        <v>1</v>
      </c>
      <c r="U16" s="44">
        <f>(Manulife_rates!$C$7)*100</f>
        <v>1.2</v>
      </c>
      <c r="V16" s="42">
        <f>INDEX(HSBC_rates!$B$2:$I$5,MATCH(VALUE(LEFT(A16,FIND(" ",A16)-1)),HSBC_rates!$I$2:$I$5,1),2)*100</f>
        <v>1.05</v>
      </c>
      <c r="W16" s="42">
        <f>(CT_rates!$B$2)*100</f>
        <v>1.5</v>
      </c>
      <c r="X16" s="44">
        <f>(Meridian_rates!$A$2)*100</f>
        <v>1.3</v>
      </c>
      <c r="Y16" s="8">
        <f>(EQ_rates!$B$2)*100</f>
        <v>2.2999999999999998</v>
      </c>
    </row>
    <row r="17" spans="1:26" x14ac:dyDescent="0.25">
      <c r="A17" s="42" t="s">
        <v>36</v>
      </c>
      <c r="B17" s="42">
        <f>INDEX(CIBC_rates!$B$2:$E$3,MATCH(VALUE(LEFT(A17,FIND(" ",A17)-1)),CIBC_rates!$E$2:$E$3,1),2)*100</f>
        <v>1</v>
      </c>
      <c r="C17" s="43">
        <f>INDEX(CIBC_rates!$B$4:$E$5,MATCH(VALUE(LEFT(A17,FIND(" ",A17)-1)),CIBC_rates!$E$4:$E$5,1),2)*100</f>
        <v>0.1</v>
      </c>
      <c r="D17" s="43">
        <f>INDEX(CIBC_rates!$B$6:$E$6,MATCH(VALUE(LEFT(A17,FIND(" ",A17)-1)),CIBC_rates!$E$6:$E$6,1),2)*100</f>
        <v>0.05</v>
      </c>
      <c r="E17" s="43">
        <f>INDEX(TD_rates!$B$4:$E$9,MATCH(VALUE(LEFT(A17,FIND(" ",A17)-1)),TD_rates!$E$4:$E$9,1),2)*100</f>
        <v>0.05</v>
      </c>
      <c r="F17" s="42">
        <f>INDEX(TD_rates!$B$11:$E$16,MATCH(VALUE(LEFT(A17,FIND(" ",A17)-1)),TD_rates!$E$11:$E$16,1),2)*100</f>
        <v>0.3</v>
      </c>
      <c r="G17" s="42">
        <f>INDEX(TD_rates!$B$18:$E$23,MATCH(VALUE(LEFT(A17,FIND(" ",A17)-1)),TD_rates!$E$18:$E$23,1),2)*100</f>
        <v>1</v>
      </c>
      <c r="H17" s="42">
        <f>INDEX(BMO_rates!$B$2:$E$4,MATCH(VALUE(LEFT(A17,FIND(" ",A17)-1)),BMO_rates!$E$2:$E$4,1),2)*100</f>
        <v>1.6</v>
      </c>
      <c r="I17" s="44">
        <f>INDEX(BMO_rates!$B$5:$E$6,MATCH(VALUE(LEFT(A17,FIND(" ",A17)-1)),BMO_rates!$E$5:$E$6,1),2)*100</f>
        <v>0.8</v>
      </c>
      <c r="J17" s="42">
        <f>INDEX(BMO_rates!$B$7:$E$8,MATCH(VALUE(LEFT(A17,FIND(" ",A17)-1)),BMO_rates!$E$7:$E$8,1),2)*100</f>
        <v>0.05</v>
      </c>
      <c r="K17" s="42" t="str">
        <f>(BNS_Rates!$D$36)*100 &amp; " + " &amp; (BNS_Rates!$E$35)*100 &amp; ", "&amp; (BNS_Rates!$E$34)*100 &amp; ", "&amp; (BNS_Rates!$E$33)*100 &amp; ", "&amp; (BNS_Rates!$E$32)*100</f>
        <v>1 + 0.5, 0.6, 0.8, 1</v>
      </c>
      <c r="L17" s="44">
        <f>INDEX(BNS_Rates!$B$28:$G$29,MATCH(VALUE(LEFT(A17,FIND(" ",A17)-1)),BNS_Rates!$G$28:$G$29,1),2)*100</f>
        <v>0.05</v>
      </c>
      <c r="M17" s="44">
        <f>INDEX(BNS_Rates!$B$25:$G$27,MATCH(VALUE(LEFT(A17,FIND(" ",A17)-1)),BNS_Rates!$G$25:$G$27,1),2)*100</f>
        <v>1</v>
      </c>
      <c r="N17" s="44" t="str">
        <f>INDEX(RBC_Rates!$A$168:$E$168,MATCH(VALUE(LEFT(A17,FIND(" ",A17)-1)),RBC_Rates!$E$168:$E$168,1),3)</f>
        <v>1.000</v>
      </c>
      <c r="O17" s="44" t="str">
        <f>INDEX(RBC_Rates!$A$160:$E$167,MATCH(VALUE(LEFT(A17,FIND(" ",A17)-1)),RBC_Rates!$E$160:$E$167,1),3)</f>
        <v>0.005</v>
      </c>
      <c r="P17" s="44" t="str">
        <f>INDEX(RBC_Rates!$A$156:$E$159,MATCH(VALUE(LEFT(A17,FIND(" ",A17)-1)),RBC_Rates!$E$156:$E$159,1),3)</f>
        <v>0.010 P</v>
      </c>
      <c r="Q17" s="59">
        <f t="shared" si="0"/>
        <v>1.1000000000000001</v>
      </c>
      <c r="R17" s="8">
        <f>(Simplii_rates!$C$11)*100</f>
        <v>1.0999999999999999</v>
      </c>
      <c r="S17" s="43">
        <f>LEFT((ICICI_rates!$B$3),5)*100</f>
        <v>1.6</v>
      </c>
      <c r="T17" s="43">
        <f>(NBC_rates!$C$28)*100</f>
        <v>1</v>
      </c>
      <c r="U17" s="44">
        <f>(Manulife_rates!$C$7)*100</f>
        <v>1.2</v>
      </c>
      <c r="V17" s="42">
        <f>INDEX(HSBC_rates!$B$2:$I$5,MATCH(VALUE(LEFT(A17,FIND(" ",A17)-1)),HSBC_rates!$I$2:$I$5,1),2)*100</f>
        <v>0.5</v>
      </c>
      <c r="W17" s="42">
        <f>(CT_rates!$B$2)*100</f>
        <v>1.5</v>
      </c>
      <c r="X17" s="44">
        <f>(Meridian_rates!$A$2)*100</f>
        <v>1.3</v>
      </c>
      <c r="Y17" s="8">
        <f>(EQ_rates!$B$2)*100</f>
        <v>2.2999999999999998</v>
      </c>
    </row>
    <row r="18" spans="1:26" x14ac:dyDescent="0.25">
      <c r="A18" s="42" t="s">
        <v>37</v>
      </c>
      <c r="B18" s="42">
        <f>INDEX(CIBC_rates!$B$2:$E$3,MATCH(VALUE(LEFT(A18,FIND(" ",A18)-1)),CIBC_rates!$E$2:$E$3,1),2)*100</f>
        <v>1</v>
      </c>
      <c r="C18" s="43">
        <f>INDEX(CIBC_rates!$B$4:$E$5,MATCH(VALUE(LEFT(A18,FIND(" ",A18)-1)),CIBC_rates!$E$4:$E$5,1),2)*100</f>
        <v>0.1</v>
      </c>
      <c r="D18" s="43">
        <f>INDEX(CIBC_rates!$B$6:$E$6,MATCH(VALUE(LEFT(A18,FIND(" ",A18)-1)),CIBC_rates!$E$6:$E$6,1),2)*100</f>
        <v>0.05</v>
      </c>
      <c r="E18" s="43">
        <f>INDEX(TD_rates!$B$4:$E$9,MATCH(VALUE(LEFT(A18,FIND(" ",A18)-1)),TD_rates!$E$4:$E$9,1),2)*100</f>
        <v>0.05</v>
      </c>
      <c r="F18" s="42">
        <f>INDEX(TD_rates!$B$11:$E$16,MATCH(VALUE(LEFT(A18,FIND(" ",A18)-1)),TD_rates!$E$11:$E$16,1),2)*100</f>
        <v>0.3</v>
      </c>
      <c r="G18" s="42">
        <f>INDEX(TD_rates!$B$18:$E$23,MATCH(VALUE(LEFT(A18,FIND(" ",A18)-1)),TD_rates!$E$18:$E$23,1),2)*100</f>
        <v>0</v>
      </c>
      <c r="H18" s="42">
        <f>INDEX(BMO_rates!$B$2:$E$4,MATCH(VALUE(LEFT(A18,FIND(" ",A18)-1)),BMO_rates!$E$2:$E$4,1),2)*100</f>
        <v>1.6</v>
      </c>
      <c r="I18" s="44">
        <f>INDEX(BMO_rates!$B$5:$E$6,MATCH(VALUE(LEFT(A18,FIND(" ",A18)-1)),BMO_rates!$E$5:$E$6,1),2)*100</f>
        <v>0.8</v>
      </c>
      <c r="J18" s="42">
        <f>INDEX(BMO_rates!$B$7:$E$8,MATCH(VALUE(LEFT(A18,FIND(" ",A18)-1)),BMO_rates!$E$7:$E$8,1),2)*100</f>
        <v>0.05</v>
      </c>
      <c r="K18" s="42" t="str">
        <f>(BNS_Rates!$D$36)*100 &amp; " + " &amp; (BNS_Rates!$E$35)*100 &amp; ", "&amp; (BNS_Rates!$E$34)*100 &amp; ", "&amp; (BNS_Rates!$E$33)*100 &amp; ", "&amp; (BNS_Rates!$E$32)*100</f>
        <v>1 + 0.5, 0.6, 0.8, 1</v>
      </c>
      <c r="L18" s="44">
        <f>INDEX(BNS_Rates!$B$28:$G$29,MATCH(VALUE(LEFT(A18,FIND(" ",A18)-1)),BNS_Rates!$G$28:$G$29,1),2)*100</f>
        <v>0.05</v>
      </c>
      <c r="M18" s="44">
        <f>INDEX(BNS_Rates!$B$25:$G$27,MATCH(VALUE(LEFT(A18,FIND(" ",A18)-1)),BNS_Rates!$G$25:$G$27,1),2)*100</f>
        <v>1</v>
      </c>
      <c r="N18" s="44" t="str">
        <f>INDEX(RBC_Rates!$A$168:$E$168,MATCH(VALUE(LEFT(A18,FIND(" ",A18)-1)),RBC_Rates!$E$168:$E$168,1),3)</f>
        <v>1.000</v>
      </c>
      <c r="O18" s="44" t="str">
        <f>INDEX(RBC_Rates!$A$160:$E$167,MATCH(VALUE(LEFT(A18,FIND(" ",A18)-1)),RBC_Rates!$E$160:$E$167,1),3)</f>
        <v>0.001</v>
      </c>
      <c r="P18" s="44" t="str">
        <f>INDEX(RBC_Rates!$A$156:$E$159,MATCH(VALUE(LEFT(A18,FIND(" ",A18)-1)),RBC_Rates!$E$156:$E$159,1),3)</f>
        <v>0.010 P</v>
      </c>
      <c r="Q18" s="59">
        <f t="shared" si="0"/>
        <v>1.1000000000000001</v>
      </c>
      <c r="R18" s="8">
        <f>(Simplii_rates!$C$11)*100</f>
        <v>1.0999999999999999</v>
      </c>
      <c r="S18" s="43">
        <f>LEFT((ICICI_rates!$B$3),5)*100</f>
        <v>1.6</v>
      </c>
      <c r="T18" s="43">
        <f>(NBC_rates!$C$28)*100</f>
        <v>1</v>
      </c>
      <c r="U18" s="44">
        <f>(Manulife_rates!$C$7)*100</f>
        <v>1.2</v>
      </c>
      <c r="V18" s="42">
        <f>INDEX(HSBC_rates!$B$2:$I$5,MATCH(VALUE(LEFT(A18,FIND(" ",A18)-1)),HSBC_rates!$I$2:$I$5,1),2)*100</f>
        <v>0.5</v>
      </c>
      <c r="W18" s="42">
        <f>(CT_rates!$B$2)*100</f>
        <v>1.5</v>
      </c>
      <c r="X18" s="44">
        <f>(Meridian_rates!$A$2)*100</f>
        <v>1.3</v>
      </c>
      <c r="Y18" s="8">
        <f>(EQ_rates!$B$2)*100</f>
        <v>2.2999999999999998</v>
      </c>
    </row>
    <row r="19" spans="1:26" x14ac:dyDescent="0.25">
      <c r="A19" s="42" t="s">
        <v>38</v>
      </c>
      <c r="B19" s="42">
        <f>INDEX(CIBC_rates!$B$2:$E$3,MATCH(VALUE(LEFT(A19,FIND(" ",A19)-1)),CIBC_rates!$E$2:$E$3,1),2)*100</f>
        <v>1</v>
      </c>
      <c r="C19" s="43">
        <f>INDEX(CIBC_rates!$B$4:$E$5,MATCH(VALUE(LEFT(A19,FIND(" ",A19)-1)),CIBC_rates!$E$4:$E$5,1),2)*100</f>
        <v>0.1</v>
      </c>
      <c r="D19" s="43">
        <f>INDEX(CIBC_rates!$B$6:$E$6,MATCH(VALUE(LEFT(A19,FIND(" ",A19)-1)),CIBC_rates!$E$6:$E$6,1),2)*100</f>
        <v>0.05</v>
      </c>
      <c r="E19" s="43">
        <f>INDEX(TD_rates!$B$4:$E$9,MATCH(VALUE(LEFT(A19,FIND(" ",A19)-1)),TD_rates!$E$4:$E$9,1),2)*100</f>
        <v>0.05</v>
      </c>
      <c r="F19" s="42">
        <f>INDEX(TD_rates!$B$11:$E$16,MATCH(VALUE(LEFT(A19,FIND(" ",A19)-1)),TD_rates!$E$11:$E$16,1),2)*100</f>
        <v>0</v>
      </c>
      <c r="G19" s="42">
        <f>INDEX(TD_rates!$B$18:$E$23,MATCH(VALUE(LEFT(A19,FIND(" ",A19)-1)),TD_rates!$E$18:$E$23,1),2)*100</f>
        <v>0</v>
      </c>
      <c r="H19" s="42">
        <f>INDEX(BMO_rates!$B$2:$E$4,MATCH(VALUE(LEFT(A19,FIND(" ",A19)-1)),BMO_rates!$E$2:$E$4,1),2)*100</f>
        <v>1.6</v>
      </c>
      <c r="I19" s="44">
        <f>INDEX(BMO_rates!$B$5:$E$6,MATCH(VALUE(LEFT(A19,FIND(" ",A19)-1)),BMO_rates!$E$5:$E$6,1),2)*100</f>
        <v>0.8</v>
      </c>
      <c r="J19" s="42">
        <f>INDEX(BMO_rates!$B$7:$E$8,MATCH(VALUE(LEFT(A19,FIND(" ",A19)-1)),BMO_rates!$E$7:$E$8,1),2)*100</f>
        <v>0.05</v>
      </c>
      <c r="K19" s="42" t="str">
        <f>(BNS_Rates!$D$36)*100 &amp; " + " &amp; (BNS_Rates!$E$35)*100 &amp; ", "&amp; (BNS_Rates!$E$34)*100 &amp; ", "&amp; (BNS_Rates!$E$33)*100 &amp; ", "&amp; (BNS_Rates!$E$32)*100</f>
        <v>1 + 0.5, 0.6, 0.8, 1</v>
      </c>
      <c r="L19" s="44">
        <f>INDEX(BNS_Rates!$B$28:$G$29,MATCH(VALUE(LEFT(A19,FIND(" ",A19)-1)),BNS_Rates!$G$28:$G$29,1),2)*100</f>
        <v>0.05</v>
      </c>
      <c r="M19" s="44">
        <f>INDEX(BNS_Rates!$B$25:$G$27,MATCH(VALUE(LEFT(A19,FIND(" ",A19)-1)),BNS_Rates!$G$25:$G$27,1),2)*100</f>
        <v>0.05</v>
      </c>
      <c r="N19" s="44" t="str">
        <f>INDEX(RBC_Rates!$A$168:$E$168,MATCH(VALUE(LEFT(A19,FIND(" ",A19)-1)),RBC_Rates!$E$168:$E$168,1),3)</f>
        <v>1.000</v>
      </c>
      <c r="O19" s="44" t="str">
        <f>INDEX(RBC_Rates!$A$160:$E$167,MATCH(VALUE(LEFT(A19,FIND(" ",A19)-1)),RBC_Rates!$E$160:$E$167,1),3)</f>
        <v>0.000</v>
      </c>
      <c r="P19" s="44" t="str">
        <f>INDEX(RBC_Rates!$A$156:$E$159,MATCH(VALUE(LEFT(A19,FIND(" ",A19)-1)),RBC_Rates!$E$156:$E$159,1),3)</f>
        <v>0.010 P</v>
      </c>
      <c r="Q19" s="59">
        <f t="shared" si="0"/>
        <v>1.1000000000000001</v>
      </c>
      <c r="R19" s="8">
        <f>(Simplii_rates!$C$11)*100</f>
        <v>1.0999999999999999</v>
      </c>
      <c r="S19" s="43">
        <f>LEFT((ICICI_rates!$B$3),5)*100</f>
        <v>1.6</v>
      </c>
      <c r="T19" s="43">
        <f>(NBC_rates!$C$28)*100</f>
        <v>1</v>
      </c>
      <c r="U19" s="44">
        <f>(Manulife_rates!$C$7)*100</f>
        <v>1.2</v>
      </c>
      <c r="V19" s="42">
        <f>INDEX(HSBC_rates!$B$2:$I$5,MATCH(VALUE(LEFT(A19,FIND(" ",A19)-1)),HSBC_rates!$I$2:$I$5,1),2)*100</f>
        <v>0.5</v>
      </c>
      <c r="W19" s="42">
        <f>(CT_rates!$B$2)*100</f>
        <v>1.5</v>
      </c>
      <c r="X19" s="44">
        <f>(Meridian_rates!$A$2)*100</f>
        <v>1.3</v>
      </c>
      <c r="Y19" s="8">
        <f>(EQ_rates!$B$2)*100</f>
        <v>2.2999999999999998</v>
      </c>
    </row>
    <row r="20" spans="1:26" x14ac:dyDescent="0.25">
      <c r="A20" s="42" t="s">
        <v>39</v>
      </c>
      <c r="B20" s="42">
        <f>INDEX(CIBC_rates!$B$2:$E$3,MATCH(VALUE(LEFT(A20,FIND(" ",A20)-1)),CIBC_rates!$E$2:$E$3,1),2)*100</f>
        <v>1</v>
      </c>
      <c r="C20" s="43">
        <f>INDEX(CIBC_rates!$B$4:$E$5,MATCH(VALUE(LEFT(A20,FIND(" ",A20)-1)),CIBC_rates!$E$4:$E$5,1),2)*100</f>
        <v>0.05</v>
      </c>
      <c r="D20" s="43">
        <f>INDEX(CIBC_rates!$B$6:$E$6,MATCH(VALUE(LEFT(A20,FIND(" ",A20)-1)),CIBC_rates!$E$6:$E$6,1),2)*100</f>
        <v>0.05</v>
      </c>
      <c r="E20" s="43">
        <f>INDEX(TD_rates!$B$4:$E$9,MATCH(VALUE(LEFT(A20,FIND(" ",A20)-1)),TD_rates!$E$4:$E$9,1),2)*100</f>
        <v>0.05</v>
      </c>
      <c r="F20" s="42">
        <f>INDEX(TD_rates!$B$11:$E$16,MATCH(VALUE(LEFT(A20,FIND(" ",A20)-1)),TD_rates!$E$11:$E$16,1),2)*100</f>
        <v>0</v>
      </c>
      <c r="G20" s="42">
        <f>INDEX(TD_rates!$B$18:$E$23,MATCH(VALUE(LEFT(A20,FIND(" ",A20)-1)),TD_rates!$E$18:$E$23,1),2)*100</f>
        <v>0</v>
      </c>
      <c r="H20" s="42">
        <f>INDEX(BMO_rates!$B$2:$E$4,MATCH(VALUE(LEFT(A20,FIND(" ",A20)-1)),BMO_rates!$E$2:$E$4,1),2)*100</f>
        <v>1.6</v>
      </c>
      <c r="I20" s="44">
        <f>INDEX(BMO_rates!$B$5:$E$6,MATCH(VALUE(LEFT(A20,FIND(" ",A20)-1)),BMO_rates!$E$5:$E$6,1),2)*100</f>
        <v>0.8</v>
      </c>
      <c r="J20" s="42">
        <f>INDEX(BMO_rates!$B$7:$E$8,MATCH(VALUE(LEFT(A20,FIND(" ",A20)-1)),BMO_rates!$E$7:$E$8,1),2)*100</f>
        <v>0.05</v>
      </c>
      <c r="K20" s="42" t="str">
        <f>(BNS_Rates!$D$36)*100 &amp; " + " &amp; (BNS_Rates!$E$35)*100 &amp; ", "&amp; (BNS_Rates!$E$34)*100 &amp; ", "&amp; (BNS_Rates!$E$33)*100 &amp; ", "&amp; (BNS_Rates!$E$32)*100</f>
        <v>1 + 0.5, 0.6, 0.8, 1</v>
      </c>
      <c r="L20" s="44">
        <f>INDEX(BNS_Rates!$B$28:$G$29,MATCH(VALUE(LEFT(A20,FIND(" ",A20)-1)),BNS_Rates!$G$28:$G$29,1),2)*100</f>
        <v>0.05</v>
      </c>
      <c r="M20" s="44">
        <f>INDEX(BNS_Rates!$B$25:$G$27,MATCH(VALUE(LEFT(A20,FIND(" ",A20)-1)),BNS_Rates!$G$25:$G$27,1),2)*100</f>
        <v>0.05</v>
      </c>
      <c r="N20" s="44" t="str">
        <f>INDEX(RBC_Rates!$A$168:$E$168,MATCH(VALUE(LEFT(A20,FIND(" ",A20)-1)),RBC_Rates!$E$168:$E$168,1),3)</f>
        <v>1.000</v>
      </c>
      <c r="O20" s="44" t="str">
        <f>INDEX(RBC_Rates!$A$160:$E$167,MATCH(VALUE(LEFT(A20,FIND(" ",A20)-1)),RBC_Rates!$E$160:$E$167,1),3)</f>
        <v>0.000</v>
      </c>
      <c r="P20" s="44" t="str">
        <f>INDEX(RBC_Rates!$A$156:$E$159,MATCH(VALUE(LEFT(A20,FIND(" ",A20)-1)),RBC_Rates!$E$156:$E$159,1),3)</f>
        <v>0.010</v>
      </c>
      <c r="Q20" s="59">
        <f t="shared" si="0"/>
        <v>1.1000000000000001</v>
      </c>
      <c r="R20" s="8">
        <f>(Simplii_rates!$C$11)*100</f>
        <v>1.0999999999999999</v>
      </c>
      <c r="S20" s="43">
        <f>LEFT((ICICI_rates!$B$3),5)*100</f>
        <v>1.6</v>
      </c>
      <c r="T20" s="43">
        <f>(NBC_rates!$C$28)*100</f>
        <v>1</v>
      </c>
      <c r="U20" s="44">
        <f>(Manulife_rates!$C$7)*100</f>
        <v>1.2</v>
      </c>
      <c r="V20" s="42">
        <f>INDEX(HSBC_rates!$B$2:$I$5,MATCH(VALUE(LEFT(A20,FIND(" ",A20)-1)),HSBC_rates!$I$2:$I$5,1),2)*100</f>
        <v>0.5</v>
      </c>
      <c r="W20" s="42">
        <f>(CT_rates!$B$2)*100</f>
        <v>1.5</v>
      </c>
      <c r="X20" s="44">
        <f>(Meridian_rates!$A$2)*100</f>
        <v>1.3</v>
      </c>
      <c r="Y20" s="8">
        <f>(EQ_rates!$B$2)*100</f>
        <v>2.2999999999999998</v>
      </c>
    </row>
    <row r="21" spans="1:26" x14ac:dyDescent="0.25">
      <c r="A21" s="42" t="s">
        <v>40</v>
      </c>
      <c r="B21" s="42">
        <f>INDEX(CIBC_rates!$B$2:$E$3,MATCH(VALUE(LEFT(A21,FIND(" ",A21)-1)),CIBC_rates!$E$2:$E$3,1),2)*100</f>
        <v>1</v>
      </c>
      <c r="C21" s="43">
        <f>INDEX(CIBC_rates!$B$4:$E$5,MATCH(VALUE(LEFT(A21,FIND(" ",A21)-1)),CIBC_rates!$E$4:$E$5,1),2)*100</f>
        <v>0.05</v>
      </c>
      <c r="D21" s="43">
        <f>INDEX(CIBC_rates!$B$6:$E$6,MATCH(VALUE(LEFT(A21,FIND(" ",A21)-1)),CIBC_rates!$E$6:$E$6,1),2)*100</f>
        <v>0.05</v>
      </c>
      <c r="E21" s="43">
        <f>INDEX(TD_rates!$B$4:$E$9,MATCH(VALUE(LEFT(A21,FIND(" ",A21)-1)),TD_rates!$E$4:$E$9,1),2)*100</f>
        <v>0.05</v>
      </c>
      <c r="F21" s="42">
        <f>INDEX(TD_rates!$B$11:$E$16,MATCH(VALUE(LEFT(A21,FIND(" ",A21)-1)),TD_rates!$E$11:$E$16,1),2)*100</f>
        <v>0</v>
      </c>
      <c r="G21" s="42">
        <f>INDEX(TD_rates!$B$18:$E$23,MATCH(VALUE(LEFT(A21,FIND(" ",A21)-1)),TD_rates!$E$18:$E$23,1),2)*100</f>
        <v>0</v>
      </c>
      <c r="H21" s="42">
        <f>INDEX(BMO_rates!$B$2:$E$4,MATCH(VALUE(LEFT(A21,FIND(" ",A21)-1)),BMO_rates!$E$2:$E$4,1),2)*100</f>
        <v>1.6</v>
      </c>
      <c r="I21" s="44">
        <f>INDEX(BMO_rates!$B$5:$E$6,MATCH(VALUE(LEFT(A21,FIND(" ",A21)-1)),BMO_rates!$E$5:$E$6,1),2)*100</f>
        <v>0.8</v>
      </c>
      <c r="J21" s="42">
        <f>INDEX(BMO_rates!$B$7:$E$8,MATCH(VALUE(LEFT(A21,FIND(" ",A21)-1)),BMO_rates!$E$7:$E$8,1),2)*100</f>
        <v>0.05</v>
      </c>
      <c r="K21" s="42" t="str">
        <f>(BNS_Rates!$D$36)*100 &amp; " + " &amp; (BNS_Rates!$E$35)*100 &amp; ", "&amp; (BNS_Rates!$E$34)*100 &amp; ", "&amp; (BNS_Rates!$E$33)*100 &amp; ", "&amp; (BNS_Rates!$E$32)*100</f>
        <v>1 + 0.5, 0.6, 0.8, 1</v>
      </c>
      <c r="L21" s="44">
        <f>INDEX(BNS_Rates!$B$28:$G$29,MATCH(VALUE(LEFT(A21,FIND(" ",A21)-1)),BNS_Rates!$G$28:$G$29,1),2)*100</f>
        <v>0.05</v>
      </c>
      <c r="M21" s="44">
        <f>INDEX(BNS_Rates!$B$25:$G$27,MATCH(VALUE(LEFT(A21,FIND(" ",A21)-1)),BNS_Rates!$G$25:$G$27,1),2)*100</f>
        <v>0.05</v>
      </c>
      <c r="N21" s="44" t="str">
        <f>INDEX(RBC_Rates!$A$168:$E$168,MATCH(VALUE(LEFT(A21,FIND(" ",A21)-1)),RBC_Rates!$E$168:$E$168,1),3)</f>
        <v>1.000</v>
      </c>
      <c r="O21" s="44" t="str">
        <f>INDEX(RBC_Rates!$A$160:$E$167,MATCH(VALUE(LEFT(A21,FIND(" ",A21)-1)),RBC_Rates!$E$160:$E$167,1),3)</f>
        <v>0.000</v>
      </c>
      <c r="P21" s="44" t="str">
        <f>INDEX(RBC_Rates!$A$156:$E$159,MATCH(VALUE(LEFT(A21,FIND(" ",A21)-1)),RBC_Rates!$E$156:$E$159,1),3)</f>
        <v>0.005</v>
      </c>
      <c r="Q21" s="59">
        <f t="shared" si="0"/>
        <v>1.1000000000000001</v>
      </c>
      <c r="R21" s="8">
        <f>(Simplii_rates!$C$11)*100</f>
        <v>1.0999999999999999</v>
      </c>
      <c r="S21" s="43">
        <f>LEFT((ICICI_rates!$B$3),5)*100</f>
        <v>1.6</v>
      </c>
      <c r="T21" s="43">
        <f>(NBC_rates!$C$28)*100</f>
        <v>1</v>
      </c>
      <c r="U21" s="44">
        <f>(Manulife_rates!$C$7)*100</f>
        <v>1.2</v>
      </c>
      <c r="V21" s="42">
        <f>INDEX(HSBC_rates!$B$2:$I$5,MATCH(VALUE(LEFT(A21,FIND(" ",A21)-1)),HSBC_rates!$I$2:$I$5,1),2)*100</f>
        <v>0.5</v>
      </c>
      <c r="W21" s="42">
        <f>(CT_rates!$B$2)*100</f>
        <v>1.5</v>
      </c>
      <c r="X21" s="44">
        <f>(Meridian_rates!$A$2)*100</f>
        <v>1.3</v>
      </c>
      <c r="Y21" s="8">
        <f>(EQ_rates!$B$2)*100</f>
        <v>2.2999999999999998</v>
      </c>
    </row>
    <row r="22" spans="1:26" x14ac:dyDescent="0.25">
      <c r="A22" s="9"/>
      <c r="B22" s="9"/>
      <c r="G22" s="9"/>
      <c r="H22" s="9"/>
      <c r="I22" s="9"/>
      <c r="J22" s="3"/>
      <c r="K22" s="3"/>
      <c r="L22" s="3"/>
      <c r="M22" s="3"/>
      <c r="N22" s="3"/>
      <c r="O22" s="3"/>
      <c r="P22" s="41"/>
      <c r="Q22" s="41"/>
      <c r="R22" s="41"/>
      <c r="S22" s="41"/>
      <c r="T22" s="41"/>
      <c r="U22" s="41"/>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25">
      <c r="P25" s="41"/>
      <c r="Q25" s="41"/>
      <c r="R25" s="41"/>
      <c r="S25" s="41"/>
      <c r="T25" s="41"/>
      <c r="U25" s="41"/>
    </row>
    <row r="26" spans="1:26" x14ac:dyDescent="0.25">
      <c r="P26" s="41"/>
      <c r="Q26" s="41"/>
      <c r="R26" s="41"/>
      <c r="S26" s="41"/>
      <c r="T26" s="41"/>
      <c r="U26" s="41"/>
    </row>
    <row r="27" spans="1:26" x14ac:dyDescent="0.2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Q20" sqref="Q20"/>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6"/>
      <c r="B1" s="46"/>
      <c r="C1" s="46"/>
      <c r="D1" s="46"/>
      <c r="E1" s="46"/>
      <c r="F1" s="46"/>
      <c r="G1" s="46"/>
      <c r="H1" s="46"/>
      <c r="I1" s="46"/>
      <c r="J1" s="46"/>
      <c r="K1" s="46"/>
      <c r="L1" s="46"/>
      <c r="M1" s="46"/>
      <c r="N1" s="46"/>
      <c r="O1" s="46"/>
      <c r="P1" s="46"/>
      <c r="Q1" s="46"/>
      <c r="Y1" s="3"/>
      <c r="Z1" s="3"/>
      <c r="AA1" s="3"/>
      <c r="AB1" s="3"/>
    </row>
    <row r="2" spans="1:28" ht="25.5" x14ac:dyDescent="0.35">
      <c r="A2" s="3"/>
      <c r="B2" s="72" t="s">
        <v>451</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5"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8"/>
      <c r="B9" s="48" t="s">
        <v>0</v>
      </c>
      <c r="C9" s="48" t="s">
        <v>0</v>
      </c>
      <c r="D9" s="48" t="s">
        <v>1</v>
      </c>
      <c r="E9" s="48" t="s">
        <v>1</v>
      </c>
      <c r="F9" s="48" t="s">
        <v>5</v>
      </c>
      <c r="G9" s="48" t="s">
        <v>5</v>
      </c>
      <c r="H9" s="48" t="s">
        <v>5</v>
      </c>
      <c r="I9" s="48" t="s">
        <v>2</v>
      </c>
      <c r="J9" s="48" t="s">
        <v>4</v>
      </c>
      <c r="K9" s="48" t="s">
        <v>4</v>
      </c>
      <c r="L9" s="48" t="s">
        <v>281</v>
      </c>
      <c r="M9" s="48" t="s">
        <v>342</v>
      </c>
      <c r="N9" s="48" t="s">
        <v>343</v>
      </c>
      <c r="O9" s="48" t="s">
        <v>343</v>
      </c>
      <c r="P9" s="48" t="s">
        <v>9</v>
      </c>
      <c r="Q9" s="48" t="s">
        <v>44</v>
      </c>
      <c r="R9" s="58" t="s">
        <v>12</v>
      </c>
    </row>
    <row r="10" spans="1:28" ht="64.5" x14ac:dyDescent="0.25">
      <c r="A10" s="51"/>
      <c r="B10" s="51" t="s">
        <v>344</v>
      </c>
      <c r="C10" s="51" t="s">
        <v>34</v>
      </c>
      <c r="D10" s="51" t="s">
        <v>345</v>
      </c>
      <c r="E10" s="51" t="s">
        <v>346</v>
      </c>
      <c r="F10" s="51" t="s">
        <v>347</v>
      </c>
      <c r="G10" s="51" t="s">
        <v>344</v>
      </c>
      <c r="H10" s="51" t="s">
        <v>348</v>
      </c>
      <c r="I10" s="51" t="s">
        <v>349</v>
      </c>
      <c r="J10" s="51" t="s">
        <v>449</v>
      </c>
      <c r="K10" s="51" t="s">
        <v>350</v>
      </c>
      <c r="L10" s="51" t="s">
        <v>351</v>
      </c>
      <c r="M10" s="51" t="s">
        <v>352</v>
      </c>
      <c r="N10" s="51" t="s">
        <v>353</v>
      </c>
      <c r="O10" s="51" t="s">
        <v>348</v>
      </c>
      <c r="P10" s="51" t="s">
        <v>448</v>
      </c>
      <c r="Q10" s="51" t="s">
        <v>354</v>
      </c>
      <c r="R10" s="51" t="s">
        <v>355</v>
      </c>
    </row>
    <row r="11" spans="1:28" x14ac:dyDescent="0.25">
      <c r="A11" s="42" t="s">
        <v>426</v>
      </c>
      <c r="B11" s="44">
        <f>INDEX(CIBC_rates!$B$8:$E$12,MATCH(VALUE(LEFT(A11,FIND(" ",A11)-1)),CIBC_rates!$E$8:$E$12,1),2)*100</f>
        <v>0.25</v>
      </c>
      <c r="C11" s="44">
        <f>(CIBC_rates!$C$22)*100</f>
        <v>1.7000000000000002</v>
      </c>
      <c r="D11" s="44">
        <f>INDEX(TD_rates!$B$30:$E$35,MATCH(VALUE(LEFT(A11,FIND(" ",A11)-1)),TD_rates!$E$30:$E$35,1),2)*100</f>
        <v>0.1</v>
      </c>
      <c r="E11" s="44">
        <f>(TD_rates!$F$41)*100</f>
        <v>1.7000000000000002</v>
      </c>
      <c r="F11" s="44" t="str">
        <f>INDEX(RBC_Rates!$A$134:$E$134,MATCH(VALUE(LEFT(A11,FIND(" ",A11)-1)),RBC_Rates!$E$134:$E$134,1),3)</f>
        <v>0.150</v>
      </c>
      <c r="G11" s="44" t="str">
        <f>INDEX(RBC_Rates!$A$133:$E$133,MATCH(VALUE(LEFT(A11,FIND(" ",A11)-1)),RBC_Rates!$E$133:$E$133,1),3)</f>
        <v>0.000</v>
      </c>
      <c r="H11" s="44" t="s">
        <v>31</v>
      </c>
      <c r="I11" s="44">
        <f>INDEX(BMO_rates!$B$9:$E$10,MATCH(VALUE(LEFT(A11,FIND(" ",A11)-1)),BMO_rates!$E$9:$E$10,1),2)*100</f>
        <v>0.05</v>
      </c>
      <c r="J11" s="59">
        <f>BNS_Rates!$D$45</f>
        <v>1.7999999999999999E-2</v>
      </c>
      <c r="K11" s="44">
        <f>INDEX(BNS_Rates!$B$17:$G$22,MATCH(VALUE(LEFT(A11,FIND(" ",A11)-1)),BNS_Rates!$G$17:$G$22,1),2)*100</f>
        <v>0.15</v>
      </c>
      <c r="L11" s="77">
        <v>0.6</v>
      </c>
      <c r="M11" s="44">
        <f>LEFT((ICICI_rates!$B$6),5)*100</f>
        <v>0.6</v>
      </c>
      <c r="N11" s="44">
        <f>(Manulife_rates!$C$12)*100</f>
        <v>0.5</v>
      </c>
      <c r="O11" s="44">
        <f>(Manulife_ISA_USD[ISA USD])*100</f>
        <v>1.2</v>
      </c>
      <c r="P11" s="44">
        <f>INDEX(HSBC_rates!$B$10:$I$13,MATCH(VALUE(LEFT(A11,FIND(" ",A11)-1)),HSBC_rates!$I$10:$I$13,1),2)*100</f>
        <v>0.3</v>
      </c>
      <c r="Q11" s="44">
        <f>(Altamira_rates!$D$11)*100</f>
        <v>0.89999999999999991</v>
      </c>
      <c r="R11" s="44">
        <f>(BNS_Rates!$D$40)*100</f>
        <v>0.25</v>
      </c>
    </row>
    <row r="12" spans="1:28" s="41" customFormat="1" x14ac:dyDescent="0.25">
      <c r="A12" s="42" t="s">
        <v>358</v>
      </c>
      <c r="B12" s="44">
        <f>INDEX(CIBC_rates!$B$8:$E$12,MATCH(VALUE(LEFT(A12,FIND(" ",A12)-1)),CIBC_rates!$E$8:$E$12,1),2)*100</f>
        <v>0.25</v>
      </c>
      <c r="C12" s="44">
        <f>(CIBC_rates!$C$22)*100</f>
        <v>1.7000000000000002</v>
      </c>
      <c r="D12" s="44">
        <f>INDEX(TD_rates!$B$30:$E$35,MATCH(VALUE(LEFT(A12,FIND(" ",A12)-1)),TD_rates!$E$30:$E$35,1),2)*100</f>
        <v>0.1</v>
      </c>
      <c r="E12" s="44">
        <f>(TD_rates!$F$41)*100</f>
        <v>1.7000000000000002</v>
      </c>
      <c r="F12" s="44" t="str">
        <f>INDEX(RBC_Rates!$A$134:$E$134,MATCH(VALUE(LEFT(A12,FIND(" ",A12)-1)),RBC_Rates!$E$134:$E$134,1),3)</f>
        <v>0.150</v>
      </c>
      <c r="G12" s="44" t="str">
        <f>INDEX(RBC_Rates!$A$133:$E$133,MATCH(VALUE(LEFT(A12,FIND(" ",A12)-1)),RBC_Rates!$E$133:$E$133,1),3)</f>
        <v>0.000</v>
      </c>
      <c r="H12" s="44">
        <f>(RBC_Rates!$D$2)</f>
        <v>9.4999999999999998E-3</v>
      </c>
      <c r="I12" s="44">
        <f>INDEX(BMO_rates!$B$9:$E$10,MATCH(VALUE(LEFT(A12,FIND(" ",A12)-1)),BMO_rates!$E$9:$E$10,1),2)*100</f>
        <v>0.05</v>
      </c>
      <c r="J12" s="59">
        <f>BNS_Rates!$D$45</f>
        <v>1.7999999999999999E-2</v>
      </c>
      <c r="K12" s="44">
        <f>INDEX(BNS_Rates!$B$17:$G$22,MATCH(VALUE(LEFT(A12,FIND(" ",A12)-1)),BNS_Rates!$G$17:$G$22,1),2)*100</f>
        <v>0.15</v>
      </c>
      <c r="L12" s="77">
        <v>0.6</v>
      </c>
      <c r="M12" s="44">
        <f>LEFT((ICICI_rates!$B$6),5)*100</f>
        <v>0.6</v>
      </c>
      <c r="N12" s="44">
        <f>(Manulife_rates!$C$12)*100</f>
        <v>0.5</v>
      </c>
      <c r="O12" s="44">
        <f>(Manulife_ISA_USD[ISA USD])*100</f>
        <v>1.2</v>
      </c>
      <c r="P12" s="44">
        <f>INDEX(HSBC_rates!$B$10:$I$13,MATCH(VALUE(LEFT(A12,FIND(" ",A12)-1)),HSBC_rates!$I$10:$I$13,1),2)*100</f>
        <v>0.3</v>
      </c>
      <c r="Q12" s="44">
        <f>(Altamira_rates!$D$11)*100</f>
        <v>0.89999999999999991</v>
      </c>
      <c r="R12" s="44">
        <f>(BNS_Rates!$D$40)*100</f>
        <v>0.25</v>
      </c>
    </row>
    <row r="13" spans="1:28" x14ac:dyDescent="0.25">
      <c r="A13" s="42" t="s">
        <v>359</v>
      </c>
      <c r="B13" s="44">
        <f>INDEX(CIBC_rates!$B$8:$E$12,MATCH(VALUE(LEFT(A13,FIND(" ",A13)-1)),CIBC_rates!$E$8:$E$12,1),2)*100</f>
        <v>0.25</v>
      </c>
      <c r="C13" s="44">
        <f>(CIBC_rates!$C$22)*100</f>
        <v>1.7000000000000002</v>
      </c>
      <c r="D13" s="44">
        <f>INDEX(TD_rates!$B$30:$E$35,MATCH(VALUE(LEFT(A13,FIND(" ",A13)-1)),TD_rates!$E$30:$E$35,1),2)*100</f>
        <v>0.1</v>
      </c>
      <c r="E13" s="44">
        <f>(TD_rates!$F$41)*100</f>
        <v>1.7000000000000002</v>
      </c>
      <c r="F13" s="44" t="str">
        <f>INDEX(RBC_Rates!$A$134:$E$134,MATCH(VALUE(LEFT(A13,FIND(" ",A13)-1)),RBC_Rates!$E$134:$E$134,1),3)</f>
        <v>0.150</v>
      </c>
      <c r="G13" s="44" t="str">
        <f>INDEX(RBC_Rates!$A$133:$E$133,MATCH(VALUE(LEFT(A13,FIND(" ",A13)-1)),RBC_Rates!$E$133:$E$133,1),3)</f>
        <v>0.000</v>
      </c>
      <c r="H13" s="44">
        <f>(RBC_Rates!$D$2)</f>
        <v>9.4999999999999998E-3</v>
      </c>
      <c r="I13" s="44">
        <f>INDEX(BMO_rates!$B$9:$E$10,MATCH(VALUE(LEFT(A13,FIND(" ",A13)-1)),BMO_rates!$E$9:$E$10,1),2)*100</f>
        <v>0.05</v>
      </c>
      <c r="J13" s="59">
        <f>BNS_Rates!$D$44</f>
        <v>1.6500000000000001E-2</v>
      </c>
      <c r="K13" s="44">
        <f>INDEX(BNS_Rates!$B$17:$G$22,MATCH(VALUE(LEFT(A13,FIND(" ",A13)-1)),BNS_Rates!$G$17:$G$22,1),2)*100</f>
        <v>0.15</v>
      </c>
      <c r="L13" s="77">
        <v>0.6</v>
      </c>
      <c r="M13" s="44">
        <f>LEFT((ICICI_rates!$B$6),5)*100</f>
        <v>0.6</v>
      </c>
      <c r="N13" s="44">
        <f>(Manulife_rates!$C$12)*100</f>
        <v>0.5</v>
      </c>
      <c r="O13" s="44">
        <f>(Manulife_ISA_USD[ISA USD])*100</f>
        <v>1.2</v>
      </c>
      <c r="P13" s="44">
        <f>INDEX(HSBC_rates!$B$10:$I$13,MATCH(VALUE(LEFT(A13,FIND(" ",A13)-1)),HSBC_rates!$I$10:$I$13,1),2)*100</f>
        <v>0.25</v>
      </c>
      <c r="Q13" s="44">
        <f>(Altamira_rates!$D$11)*100</f>
        <v>0.89999999999999991</v>
      </c>
      <c r="R13" s="44">
        <f>(BNS_Rates!$D$40)*100</f>
        <v>0.25</v>
      </c>
    </row>
    <row r="14" spans="1:28" s="41" customFormat="1" x14ac:dyDescent="0.25">
      <c r="A14" s="42" t="s">
        <v>360</v>
      </c>
      <c r="B14" s="44">
        <f>INDEX(CIBC_rates!$B$8:$E$12,MATCH(VALUE(LEFT(A14,FIND(" ",A14)-1)),CIBC_rates!$E$8:$E$12,1),2)*100</f>
        <v>0.25</v>
      </c>
      <c r="C14" s="44">
        <f>(CIBC_rates!$C$22)*100</f>
        <v>1.7000000000000002</v>
      </c>
      <c r="D14" s="44">
        <f>INDEX(TD_rates!$B$30:$E$35,MATCH(VALUE(LEFT(A14,FIND(" ",A14)-1)),TD_rates!$E$30:$E$35,1),2)*100</f>
        <v>0.1</v>
      </c>
      <c r="E14" s="44">
        <f>(TD_rates!$F$41)*100</f>
        <v>1.7000000000000002</v>
      </c>
      <c r="F14" s="44" t="str">
        <f>INDEX(RBC_Rates!$A$134:$E$134,MATCH(VALUE(LEFT(A14,FIND(" ",A14)-1)),RBC_Rates!$E$134:$E$134,1),3)</f>
        <v>0.150</v>
      </c>
      <c r="G14" s="44" t="str">
        <f>INDEX(RBC_Rates!$A$133:$E$133,MATCH(VALUE(LEFT(A14,FIND(" ",A14)-1)),RBC_Rates!$E$133:$E$133,1),3)</f>
        <v>0.000</v>
      </c>
      <c r="H14" s="44">
        <f>(RBC_Rates!$D$2)</f>
        <v>9.4999999999999998E-3</v>
      </c>
      <c r="I14" s="44">
        <f>INDEX(BMO_rates!$B$9:$E$10,MATCH(VALUE(LEFT(A14,FIND(" ",A14)-1)),BMO_rates!$E$9:$E$10,1),2)*100</f>
        <v>0.05</v>
      </c>
      <c r="J14" s="59">
        <f>BNS_Rates!$D$44</f>
        <v>1.6500000000000001E-2</v>
      </c>
      <c r="K14" s="44">
        <f>INDEX(BNS_Rates!$B$17:$G$22,MATCH(VALUE(LEFT(A14,FIND(" ",A14)-1)),BNS_Rates!$G$17:$G$22,1),2)*100</f>
        <v>0.1</v>
      </c>
      <c r="L14" s="77">
        <v>0.6</v>
      </c>
      <c r="M14" s="44">
        <f>LEFT((ICICI_rates!$B$6),5)*100</f>
        <v>0.6</v>
      </c>
      <c r="N14" s="44">
        <f>(Manulife_rates!$C$12)*100</f>
        <v>0.5</v>
      </c>
      <c r="O14" s="44">
        <f>(Manulife_ISA_USD[ISA USD])*100</f>
        <v>1.2</v>
      </c>
      <c r="P14" s="44">
        <f>INDEX(HSBC_rates!$B$10:$I$13,MATCH(VALUE(LEFT(A14,FIND(" ",A14)-1)),HSBC_rates!$I$10:$I$13,1),2)*100</f>
        <v>0.25</v>
      </c>
      <c r="Q14" s="44">
        <f>(Altamira_rates!$D$11)*100</f>
        <v>0.89999999999999991</v>
      </c>
      <c r="R14" s="44">
        <f>(BNS_Rates!$D$40)*100</f>
        <v>0.25</v>
      </c>
      <c r="S14"/>
      <c r="T14"/>
      <c r="U14"/>
      <c r="V14"/>
      <c r="W14"/>
      <c r="X14"/>
      <c r="Y14"/>
    </row>
    <row r="15" spans="1:28" x14ac:dyDescent="0.25">
      <c r="A15" s="42" t="s">
        <v>361</v>
      </c>
      <c r="B15" s="44">
        <f>INDEX(CIBC_rates!$B$8:$E$12,MATCH(VALUE(LEFT(A15,FIND(" ",A15)-1)),CIBC_rates!$E$8:$E$12,1),2)*100</f>
        <v>0.25</v>
      </c>
      <c r="C15" s="44">
        <f>(CIBC_rates!$C$22)*100</f>
        <v>1.7000000000000002</v>
      </c>
      <c r="D15" s="44">
        <f>INDEX(TD_rates!$B$30:$E$35,MATCH(VALUE(LEFT(A15,FIND(" ",A15)-1)),TD_rates!$E$30:$E$35,1),2)*100</f>
        <v>0.1</v>
      </c>
      <c r="E15" s="44">
        <f>(TD_rates!$F$41)*100</f>
        <v>1.7000000000000002</v>
      </c>
      <c r="F15" s="44" t="str">
        <f>INDEX(RBC_Rates!$A$134:$E$134,MATCH(VALUE(LEFT(A15,FIND(" ",A15)-1)),RBC_Rates!$E$134:$E$134,1),3)</f>
        <v>0.150</v>
      </c>
      <c r="G15" s="44" t="str">
        <f>INDEX(RBC_Rates!$A$133:$E$133,MATCH(VALUE(LEFT(A15,FIND(" ",A15)-1)),RBC_Rates!$E$133:$E$133,1),3)</f>
        <v>0.000</v>
      </c>
      <c r="H15" s="44">
        <f>(RBC_Rates!$D$2)</f>
        <v>9.4999999999999998E-3</v>
      </c>
      <c r="I15" s="44">
        <f>INDEX(BMO_rates!$B$9:$E$10,MATCH(VALUE(LEFT(A15,FIND(" ",A15)-1)),BMO_rates!$E$9:$E$10,1),2)*100</f>
        <v>0.05</v>
      </c>
      <c r="J15" s="59">
        <f>BNS_Rates!$D$44</f>
        <v>1.6500000000000001E-2</v>
      </c>
      <c r="K15" s="44">
        <f>INDEX(BNS_Rates!$B$17:$G$22,MATCH(VALUE(LEFT(A15,FIND(" ",A15)-1)),BNS_Rates!$G$17:$G$22,1),2)*100</f>
        <v>0.1</v>
      </c>
      <c r="L15" s="77">
        <v>0.6</v>
      </c>
      <c r="M15" s="44">
        <f>LEFT((ICICI_rates!$B$6),5)*100</f>
        <v>0.6</v>
      </c>
      <c r="N15" s="44">
        <f>(Manulife_rates!$C$12)*100</f>
        <v>0.5</v>
      </c>
      <c r="O15" s="44">
        <f>(Manulife_ISA_USD[ISA USD])*100</f>
        <v>1.2</v>
      </c>
      <c r="P15" s="44">
        <f>INDEX(HSBC_rates!$B$10:$I$13,MATCH(VALUE(LEFT(A15,FIND(" ",A15)-1)),HSBC_rates!$I$10:$I$13,1),2)*100</f>
        <v>0.2</v>
      </c>
      <c r="Q15" s="44">
        <f>(Altamira_rates!$D$11)*100</f>
        <v>0.89999999999999991</v>
      </c>
      <c r="R15" s="44">
        <f>(BNS_Rates!$D$40)*100</f>
        <v>0.25</v>
      </c>
    </row>
    <row r="16" spans="1:28" x14ac:dyDescent="0.25">
      <c r="A16" s="42" t="s">
        <v>36</v>
      </c>
      <c r="B16" s="44">
        <f>INDEX(CIBC_rates!$B$8:$E$12,MATCH(VALUE(LEFT(A16,FIND(" ",A16)-1)),CIBC_rates!$E$8:$E$12,1),2)*100</f>
        <v>0.25</v>
      </c>
      <c r="C16" s="44">
        <f>(CIBC_rates!$C$22)*100</f>
        <v>1.7000000000000002</v>
      </c>
      <c r="D16" s="44">
        <f>INDEX(TD_rates!$B$30:$E$35,MATCH(VALUE(LEFT(A16,FIND(" ",A16)-1)),TD_rates!$E$30:$E$35,1),2)*100</f>
        <v>0.05</v>
      </c>
      <c r="E16" s="44">
        <f>(TD_rates!$F$41)*100</f>
        <v>1.7000000000000002</v>
      </c>
      <c r="F16" s="44" t="str">
        <f>INDEX(RBC_Rates!$A$134:$E$134,MATCH(VALUE(LEFT(A16,FIND(" ",A16)-1)),RBC_Rates!$E$134:$E$134,1),3)</f>
        <v>0.150</v>
      </c>
      <c r="G16" s="44" t="str">
        <f>INDEX(RBC_Rates!$A$133:$E$133,MATCH(VALUE(LEFT(A16,FIND(" ",A16)-1)),RBC_Rates!$E$133:$E$133,1),3)</f>
        <v>0.000</v>
      </c>
      <c r="H16" s="44">
        <f>(RBC_Rates!$D$2)</f>
        <v>9.4999999999999998E-3</v>
      </c>
      <c r="I16" s="44">
        <f>INDEX(BMO_rates!$B$9:$E$10,MATCH(VALUE(LEFT(A16,FIND(" ",A16)-1)),BMO_rates!$E$9:$E$10,1),2)*100</f>
        <v>0.05</v>
      </c>
      <c r="J16" s="59">
        <f>BNS_Rates!$D$44</f>
        <v>1.6500000000000001E-2</v>
      </c>
      <c r="K16" s="44">
        <f>INDEX(BNS_Rates!$B$17:$G$22,MATCH(VALUE(LEFT(A16,FIND(" ",A16)-1)),BNS_Rates!$G$17:$G$22,1),2)*100</f>
        <v>0.05</v>
      </c>
      <c r="L16" s="77">
        <v>0.6</v>
      </c>
      <c r="M16" s="44">
        <f>LEFT((ICICI_rates!$B$6),5)*100</f>
        <v>0.6</v>
      </c>
      <c r="N16" s="44">
        <f>(Manulife_rates!$C$12)*100</f>
        <v>0.5</v>
      </c>
      <c r="O16" s="44">
        <f>(Manulife_ISA_USD[ISA USD])*100</f>
        <v>1.2</v>
      </c>
      <c r="P16" s="44">
        <f>INDEX(HSBC_rates!$B$10:$I$13,MATCH(VALUE(LEFT(A16,FIND(" ",A16)-1)),HSBC_rates!$I$10:$I$13,1),2)*100</f>
        <v>0.1</v>
      </c>
      <c r="Q16" s="44">
        <f>(Altamira_rates!$D$11)*100</f>
        <v>0.89999999999999991</v>
      </c>
      <c r="R16" s="44">
        <f>(BNS_Rates!$D$40)*100</f>
        <v>0.25</v>
      </c>
    </row>
    <row r="17" spans="1:18" x14ac:dyDescent="0.25">
      <c r="A17" s="42" t="s">
        <v>37</v>
      </c>
      <c r="B17" s="44">
        <f>INDEX(CIBC_rates!$B$8:$E$12,MATCH(VALUE(LEFT(A17,FIND(" ",A17)-1)),CIBC_rates!$E$8:$E$12,1),2)*100</f>
        <v>0.25</v>
      </c>
      <c r="C17" s="44">
        <f>(CIBC_rates!$C$22)*100</f>
        <v>1.7000000000000002</v>
      </c>
      <c r="D17" s="44">
        <f>INDEX(TD_rates!$B$30:$E$35,MATCH(VALUE(LEFT(A17,FIND(" ",A17)-1)),TD_rates!$E$30:$E$35,1),2)*100</f>
        <v>2.5000000000000001E-2</v>
      </c>
      <c r="E17" s="44">
        <f>(TD_rates!$F$41)*100</f>
        <v>1.7000000000000002</v>
      </c>
      <c r="F17" s="44" t="str">
        <f>INDEX(RBC_Rates!$A$134:$E$134,MATCH(VALUE(LEFT(A17,FIND(" ",A17)-1)),RBC_Rates!$E$134:$E$134,1),3)</f>
        <v>0.150</v>
      </c>
      <c r="G17" s="44" t="str">
        <f>INDEX(RBC_Rates!$A$133:$E$133,MATCH(VALUE(LEFT(A17,FIND(" ",A17)-1)),RBC_Rates!$E$133:$E$133,1),3)</f>
        <v>0.000</v>
      </c>
      <c r="H17" s="44">
        <f>(RBC_Rates!$D$2)</f>
        <v>9.4999999999999998E-3</v>
      </c>
      <c r="I17" s="44">
        <f>INDEX(BMO_rates!$B$9:$E$10,MATCH(VALUE(LEFT(A17,FIND(" ",A17)-1)),BMO_rates!$E$9:$E$10,1),2)*100</f>
        <v>0.05</v>
      </c>
      <c r="J17" s="59">
        <f>BNS_Rates!$D$44</f>
        <v>1.6500000000000001E-2</v>
      </c>
      <c r="K17" s="44">
        <f>INDEX(BNS_Rates!$B$17:$G$22,MATCH(VALUE(LEFT(A17,FIND(" ",A17)-1)),BNS_Rates!$G$17:$G$22,1),2)*100</f>
        <v>2.5000000000000001E-2</v>
      </c>
      <c r="L17" s="77">
        <v>0.6</v>
      </c>
      <c r="M17" s="44">
        <f>LEFT((ICICI_rates!$B$6),5)*100</f>
        <v>0.6</v>
      </c>
      <c r="N17" s="44">
        <f>(Manulife_rates!$C$12)*100</f>
        <v>0.5</v>
      </c>
      <c r="O17" s="44">
        <f>(Manulife_ISA_USD[ISA USD])*100</f>
        <v>1.2</v>
      </c>
      <c r="P17" s="44">
        <f>INDEX(HSBC_rates!$B$10:$I$13,MATCH(VALUE(LEFT(A17,FIND(" ",A17)-1)),HSBC_rates!$I$10:$I$13,1),2)*100</f>
        <v>0.1</v>
      </c>
      <c r="Q17" s="44">
        <f>(Altamira_rates!$D$11)*100</f>
        <v>0.89999999999999991</v>
      </c>
      <c r="R17" s="44">
        <f>(BNS_Rates!$D$40)*100</f>
        <v>0.25</v>
      </c>
    </row>
    <row r="18" spans="1:18" x14ac:dyDescent="0.25">
      <c r="A18" s="42" t="s">
        <v>38</v>
      </c>
      <c r="B18" s="44">
        <f>INDEX(CIBC_rates!$B$8:$E$12,MATCH(VALUE(LEFT(A18,FIND(" ",A18)-1)),CIBC_rates!$E$8:$E$12,1),2)*100</f>
        <v>0.25</v>
      </c>
      <c r="C18" s="44">
        <f>(CIBC_rates!$C$22)*100</f>
        <v>1.7000000000000002</v>
      </c>
      <c r="D18" s="44">
        <f>INDEX(TD_rates!$B$30:$E$35,MATCH(VALUE(LEFT(A18,FIND(" ",A18)-1)),TD_rates!$E$30:$E$35,1),2)*100</f>
        <v>0.01</v>
      </c>
      <c r="E18" s="44">
        <f>(TD_rates!$F$41)*100</f>
        <v>1.7000000000000002</v>
      </c>
      <c r="F18" s="44" t="str">
        <f>INDEX(RBC_Rates!$A$134:$E$134,MATCH(VALUE(LEFT(A18,FIND(" ",A18)-1)),RBC_Rates!$E$134:$E$134,1),3)</f>
        <v>0.150</v>
      </c>
      <c r="G18" s="44" t="str">
        <f>INDEX(RBC_Rates!$A$133:$E$133,MATCH(VALUE(LEFT(A18,FIND(" ",A18)-1)),RBC_Rates!$E$133:$E$133,1),3)</f>
        <v>0.000</v>
      </c>
      <c r="H18" s="44">
        <f>(RBC_Rates!$D$2)</f>
        <v>9.4999999999999998E-3</v>
      </c>
      <c r="I18" s="44">
        <f>INDEX(BMO_rates!$B$9:$E$10,MATCH(VALUE(LEFT(A18,FIND(" ",A18)-1)),BMO_rates!$E$9:$E$10,1),2)*100</f>
        <v>0.05</v>
      </c>
      <c r="J18" s="59">
        <f>BNS_Rates!$D$44</f>
        <v>1.6500000000000001E-2</v>
      </c>
      <c r="K18" s="44">
        <f>INDEX(BNS_Rates!$B$17:$G$22,MATCH(VALUE(LEFT(A18,FIND(" ",A18)-1)),BNS_Rates!$G$17:$G$22,1),2)*100</f>
        <v>0.01</v>
      </c>
      <c r="L18" s="77">
        <v>0.6</v>
      </c>
      <c r="M18" s="44">
        <f>LEFT((ICICI_rates!$B$6),5)*100</f>
        <v>0.6</v>
      </c>
      <c r="N18" s="44">
        <f>(Manulife_rates!$C$12)*100</f>
        <v>0.5</v>
      </c>
      <c r="O18" s="44">
        <f>(Manulife_ISA_USD[ISA USD])*100</f>
        <v>1.2</v>
      </c>
      <c r="P18" s="44">
        <f>INDEX(HSBC_rates!$B$10:$I$13,MATCH(VALUE(LEFT(A18,FIND(" ",A18)-1)),HSBC_rates!$I$10:$I$13,1),2)*100</f>
        <v>0.1</v>
      </c>
      <c r="Q18" s="44">
        <f>(Altamira_rates!$D$11)*100</f>
        <v>0.89999999999999991</v>
      </c>
      <c r="R18" s="44">
        <f>(BNS_Rates!$D$40)*100</f>
        <v>0.25</v>
      </c>
    </row>
    <row r="19" spans="1:18" x14ac:dyDescent="0.25">
      <c r="A19" s="42" t="s">
        <v>39</v>
      </c>
      <c r="B19" s="44">
        <f>INDEX(CIBC_rates!$B$8:$E$12,MATCH(VALUE(LEFT(A19,FIND(" ",A19)-1)),CIBC_rates!$E$8:$E$12,1),2)*100</f>
        <v>0.25</v>
      </c>
      <c r="C19" s="44">
        <f>(CIBC_rates!$C$22)*100</f>
        <v>1.7000000000000002</v>
      </c>
      <c r="D19" s="44">
        <f>INDEX(TD_rates!$B$30:$E$35,MATCH(VALUE(LEFT(A19,FIND(" ",A19)-1)),TD_rates!$E$30:$E$35,1),2)*100</f>
        <v>0.01</v>
      </c>
      <c r="E19" s="44">
        <f>(TD_rates!$F$41)*100</f>
        <v>1.7000000000000002</v>
      </c>
      <c r="F19" s="44" t="str">
        <f>INDEX(RBC_Rates!$A$134:$E$134,MATCH(VALUE(LEFT(A19,FIND(" ",A19)-1)),RBC_Rates!$E$134:$E$134,1),3)</f>
        <v>0.150</v>
      </c>
      <c r="G19" s="44" t="str">
        <f>INDEX(RBC_Rates!$A$133:$E$133,MATCH(VALUE(LEFT(A19,FIND(" ",A19)-1)),RBC_Rates!$E$133:$E$133,1),3)</f>
        <v>0.000</v>
      </c>
      <c r="H19" s="44">
        <f>(RBC_Rates!$D$2)</f>
        <v>9.4999999999999998E-3</v>
      </c>
      <c r="I19" s="44">
        <f>INDEX(BMO_rates!$B$9:$E$10,MATCH(VALUE(LEFT(A19,FIND(" ",A19)-1)),BMO_rates!$E$9:$E$10,1),2)*100</f>
        <v>0.05</v>
      </c>
      <c r="J19" s="59">
        <f>BNS_Rates!$D$44</f>
        <v>1.6500000000000001E-2</v>
      </c>
      <c r="K19" s="44">
        <f>INDEX(BNS_Rates!$B$17:$G$22,MATCH(VALUE(LEFT(A19,FIND(" ",A19)-1)),BNS_Rates!$G$17:$G$22,1),2)*100</f>
        <v>0.01</v>
      </c>
      <c r="L19" s="77">
        <v>0.6</v>
      </c>
      <c r="M19" s="44">
        <f>LEFT((ICICI_rates!$B$6),5)*100</f>
        <v>0.6</v>
      </c>
      <c r="N19" s="44">
        <f>(Manulife_rates!$C$12)*100</f>
        <v>0.5</v>
      </c>
      <c r="O19" s="44">
        <f>(Manulife_ISA_USD[ISA USD])*100</f>
        <v>1.2</v>
      </c>
      <c r="P19" s="44">
        <f>INDEX(HSBC_rates!$B$10:$I$13,MATCH(VALUE(LEFT(A19,FIND(" ",A19)-1)),HSBC_rates!$I$10:$I$13,1),2)*100</f>
        <v>0.1</v>
      </c>
      <c r="Q19" s="44">
        <f>(Altamira_rates!$D$11)*100</f>
        <v>0.89999999999999991</v>
      </c>
      <c r="R19" s="44">
        <f>(BNS_Rates!$D$40)*100</f>
        <v>0.25</v>
      </c>
    </row>
    <row r="20" spans="1:18" s="41" customFormat="1" x14ac:dyDescent="0.25">
      <c r="A20" s="42" t="s">
        <v>424</v>
      </c>
      <c r="B20" s="44">
        <f>INDEX(CIBC_rates!$B$8:$E$12,MATCH(VALUE(LEFT(A20,FIND(" ",A20)-1)),CIBC_rates!$E$8:$E$12,1),2)*100</f>
        <v>0.25</v>
      </c>
      <c r="C20" s="44">
        <f>(CIBC_rates!$C$22)*100</f>
        <v>1.7000000000000002</v>
      </c>
      <c r="D20" s="44">
        <f>INDEX(TD_rates!$B$30:$E$35,MATCH(VALUE(LEFT(A20,FIND(" ",A20)-1)),TD_rates!$E$30:$E$35,1),2)*100</f>
        <v>0</v>
      </c>
      <c r="E20" s="44">
        <f>(TD_rates!$F$41)*100</f>
        <v>1.7000000000000002</v>
      </c>
      <c r="F20" s="44" t="str">
        <f>INDEX(RBC_Rates!$A$134:$E$134,MATCH(VALUE(LEFT(A20,FIND(" ",A20)-1)),RBC_Rates!$E$134:$E$134,1),3)</f>
        <v>0.150</v>
      </c>
      <c r="G20" s="44" t="str">
        <f>INDEX(RBC_Rates!$A$133:$E$133,MATCH(VALUE(LEFT(A20,FIND(" ",A20)-1)),RBC_Rates!$E$133:$E$133,1),3)</f>
        <v>0.000</v>
      </c>
      <c r="H20" s="44">
        <f>(RBC_Rates!$D$2)</f>
        <v>9.4999999999999998E-3</v>
      </c>
      <c r="I20" s="44">
        <f>INDEX(BMO_rates!$B$9:$E$10,MATCH(VALUE(LEFT(A20,FIND(" ",A20)-1)),BMO_rates!$E$9:$E$10,1),2)*100</f>
        <v>0.05</v>
      </c>
      <c r="J20" s="59">
        <f>BNS_Rates!$D$44</f>
        <v>1.6500000000000001E-2</v>
      </c>
      <c r="K20" s="44">
        <f>INDEX(BNS_Rates!$B$17:$G$22,MATCH(VALUE(LEFT(A20,FIND(" ",A20)-1)),BNS_Rates!$G$17:$G$22,1),2)*100</f>
        <v>0</v>
      </c>
      <c r="L20" s="77">
        <v>0.6</v>
      </c>
      <c r="M20" s="44">
        <f>LEFT((ICICI_rates!$B$6),5)*100</f>
        <v>0.6</v>
      </c>
      <c r="N20" s="44">
        <f>(Manulife_rates!$C$12)*100</f>
        <v>0.5</v>
      </c>
      <c r="O20" s="44">
        <f>(Manulife_ISA_USD[ISA USD])*100</f>
        <v>1.2</v>
      </c>
      <c r="P20" s="44">
        <f>INDEX(HSBC_rates!$B$10:$I$13,MATCH(VALUE(LEFT(A20,FIND(" ",A20)-1)),HSBC_rates!$I$10:$I$13,1),2)*100</f>
        <v>0.1</v>
      </c>
      <c r="Q20" s="44">
        <f>(Altamira_rates!$D$11)*100</f>
        <v>0.89999999999999991</v>
      </c>
      <c r="R20" s="44">
        <f>(BNS_Rates!$D$40)*100</f>
        <v>0.25</v>
      </c>
    </row>
    <row r="21" spans="1:18" x14ac:dyDescent="0.25">
      <c r="A21" s="42" t="s">
        <v>425</v>
      </c>
      <c r="B21" s="44">
        <f>INDEX(CIBC_rates!$B$8:$E$12,MATCH(VALUE(LEFT(A21,FIND(" ",A21)-1)),CIBC_rates!$E$8:$E$12,1),2)*100</f>
        <v>0.25</v>
      </c>
      <c r="C21" s="44">
        <f>(CIBC_rates!$C$22)*100</f>
        <v>1.7000000000000002</v>
      </c>
      <c r="D21" s="44">
        <f>INDEX(TD_rates!$B$30:$E$35,MATCH(VALUE(LEFT(A21,FIND(" ",A21)-1)),TD_rates!$E$30:$E$35,1),2)*100</f>
        <v>0</v>
      </c>
      <c r="E21" s="44">
        <f>(TD_rates!$F$41)*100</f>
        <v>1.7000000000000002</v>
      </c>
      <c r="F21" s="44" t="str">
        <f>INDEX(RBC_Rates!$A$134:$E$134,MATCH(VALUE(LEFT(A21,FIND(" ",A21)-1)),RBC_Rates!$E$134:$E$134,1),3)</f>
        <v>0.150</v>
      </c>
      <c r="G21" s="44" t="str">
        <f>INDEX(RBC_Rates!$A$133:$E$133,MATCH(VALUE(LEFT(A21,FIND(" ",A21)-1)),RBC_Rates!$E$133:$E$133,1),3)</f>
        <v>0.000</v>
      </c>
      <c r="H21" s="44" t="s">
        <v>31</v>
      </c>
      <c r="I21" s="44">
        <f>INDEX(BMO_rates!$B$9:$E$10,MATCH(VALUE(LEFT(A21,FIND(" ",A21)-1)),BMO_rates!$E$9:$E$10,1),2)*100</f>
        <v>0.05</v>
      </c>
      <c r="J21" s="59">
        <f>BNS_Rates!$D$44</f>
        <v>1.6500000000000001E-2</v>
      </c>
      <c r="K21" s="44">
        <f>INDEX(BNS_Rates!$B$17:$G$22,MATCH(VALUE(LEFT(A21,FIND(" ",A21)-1)),BNS_Rates!$G$17:$G$22,1),2)*100</f>
        <v>0</v>
      </c>
      <c r="L21" s="77">
        <v>0.6</v>
      </c>
      <c r="M21" s="44">
        <f>LEFT((ICICI_rates!$B$6),5)*100</f>
        <v>0.6</v>
      </c>
      <c r="N21" s="44">
        <f>(Manulife_rates!$C$12)*100</f>
        <v>0.5</v>
      </c>
      <c r="O21" s="44">
        <f>(Manulife_ISA_USD[ISA USD])*100</f>
        <v>1.2</v>
      </c>
      <c r="P21" s="44">
        <f>INDEX(HSBC_rates!$B$10:$I$13,MATCH(VALUE(LEFT(A21,FIND(" ",A21)-1)),HSBC_rates!$I$10:$I$13,1),2)*100</f>
        <v>0.1</v>
      </c>
      <c r="Q21" s="44">
        <f>(Altamira_rates!$D$11)*100</f>
        <v>0.89999999999999991</v>
      </c>
      <c r="R21" s="44">
        <f>(BNS_Rates!$D$40)*100</f>
        <v>0.25</v>
      </c>
    </row>
    <row r="22" spans="1:18" x14ac:dyDescent="0.25">
      <c r="A22" s="53"/>
      <c r="B22" s="54"/>
      <c r="C22" s="55"/>
      <c r="D22" s="56"/>
      <c r="E22" s="56"/>
      <c r="F22" s="56"/>
      <c r="G22" s="56"/>
      <c r="H22" s="55"/>
      <c r="I22" s="57"/>
      <c r="J22" s="63"/>
      <c r="K22" s="56"/>
      <c r="L22" s="55"/>
      <c r="M22" s="54"/>
      <c r="N22" s="55"/>
      <c r="O22" s="55"/>
      <c r="P22" s="55"/>
      <c r="Q22" s="55"/>
      <c r="R22" s="53"/>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2" t="s">
        <v>42</v>
      </c>
      <c r="C24" s="42" t="s">
        <v>43</v>
      </c>
      <c r="D24" s="42" t="s">
        <v>42</v>
      </c>
      <c r="E24" s="42" t="s">
        <v>43</v>
      </c>
      <c r="F24" s="42" t="s">
        <v>42</v>
      </c>
      <c r="G24" s="42" t="s">
        <v>42</v>
      </c>
      <c r="H24" s="42" t="s">
        <v>43</v>
      </c>
      <c r="I24" s="42" t="s">
        <v>42</v>
      </c>
      <c r="J24" s="42" t="s">
        <v>43</v>
      </c>
      <c r="K24" s="42" t="s">
        <v>42</v>
      </c>
      <c r="L24" s="42" t="s">
        <v>42</v>
      </c>
      <c r="M24" s="42" t="s">
        <v>42</v>
      </c>
      <c r="N24" s="42" t="s">
        <v>42</v>
      </c>
      <c r="O24" s="42" t="s">
        <v>43</v>
      </c>
      <c r="P24" s="42" t="s">
        <v>42</v>
      </c>
      <c r="Q24" s="42" t="s">
        <v>43</v>
      </c>
      <c r="R24" s="42"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20" sqref="J20"/>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1"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6"/>
      <c r="B1" s="46"/>
      <c r="C1" s="46"/>
      <c r="D1" s="46"/>
      <c r="E1" s="46"/>
      <c r="F1" s="46"/>
      <c r="G1" s="46"/>
      <c r="H1" s="46"/>
      <c r="I1" s="46"/>
      <c r="J1" s="46"/>
      <c r="K1" s="46"/>
      <c r="L1" s="3"/>
      <c r="M1" s="3"/>
      <c r="N1" s="3"/>
    </row>
    <row r="2" spans="1:14" ht="25.5" x14ac:dyDescent="0.35">
      <c r="A2" s="64"/>
      <c r="B2" s="74" t="s">
        <v>452</v>
      </c>
      <c r="C2" s="64"/>
      <c r="D2" s="64"/>
      <c r="E2" s="64"/>
      <c r="F2" s="64"/>
      <c r="G2" s="64"/>
      <c r="H2" s="64"/>
      <c r="I2" s="64"/>
      <c r="J2" s="64"/>
      <c r="K2" s="64"/>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5" t="s">
        <v>430</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8"/>
      <c r="B9" s="48" t="s">
        <v>0</v>
      </c>
      <c r="C9" s="48" t="s">
        <v>0</v>
      </c>
      <c r="D9" s="48" t="s">
        <v>1</v>
      </c>
      <c r="E9" s="48" t="s">
        <v>1</v>
      </c>
      <c r="F9" s="48" t="s">
        <v>1</v>
      </c>
      <c r="G9" s="48" t="s">
        <v>1</v>
      </c>
      <c r="H9" s="48" t="s">
        <v>4</v>
      </c>
      <c r="I9" s="48" t="s">
        <v>5</v>
      </c>
      <c r="J9" s="48" t="s">
        <v>44</v>
      </c>
      <c r="K9" s="48" t="s">
        <v>8</v>
      </c>
      <c r="L9" s="48" t="s">
        <v>11</v>
      </c>
      <c r="M9" s="48" t="s">
        <v>12</v>
      </c>
      <c r="N9" s="71" t="s">
        <v>45</v>
      </c>
    </row>
    <row r="10" spans="1:14" ht="64.5" x14ac:dyDescent="0.25">
      <c r="A10" s="51"/>
      <c r="B10" s="51" t="s">
        <v>389</v>
      </c>
      <c r="C10" s="51" t="s">
        <v>46</v>
      </c>
      <c r="D10" s="51" t="s">
        <v>47</v>
      </c>
      <c r="E10" s="51" t="s">
        <v>373</v>
      </c>
      <c r="F10" s="51" t="s">
        <v>374</v>
      </c>
      <c r="G10" s="51" t="s">
        <v>375</v>
      </c>
      <c r="H10" s="51" t="s">
        <v>379</v>
      </c>
      <c r="I10" s="51" t="s">
        <v>47</v>
      </c>
      <c r="J10" s="51" t="s">
        <v>440</v>
      </c>
      <c r="K10" s="51" t="s">
        <v>47</v>
      </c>
      <c r="L10" s="51" t="s">
        <v>48</v>
      </c>
      <c r="M10" s="51" t="s">
        <v>26</v>
      </c>
      <c r="N10" s="51" t="s">
        <v>49</v>
      </c>
    </row>
    <row r="11" spans="1:14" x14ac:dyDescent="0.25">
      <c r="A11" s="7" t="s">
        <v>426</v>
      </c>
      <c r="B11" s="44">
        <f>(CIBC_rates!$B$25)*100</f>
        <v>1.6</v>
      </c>
      <c r="C11" s="44">
        <f>(CIBC_rates!$C$21)*100</f>
        <v>1.6</v>
      </c>
      <c r="D11" s="44">
        <f>(TD_rates!$F$40)*100</f>
        <v>1.6</v>
      </c>
      <c r="E11" s="44">
        <f>(TD_rates!$F$42)*100</f>
        <v>1.6</v>
      </c>
      <c r="F11" s="44">
        <f>(TD_rates!$F$43)*100</f>
        <v>1.6</v>
      </c>
      <c r="G11" s="44">
        <f>(TD_rates!$F$44)*100</f>
        <v>1.6</v>
      </c>
      <c r="H11" s="59">
        <v>1.75</v>
      </c>
      <c r="I11" s="44" t="s">
        <v>31</v>
      </c>
      <c r="J11" s="44">
        <f>(Altamira_rates!$D$4)*100</f>
        <v>1.6</v>
      </c>
      <c r="K11" s="44">
        <f>(Manulife_ISA_CAD[ISA CAD])*100</f>
        <v>1.4000000000000001</v>
      </c>
      <c r="L11" s="75">
        <f>(B2B_rates!$D$2)*100</f>
        <v>1.4000000000000001</v>
      </c>
      <c r="M11" s="44">
        <f>(BNS_Rates!$C$40)*100</f>
        <v>0.25</v>
      </c>
      <c r="N11" s="44">
        <f>(HomeTrust_rates!$B$13)*100</f>
        <v>1.6</v>
      </c>
    </row>
    <row r="12" spans="1:14" s="41" customFormat="1" x14ac:dyDescent="0.25">
      <c r="A12" s="42" t="s">
        <v>358</v>
      </c>
      <c r="B12" s="44">
        <f>(CIBC_rates!$B$25)*100</f>
        <v>1.6</v>
      </c>
      <c r="C12" s="44">
        <f>(CIBC_rates!$C$21)*100</f>
        <v>1.6</v>
      </c>
      <c r="D12" s="44">
        <f>(TD_rates!$F$40)*100</f>
        <v>1.6</v>
      </c>
      <c r="E12" s="44">
        <f>(TD_rates!$F$42)*100</f>
        <v>1.6</v>
      </c>
      <c r="F12" s="44">
        <f>(TD_rates!$F$43)*100</f>
        <v>1.6</v>
      </c>
      <c r="G12" s="44">
        <f>(TD_rates!$F$44)*100</f>
        <v>1.6</v>
      </c>
      <c r="H12" s="59">
        <v>1.75</v>
      </c>
      <c r="I12" s="44">
        <f>(RBC_Rates!$C$2)*100</f>
        <v>1.6</v>
      </c>
      <c r="J12" s="44">
        <f>(Altamira_rates!$D$4)*100</f>
        <v>1.6</v>
      </c>
      <c r="K12" s="44">
        <f>(Manulife_ISA_CAD[ISA CAD])*100</f>
        <v>1.4000000000000001</v>
      </c>
      <c r="L12" s="75">
        <f>(B2B_rates!$D$2)*100</f>
        <v>1.4000000000000001</v>
      </c>
      <c r="M12" s="44">
        <f>(BNS_Rates!$C$40)*100</f>
        <v>0.25</v>
      </c>
      <c r="N12" s="44">
        <f>(HomeTrust_rates!$B$13)*100</f>
        <v>1.6</v>
      </c>
    </row>
    <row r="13" spans="1:14" x14ac:dyDescent="0.25">
      <c r="A13" s="42" t="s">
        <v>359</v>
      </c>
      <c r="B13" s="44">
        <f>(CIBC_rates!$B$25)*100</f>
        <v>1.6</v>
      </c>
      <c r="C13" s="44">
        <f>(CIBC_rates!$C$21)*100</f>
        <v>1.6</v>
      </c>
      <c r="D13" s="44">
        <f>(TD_rates!$F$40)*100</f>
        <v>1.6</v>
      </c>
      <c r="E13" s="44">
        <f>(TD_rates!$F$42)*100</f>
        <v>1.6</v>
      </c>
      <c r="F13" s="44">
        <f>(TD_rates!$F$43)*100</f>
        <v>1.6</v>
      </c>
      <c r="G13" s="44">
        <f>(TD_rates!$F$44)*100</f>
        <v>1.6</v>
      </c>
      <c r="H13" s="59">
        <v>1.6</v>
      </c>
      <c r="I13" s="44">
        <f>(RBC_Rates!$C$2)*100</f>
        <v>1.6</v>
      </c>
      <c r="J13" s="44">
        <f>(Altamira_rates!$D$4)*100</f>
        <v>1.6</v>
      </c>
      <c r="K13" s="44">
        <f>(Manulife_ISA_CAD[ISA CAD])*100</f>
        <v>1.4000000000000001</v>
      </c>
      <c r="L13" s="75">
        <f>(B2B_rates!$D$2)*100</f>
        <v>1.4000000000000001</v>
      </c>
      <c r="M13" s="44">
        <f>(BNS_Rates!$C$40)*100</f>
        <v>0.25</v>
      </c>
      <c r="N13" s="44">
        <f>(HomeTrust_rates!$B$13)*100</f>
        <v>1.6</v>
      </c>
    </row>
    <row r="14" spans="1:14" x14ac:dyDescent="0.25">
      <c r="A14" s="42" t="s">
        <v>360</v>
      </c>
      <c r="B14" s="44">
        <f>(CIBC_rates!$B$25)*100</f>
        <v>1.6</v>
      </c>
      <c r="C14" s="44">
        <f>(CIBC_rates!$C$21)*100</f>
        <v>1.6</v>
      </c>
      <c r="D14" s="44">
        <f>(TD_rates!$F$40)*100</f>
        <v>1.6</v>
      </c>
      <c r="E14" s="44">
        <f>(TD_rates!$F$42)*100</f>
        <v>1.6</v>
      </c>
      <c r="F14" s="44">
        <f>(TD_rates!$F$43)*100</f>
        <v>1.6</v>
      </c>
      <c r="G14" s="44">
        <f>(TD_rates!$F$44)*100</f>
        <v>1.6</v>
      </c>
      <c r="H14" s="59">
        <v>1.6</v>
      </c>
      <c r="I14" s="44">
        <f>(RBC_Rates!$C$2)*100</f>
        <v>1.6</v>
      </c>
      <c r="J14" s="44">
        <f>(Altamira_rates!$D$4)*100</f>
        <v>1.6</v>
      </c>
      <c r="K14" s="44">
        <f>(Manulife_ISA_CAD[ISA CAD])*100</f>
        <v>1.4000000000000001</v>
      </c>
      <c r="L14" s="75">
        <f>(B2B_rates!$D$2)*100</f>
        <v>1.4000000000000001</v>
      </c>
      <c r="M14" s="44">
        <f>(BNS_Rates!$C$40)*100</f>
        <v>0.25</v>
      </c>
      <c r="N14" s="44">
        <f>(HomeTrust_rates!$B$13)*100</f>
        <v>1.6</v>
      </c>
    </row>
    <row r="15" spans="1:14" x14ac:dyDescent="0.25">
      <c r="A15" s="42" t="s">
        <v>361</v>
      </c>
      <c r="B15" s="44">
        <f>(CIBC_rates!$B$25)*100</f>
        <v>1.6</v>
      </c>
      <c r="C15" s="44">
        <f>(CIBC_rates!$C$21)*100</f>
        <v>1.6</v>
      </c>
      <c r="D15" s="44">
        <f>(TD_rates!$F$40)*100</f>
        <v>1.6</v>
      </c>
      <c r="E15" s="44">
        <f>(TD_rates!$F$42)*100</f>
        <v>1.6</v>
      </c>
      <c r="F15" s="44">
        <f>(TD_rates!$F$43)*100</f>
        <v>1.6</v>
      </c>
      <c r="G15" s="44">
        <f>(TD_rates!$F$44)*100</f>
        <v>1.6</v>
      </c>
      <c r="H15" s="59">
        <v>1.6</v>
      </c>
      <c r="I15" s="44">
        <f>(RBC_Rates!$C$2)*100</f>
        <v>1.6</v>
      </c>
      <c r="J15" s="44">
        <f>(Altamira_rates!$D$4)*100</f>
        <v>1.6</v>
      </c>
      <c r="K15" s="44">
        <f>(Manulife_ISA_CAD[ISA CAD])*100</f>
        <v>1.4000000000000001</v>
      </c>
      <c r="L15" s="75">
        <f>(B2B_rates!$D$2)*100</f>
        <v>1.4000000000000001</v>
      </c>
      <c r="M15" s="44">
        <f>(BNS_Rates!$C$40)*100</f>
        <v>0.25</v>
      </c>
      <c r="N15" s="44">
        <f>(HomeTrust_rates!$B$13)*100</f>
        <v>1.6</v>
      </c>
    </row>
    <row r="16" spans="1:14" x14ac:dyDescent="0.25">
      <c r="A16" s="42" t="s">
        <v>36</v>
      </c>
      <c r="B16" s="44">
        <f>(CIBC_rates!$B$25)*100</f>
        <v>1.6</v>
      </c>
      <c r="C16" s="44">
        <f>(CIBC_rates!$C$21)*100</f>
        <v>1.6</v>
      </c>
      <c r="D16" s="44">
        <f>(TD_rates!$F$40)*100</f>
        <v>1.6</v>
      </c>
      <c r="E16" s="44">
        <f>(TD_rates!$F$42)*100</f>
        <v>1.6</v>
      </c>
      <c r="F16" s="44">
        <f>(TD_rates!$F$43)*100</f>
        <v>1.6</v>
      </c>
      <c r="G16" s="44">
        <f>(TD_rates!$F$44)*100</f>
        <v>1.6</v>
      </c>
      <c r="H16" s="59">
        <v>1.6</v>
      </c>
      <c r="I16" s="44">
        <f>(RBC_Rates!$C$2)*100</f>
        <v>1.6</v>
      </c>
      <c r="J16" s="44">
        <f>(Altamira_rates!$D$4)*100</f>
        <v>1.6</v>
      </c>
      <c r="K16" s="44">
        <f>(Manulife_ISA_CAD[ISA CAD])*100</f>
        <v>1.4000000000000001</v>
      </c>
      <c r="L16" s="75">
        <f>(B2B_rates!$D$2)*100</f>
        <v>1.4000000000000001</v>
      </c>
      <c r="M16" s="44">
        <f>(BNS_Rates!$C$40)*100</f>
        <v>0.25</v>
      </c>
      <c r="N16" s="44">
        <f>(HomeTrust_rates!$B$13)*100</f>
        <v>1.6</v>
      </c>
    </row>
    <row r="17" spans="1:14" x14ac:dyDescent="0.25">
      <c r="A17" s="42" t="s">
        <v>37</v>
      </c>
      <c r="B17" s="44">
        <f>(CIBC_rates!$B$25)*100</f>
        <v>1.6</v>
      </c>
      <c r="C17" s="44">
        <f>(CIBC_rates!$C$21)*100</f>
        <v>1.6</v>
      </c>
      <c r="D17" s="44">
        <f>(TD_rates!$F$40)*100</f>
        <v>1.6</v>
      </c>
      <c r="E17" s="44">
        <f>(TD_rates!$F$42)*100</f>
        <v>1.6</v>
      </c>
      <c r="F17" s="44">
        <f>(TD_rates!$F$43)*100</f>
        <v>1.6</v>
      </c>
      <c r="G17" s="44">
        <f>(TD_rates!$F$44)*100</f>
        <v>1.6</v>
      </c>
      <c r="H17" s="59">
        <v>1.6</v>
      </c>
      <c r="I17" s="44">
        <f>(RBC_Rates!$C$2)*100</f>
        <v>1.6</v>
      </c>
      <c r="J17" s="44">
        <f>(Altamira_rates!$D$4)*100</f>
        <v>1.6</v>
      </c>
      <c r="K17" s="44">
        <f>(Manulife_ISA_CAD[ISA CAD])*100</f>
        <v>1.4000000000000001</v>
      </c>
      <c r="L17" s="75">
        <f>(B2B_rates!$D$2)*100</f>
        <v>1.4000000000000001</v>
      </c>
      <c r="M17" s="44">
        <f>(BNS_Rates!$C$40)*100</f>
        <v>0.25</v>
      </c>
      <c r="N17" s="44">
        <f>(HomeTrust_rates!$B$13)*100</f>
        <v>1.6</v>
      </c>
    </row>
    <row r="18" spans="1:14" x14ac:dyDescent="0.25">
      <c r="A18" s="42" t="s">
        <v>38</v>
      </c>
      <c r="B18" s="44">
        <f>(CIBC_rates!$B$25)*100</f>
        <v>1.6</v>
      </c>
      <c r="C18" s="44">
        <f>(CIBC_rates!$C$21)*100</f>
        <v>1.6</v>
      </c>
      <c r="D18" s="44">
        <f>(TD_rates!$F$40)*100</f>
        <v>1.6</v>
      </c>
      <c r="E18" s="44">
        <f>(TD_rates!$F$42)*100</f>
        <v>1.6</v>
      </c>
      <c r="F18" s="44">
        <f>(TD_rates!$F$43)*100</f>
        <v>1.6</v>
      </c>
      <c r="G18" s="44">
        <f>(TD_rates!$F$44)*100</f>
        <v>1.6</v>
      </c>
      <c r="H18" s="59">
        <v>1.6</v>
      </c>
      <c r="I18" s="44">
        <f>(RBC_Rates!$C$2)*100</f>
        <v>1.6</v>
      </c>
      <c r="J18" s="44">
        <f>(Altamira_rates!$D$4)*100</f>
        <v>1.6</v>
      </c>
      <c r="K18" s="44">
        <f>(Manulife_ISA_CAD[ISA CAD])*100</f>
        <v>1.4000000000000001</v>
      </c>
      <c r="L18" s="75">
        <f>(B2B_rates!$D$2)*100</f>
        <v>1.4000000000000001</v>
      </c>
      <c r="M18" s="44">
        <f>(BNS_Rates!$C$40)*100</f>
        <v>0.25</v>
      </c>
      <c r="N18" s="44">
        <f>(HomeTrust_rates!$B$13)*100</f>
        <v>1.6</v>
      </c>
    </row>
    <row r="19" spans="1:14" x14ac:dyDescent="0.25">
      <c r="A19" s="42" t="s">
        <v>39</v>
      </c>
      <c r="B19" s="44">
        <f>(CIBC_rates!$B$25)*100</f>
        <v>1.6</v>
      </c>
      <c r="C19" s="44">
        <f>(CIBC_rates!$C$21)*100</f>
        <v>1.6</v>
      </c>
      <c r="D19" s="44">
        <f>(TD_rates!$F$40)*100</f>
        <v>1.6</v>
      </c>
      <c r="E19" s="44">
        <f>(TD_rates!$F$42)*100</f>
        <v>1.6</v>
      </c>
      <c r="F19" s="44">
        <f>(TD_rates!$F$43)*100</f>
        <v>1.6</v>
      </c>
      <c r="G19" s="44">
        <f>(TD_rates!$F$44)*100</f>
        <v>1.6</v>
      </c>
      <c r="H19" s="59">
        <v>1.6</v>
      </c>
      <c r="I19" s="44">
        <f>(RBC_Rates!$C$2)*100</f>
        <v>1.6</v>
      </c>
      <c r="J19" s="44">
        <f>(Altamira_rates!$D$4)*100</f>
        <v>1.6</v>
      </c>
      <c r="K19" s="44">
        <f>(Manulife_ISA_CAD[ISA CAD])*100</f>
        <v>1.4000000000000001</v>
      </c>
      <c r="L19" s="75">
        <f>(B2B_rates!$D$2)*100</f>
        <v>1.4000000000000001</v>
      </c>
      <c r="M19" s="44">
        <f>(BNS_Rates!$C$40)*100</f>
        <v>0.25</v>
      </c>
      <c r="N19" s="44">
        <f>(HomeTrust_rates!$B$13)*100</f>
        <v>1.6</v>
      </c>
    </row>
    <row r="20" spans="1:14" s="41" customFormat="1" x14ac:dyDescent="0.25">
      <c r="A20" s="42" t="s">
        <v>424</v>
      </c>
      <c r="B20" s="44">
        <f>(CIBC_rates!$B$25)*100</f>
        <v>1.6</v>
      </c>
      <c r="C20" s="44">
        <f>(CIBC_rates!$C$21)*100</f>
        <v>1.6</v>
      </c>
      <c r="D20" s="44">
        <f>(TD_rates!$F$40)*100</f>
        <v>1.6</v>
      </c>
      <c r="E20" s="44">
        <f>(TD_rates!$F$42)*100</f>
        <v>1.6</v>
      </c>
      <c r="F20" s="44">
        <f>(TD_rates!$F$43)*100</f>
        <v>1.6</v>
      </c>
      <c r="G20" s="44">
        <f>(TD_rates!$F$44)*100</f>
        <v>1.6</v>
      </c>
      <c r="H20" s="59">
        <v>1.6</v>
      </c>
      <c r="I20" s="44">
        <f>(RBC_Rates!$C$2)*100</f>
        <v>1.6</v>
      </c>
      <c r="J20" s="44">
        <f>(Altamira_rates!$D$4)*100</f>
        <v>1.6</v>
      </c>
      <c r="K20" s="44">
        <f>(Manulife_ISA_CAD[ISA CAD])*100</f>
        <v>1.4000000000000001</v>
      </c>
      <c r="L20" s="75">
        <f>(B2B_rates!$D$2)*100</f>
        <v>1.4000000000000001</v>
      </c>
      <c r="M20" s="44">
        <f>(BNS_Rates!$C$40)*100</f>
        <v>0.25</v>
      </c>
      <c r="N20" s="44">
        <f>(HomeTrust_rates!$B$13)*100</f>
        <v>1.6</v>
      </c>
    </row>
    <row r="21" spans="1:14" x14ac:dyDescent="0.25">
      <c r="A21" s="42" t="s">
        <v>425</v>
      </c>
      <c r="B21" s="44">
        <f>(CIBC_rates!$B$25)*100</f>
        <v>1.6</v>
      </c>
      <c r="C21" s="44">
        <f>(CIBC_rates!$C$21)*100</f>
        <v>1.6</v>
      </c>
      <c r="D21" s="44">
        <f>(TD_rates!$F$40)*100</f>
        <v>1.6</v>
      </c>
      <c r="E21" s="44">
        <f>(TD_rates!$F$42)*100</f>
        <v>1.6</v>
      </c>
      <c r="F21" s="44">
        <f>(TD_rates!$F$43)*100</f>
        <v>1.6</v>
      </c>
      <c r="G21" s="44">
        <f>(TD_rates!$F$44)*100</f>
        <v>1.6</v>
      </c>
      <c r="H21" s="59">
        <v>1.6</v>
      </c>
      <c r="I21" s="44" t="s">
        <v>31</v>
      </c>
      <c r="J21" s="44" t="s">
        <v>31</v>
      </c>
      <c r="K21" s="44">
        <f>(Manulife_ISA_CAD[ISA CAD])*100</f>
        <v>1.4000000000000001</v>
      </c>
      <c r="L21" s="75">
        <f>(B2B_rates!$D$2)*100</f>
        <v>1.4000000000000001</v>
      </c>
      <c r="M21" s="44">
        <f>(BNS_Rates!$C$40)*100</f>
        <v>0.25</v>
      </c>
      <c r="N21" s="44"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25">
      <c r="A24" s="14" t="s">
        <v>30</v>
      </c>
      <c r="B24" s="11">
        <v>41911</v>
      </c>
      <c r="C24" s="15">
        <v>39944</v>
      </c>
      <c r="D24" s="12">
        <v>40849</v>
      </c>
      <c r="E24" s="40"/>
      <c r="F24" s="40"/>
      <c r="G24" s="40"/>
      <c r="H24" s="40">
        <v>38961</v>
      </c>
      <c r="I24" s="40"/>
      <c r="J24" s="76"/>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C13" sqref="C13"/>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1" t="s">
        <v>241</v>
      </c>
      <c r="B1" s="82"/>
      <c r="C1" s="82"/>
      <c r="D1" s="82"/>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370</v>
      </c>
      <c r="C6" s="28" t="s">
        <v>371</v>
      </c>
      <c r="D6" s="28" t="s">
        <v>372</v>
      </c>
    </row>
    <row r="7" spans="1:4" ht="45" x14ac:dyDescent="0.25">
      <c r="A7" s="26">
        <v>43656</v>
      </c>
      <c r="B7" s="27" t="s">
        <v>439</v>
      </c>
      <c r="C7" s="28" t="s">
        <v>371</v>
      </c>
      <c r="D7" s="28" t="s">
        <v>372</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0" sqref="B20:C22"/>
    </sheetView>
  </sheetViews>
  <sheetFormatPr defaultRowHeight="15" x14ac:dyDescent="0.25"/>
  <cols>
    <col min="1" max="1" width="41" bestFit="1" customWidth="1"/>
    <col min="2" max="2" width="18.140625" style="41" bestFit="1" customWidth="1"/>
    <col min="3" max="3" width="12.7109375" style="41" bestFit="1" customWidth="1"/>
    <col min="4" max="4" width="18.28515625" bestFit="1" customWidth="1"/>
    <col min="5" max="5" width="12.5703125" bestFit="1" customWidth="1"/>
    <col min="7" max="7" width="12.5703125" bestFit="1" customWidth="1"/>
  </cols>
  <sheetData>
    <row r="1" spans="1:5" x14ac:dyDescent="0.25">
      <c r="B1" t="s">
        <v>150</v>
      </c>
      <c r="C1" t="s">
        <v>151</v>
      </c>
      <c r="E1" s="38"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258</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259</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1" t="s">
        <v>362</v>
      </c>
      <c r="B20" t="s">
        <v>380</v>
      </c>
      <c r="C20" t="s">
        <v>381</v>
      </c>
    </row>
    <row r="21" spans="1:5" x14ac:dyDescent="0.25">
      <c r="B21" s="18" t="s">
        <v>363</v>
      </c>
      <c r="C21">
        <v>1.6E-2</v>
      </c>
      <c r="E21">
        <v>0</v>
      </c>
    </row>
    <row r="22" spans="1:5" x14ac:dyDescent="0.25">
      <c r="B22" s="18" t="s">
        <v>364</v>
      </c>
      <c r="C22">
        <v>1.7000000000000001E-2</v>
      </c>
      <c r="E22">
        <v>0</v>
      </c>
    </row>
    <row r="24" spans="1:5" x14ac:dyDescent="0.25">
      <c r="A24" t="s">
        <v>389</v>
      </c>
      <c r="B24" t="s">
        <v>378</v>
      </c>
      <c r="C24"/>
    </row>
    <row r="25" spans="1:5" x14ac:dyDescent="0.25">
      <c r="B25" s="41">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8"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9"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9"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9"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9"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23.42578125" bestFit="1" customWidth="1"/>
    <col min="3" max="3" width="26.7109375" bestFit="1" customWidth="1"/>
    <col min="4" max="4" width="22.140625" bestFit="1" customWidth="1"/>
    <col min="5" max="5" width="23.7109375" bestFit="1" customWidth="1"/>
    <col min="7" max="7" width="12.5703125" bestFit="1" customWidth="1"/>
  </cols>
  <sheetData>
    <row r="1" spans="1:7" x14ac:dyDescent="0.25">
      <c r="B1" t="s">
        <v>156</v>
      </c>
      <c r="C1" t="s">
        <v>315</v>
      </c>
      <c r="D1" t="s">
        <v>316</v>
      </c>
      <c r="E1" t="s">
        <v>314</v>
      </c>
      <c r="G1" s="38" t="s">
        <v>268</v>
      </c>
    </row>
    <row r="2" spans="1:7" x14ac:dyDescent="0.25">
      <c r="A2" t="s">
        <v>414</v>
      </c>
      <c r="B2" s="18" t="s">
        <v>138</v>
      </c>
      <c r="C2" s="41">
        <v>2.0000000000000001E-4</v>
      </c>
      <c r="D2" s="41"/>
      <c r="E2" s="41"/>
      <c r="G2">
        <f>IF(MID(BNS_Savings_Accounts[[#This Row],[Account Balance]],1,5)="Under",0,VALUE(TRIM(MID(BNS_Savings_Accounts[[#This Row],[Account Balance]],2,FIND(" ",BNS_Savings_Accounts[[#This Row],[Account Balance]],2)-2))))</f>
        <v>0</v>
      </c>
    </row>
    <row r="3" spans="1:7" x14ac:dyDescent="0.25">
      <c r="B3" s="18" t="s">
        <v>134</v>
      </c>
      <c r="C3" s="41">
        <v>2.0000000000000001E-4</v>
      </c>
      <c r="D3" s="41"/>
      <c r="E3" s="41"/>
      <c r="G3" s="41">
        <f>IF(MID(BNS_Savings_Accounts[[#This Row],[Account Balance]],1,5)="Under",0,VALUE(TRIM(MID(BNS_Savings_Accounts[[#This Row],[Account Balance]],2,FIND(" ",BNS_Savings_Accounts[[#This Row],[Account Balance]],2)-2))))</f>
        <v>5000</v>
      </c>
    </row>
    <row r="4" spans="1:7" x14ac:dyDescent="0.25">
      <c r="A4" t="s">
        <v>413</v>
      </c>
      <c r="B4" s="18" t="s">
        <v>138</v>
      </c>
      <c r="C4" s="41">
        <v>2.0000000000000001E-4</v>
      </c>
      <c r="D4" s="41"/>
      <c r="E4" s="41"/>
      <c r="G4" s="41">
        <f>IF(MID(BNS_Savings_Accounts[[#This Row],[Account Balance]],1,5)="Under",0,VALUE(TRIM(MID(BNS_Savings_Accounts[[#This Row],[Account Balance]],2,FIND(" ",BNS_Savings_Accounts[[#This Row],[Account Balance]],2)-2))))</f>
        <v>0</v>
      </c>
    </row>
    <row r="5" spans="1:7" x14ac:dyDescent="0.25">
      <c r="B5" s="18" t="s">
        <v>134</v>
      </c>
      <c r="C5" s="41">
        <v>2.0000000000000001E-4</v>
      </c>
      <c r="D5" s="41"/>
      <c r="E5" s="41"/>
      <c r="G5" s="41">
        <f>IF(MID(BNS_Savings_Accounts[[#This Row],[Account Balance]],1,5)="Under",0,VALUE(TRIM(MID(BNS_Savings_Accounts[[#This Row],[Account Balance]],2,FIND(" ",BNS_Savings_Accounts[[#This Row],[Account Balance]],2)-2))))</f>
        <v>5000</v>
      </c>
    </row>
    <row r="6" spans="1:7" x14ac:dyDescent="0.25">
      <c r="A6" t="s">
        <v>412</v>
      </c>
      <c r="B6" s="18" t="s">
        <v>402</v>
      </c>
      <c r="C6" s="41">
        <v>0</v>
      </c>
      <c r="D6" s="41"/>
      <c r="E6" s="41"/>
      <c r="G6" s="41">
        <f>IF(MID(BNS_Savings_Accounts[[#This Row],[Account Balance]],1,5)="Under",0,VALUE(TRIM(MID(BNS_Savings_Accounts[[#This Row],[Account Balance]],2,FIND(" ",BNS_Savings_Accounts[[#This Row],[Account Balance]],2)-2))))</f>
        <v>0</v>
      </c>
    </row>
    <row r="7" spans="1:7" x14ac:dyDescent="0.25">
      <c r="B7" s="18" t="s">
        <v>403</v>
      </c>
      <c r="C7" s="41">
        <v>2.0000000000000001E-4</v>
      </c>
      <c r="D7" s="41"/>
      <c r="E7" s="41"/>
      <c r="G7" s="41">
        <f>IF(MID(BNS_Savings_Accounts[[#This Row],[Account Balance]],1,5)="Under",0,VALUE(TRIM(MID(BNS_Savings_Accounts[[#This Row],[Account Balance]],2,FIND(" ",BNS_Savings_Accounts[[#This Row],[Account Balance]],2)-2))))</f>
        <v>25000</v>
      </c>
    </row>
    <row r="8" spans="1:7" x14ac:dyDescent="0.25">
      <c r="A8" t="s">
        <v>411</v>
      </c>
      <c r="B8" s="18" t="s">
        <v>135</v>
      </c>
      <c r="C8" s="41">
        <v>0</v>
      </c>
      <c r="D8" s="41"/>
      <c r="E8" s="41"/>
      <c r="G8" s="41">
        <f>IF(MID(BNS_Savings_Accounts[[#This Row],[Account Balance]],1,5)="Under",0,VALUE(TRIM(MID(BNS_Savings_Accounts[[#This Row],[Account Balance]],2,FIND(" ",BNS_Savings_Accounts[[#This Row],[Account Balance]],2)-2))))</f>
        <v>0</v>
      </c>
    </row>
    <row r="9" spans="1:7" x14ac:dyDescent="0.25">
      <c r="B9" s="18" t="s">
        <v>134</v>
      </c>
      <c r="C9" s="41">
        <v>2.0000000000000001E-4</v>
      </c>
      <c r="D9" s="41"/>
      <c r="E9" s="41"/>
      <c r="G9" s="41">
        <f>IF(MID(BNS_Savings_Accounts[[#This Row],[Account Balance]],1,5)="Under",0,VALUE(TRIM(MID(BNS_Savings_Accounts[[#This Row],[Account Balance]],2,FIND(" ",BNS_Savings_Accounts[[#This Row],[Account Balance]],2)-2))))</f>
        <v>5000</v>
      </c>
    </row>
    <row r="10" spans="1:7" x14ac:dyDescent="0.25">
      <c r="A10" t="s">
        <v>410</v>
      </c>
      <c r="B10" s="18" t="s">
        <v>135</v>
      </c>
      <c r="C10" s="41">
        <v>2.0000000000000001E-4</v>
      </c>
      <c r="D10" s="41"/>
      <c r="E10" s="41"/>
      <c r="G10" s="41">
        <f>IF(MID(BNS_Savings_Accounts[[#This Row],[Account Balance]],1,5)="Under",0,VALUE(TRIM(MID(BNS_Savings_Accounts[[#This Row],[Account Balance]],2,FIND(" ",BNS_Savings_Accounts[[#This Row],[Account Balance]],2)-2))))</f>
        <v>0</v>
      </c>
    </row>
    <row r="11" spans="1:7" x14ac:dyDescent="0.25">
      <c r="B11" s="18" t="s">
        <v>134</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25">
      <c r="A12" s="41" t="s">
        <v>409</v>
      </c>
      <c r="B12" s="18" t="s">
        <v>404</v>
      </c>
      <c r="C12" s="41">
        <v>0</v>
      </c>
      <c r="D12" s="41"/>
      <c r="E12" s="41"/>
      <c r="G12" s="41">
        <f>IF(MID(BNS_Savings_Accounts[[#This Row],[Account Balance]],1,5)="Under",0,VALUE(TRIM(MID(BNS_Savings_Accounts[[#This Row],[Account Balance]],2,FIND(" ",BNS_Savings_Accounts[[#This Row],[Account Balance]],2)-2))))</f>
        <v>0</v>
      </c>
    </row>
    <row r="13" spans="1:7" x14ac:dyDescent="0.25">
      <c r="B13" s="18" t="s">
        <v>405</v>
      </c>
      <c r="C13" s="41">
        <v>1E-4</v>
      </c>
      <c r="D13" s="41"/>
      <c r="E13" s="41"/>
      <c r="G13" s="41">
        <f>IF(MID(BNS_Savings_Accounts[[#This Row],[Account Balance]],1,5)="Under",0,VALUE(TRIM(MID(BNS_Savings_Accounts[[#This Row],[Account Balance]],2,FIND(" ",BNS_Savings_Accounts[[#This Row],[Account Balance]],2)-2))))</f>
        <v>5000</v>
      </c>
    </row>
    <row r="14" spans="1:7" x14ac:dyDescent="0.25">
      <c r="B14" s="18" t="s">
        <v>406</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25">
      <c r="B15" s="18" t="s">
        <v>407</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25">
      <c r="B16" s="18" t="s">
        <v>408</v>
      </c>
      <c r="C16" s="41">
        <v>1E-3</v>
      </c>
      <c r="D16" s="41"/>
      <c r="E16" s="41"/>
      <c r="G16" s="41">
        <f>IF(MID(BNS_Savings_Accounts[[#This Row],[Account Balance]],1,5)="Under",0,VALUE(TRIM(MID(BNS_Savings_Accounts[[#This Row],[Account Balance]],2,FIND(" ",BNS_Savings_Accounts[[#This Row],[Account Balance]],2)-2))))</f>
        <v>60000</v>
      </c>
    </row>
    <row r="17" spans="1:7" x14ac:dyDescent="0.25">
      <c r="A17" s="41" t="s">
        <v>192</v>
      </c>
      <c r="B17" s="18" t="s">
        <v>191</v>
      </c>
      <c r="C17" s="41">
        <v>0</v>
      </c>
      <c r="D17" s="41"/>
      <c r="E17" s="41"/>
      <c r="G17" s="41">
        <f>IF(MID(BNS_Savings_Accounts[[#This Row],[Account Balance]],1,5)="Under",0,VALUE(TRIM(MID(BNS_Savings_Accounts[[#This Row],[Account Balance]],2,FIND(" ",BNS_Savings_Accounts[[#This Row],[Account Balance]],2)-2))))</f>
        <v>0</v>
      </c>
    </row>
    <row r="18" spans="1:7" x14ac:dyDescent="0.25">
      <c r="B18" s="18" t="s">
        <v>190</v>
      </c>
      <c r="C18" s="41">
        <v>1E-4</v>
      </c>
      <c r="D18" s="41"/>
      <c r="E18" s="41"/>
      <c r="G18" s="41">
        <f>IF(MID(BNS_Savings_Accounts[[#This Row],[Account Balance]],1,5)="Under",0,VALUE(TRIM(MID(BNS_Savings_Accounts[[#This Row],[Account Balance]],2,FIND(" ",BNS_Savings_Accounts[[#This Row],[Account Balance]],2)-2))))</f>
        <v>1000</v>
      </c>
    </row>
    <row r="19" spans="1:7" x14ac:dyDescent="0.25">
      <c r="B19" s="18" t="s">
        <v>37</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25">
      <c r="B20" s="18" t="s">
        <v>36</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25">
      <c r="B21" s="18" t="s">
        <v>35</v>
      </c>
      <c r="C21" s="41">
        <v>1E-3</v>
      </c>
      <c r="D21" s="41"/>
      <c r="E21" s="41"/>
      <c r="G21" s="41">
        <f>IF(MID(BNS_Savings_Accounts[[#This Row],[Account Balance]],1,5)="Under",0,VALUE(TRIM(MID(BNS_Savings_Accounts[[#This Row],[Account Balance]],2,FIND(" ",BNS_Savings_Accounts[[#This Row],[Account Balance]],2)-2))))</f>
        <v>25000</v>
      </c>
    </row>
    <row r="22" spans="1:7" x14ac:dyDescent="0.25">
      <c r="B22" s="18" t="s">
        <v>189</v>
      </c>
      <c r="C22" s="41">
        <v>1.5E-3</v>
      </c>
      <c r="D22" s="41"/>
      <c r="E22" s="41"/>
      <c r="G22" s="41">
        <f>IF(MID(BNS_Savings_Accounts[[#This Row],[Account Balance]],1,5)="Under",0,VALUE(TRIM(MID(BNS_Savings_Accounts[[#This Row],[Account Balance]],2,FIND(" ",BNS_Savings_Accounts[[#This Row],[Account Balance]],2)-2))))</f>
        <v>60000</v>
      </c>
    </row>
    <row r="23" spans="1:7" x14ac:dyDescent="0.25">
      <c r="A23" s="41" t="s">
        <v>329</v>
      </c>
      <c r="B23" s="18" t="s">
        <v>325</v>
      </c>
      <c r="C23" s="41">
        <v>0.01</v>
      </c>
      <c r="D23" s="41"/>
      <c r="E23" s="41"/>
      <c r="G23" s="41">
        <f>IF(MID(BNS_Savings_Accounts[[#This Row],[Account Balance]],1,5)="Under",0,VALUE(TRIM(MID(BNS_Savings_Accounts[[#This Row],[Account Balance]],2,FIND(" ",BNS_Savings_Accounts[[#This Row],[Account Balance]],2)-2))))</f>
        <v>0</v>
      </c>
    </row>
    <row r="24" spans="1:7" x14ac:dyDescent="0.25">
      <c r="B24" s="18" t="s">
        <v>136</v>
      </c>
      <c r="C24" s="41">
        <v>1.0999999999999999E-2</v>
      </c>
      <c r="D24" s="41"/>
      <c r="E24" s="41"/>
      <c r="G24" s="41">
        <f>IF(MID(BNS_Savings_Accounts[[#This Row],[Account Balance]],1,5)="Under",0,VALUE(TRIM(MID(BNS_Savings_Accounts[[#This Row],[Account Balance]],2,FIND(" ",BNS_Savings_Accounts[[#This Row],[Account Balance]],2)-2))))</f>
        <v>250000</v>
      </c>
    </row>
    <row r="25" spans="1:7" x14ac:dyDescent="0.25">
      <c r="A25" s="41" t="s">
        <v>143</v>
      </c>
      <c r="B25" s="18" t="s">
        <v>138</v>
      </c>
      <c r="C25" s="41">
        <v>5.0000000000000001E-4</v>
      </c>
      <c r="D25" s="41"/>
      <c r="E25" s="41"/>
      <c r="G25" s="41">
        <f>IF(MID(BNS_Savings_Accounts[[#This Row],[Account Balance]],1,5)="Under",0,VALUE(TRIM(MID(BNS_Savings_Accounts[[#This Row],[Account Balance]],2,FIND(" ",BNS_Savings_Accounts[[#This Row],[Account Balance]],2)-2))))</f>
        <v>0</v>
      </c>
    </row>
    <row r="26" spans="1:7" x14ac:dyDescent="0.25">
      <c r="B26" s="18" t="s">
        <v>137</v>
      </c>
      <c r="C26" s="41">
        <v>0.01</v>
      </c>
      <c r="D26" s="41"/>
      <c r="E26" s="41"/>
      <c r="G26" s="41">
        <f>IF(MID(BNS_Savings_Accounts[[#This Row],[Account Balance]],1,5)="Under",0,VALUE(TRIM(MID(BNS_Savings_Accounts[[#This Row],[Account Balance]],2,FIND(" ",BNS_Savings_Accounts[[#This Row],[Account Balance]],2)-2))))</f>
        <v>5000</v>
      </c>
    </row>
    <row r="27" spans="1:7" x14ac:dyDescent="0.25">
      <c r="B27" s="18" t="s">
        <v>136</v>
      </c>
      <c r="C27" s="41">
        <v>1.0999999999999999E-2</v>
      </c>
      <c r="D27" s="41"/>
      <c r="E27" s="41"/>
      <c r="G27" s="41">
        <f>IF(MID(BNS_Savings_Accounts[[#This Row],[Account Balance]],1,5)="Under",0,VALUE(TRIM(MID(BNS_Savings_Accounts[[#This Row],[Account Balance]],2,FIND(" ",BNS_Savings_Accounts[[#This Row],[Account Balance]],2)-2))))</f>
        <v>250000</v>
      </c>
    </row>
    <row r="28" spans="1:7" x14ac:dyDescent="0.25">
      <c r="A28" s="41" t="s">
        <v>142</v>
      </c>
      <c r="B28" s="18" t="s">
        <v>135</v>
      </c>
      <c r="C28" s="41">
        <v>5.0000000000000001E-4</v>
      </c>
      <c r="D28" s="41"/>
      <c r="E28" s="41"/>
      <c r="G28" s="41">
        <f>IF(MID(BNS_Savings_Accounts[[#This Row],[Account Balance]],1,5)="Under",0,VALUE(TRIM(MID(BNS_Savings_Accounts[[#This Row],[Account Balance]],2,FIND(" ",BNS_Savings_Accounts[[#This Row],[Account Balance]],2)-2))))</f>
        <v>0</v>
      </c>
    </row>
    <row r="29" spans="1:7" x14ac:dyDescent="0.25">
      <c r="B29" s="18" t="s">
        <v>134</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25">
      <c r="A30" s="41" t="s">
        <v>328</v>
      </c>
      <c r="B30" s="18" t="s">
        <v>138</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25">
      <c r="B31" s="18" t="s">
        <v>134</v>
      </c>
      <c r="C31" s="41">
        <v>1.4999999999999999E-2</v>
      </c>
      <c r="D31" s="41">
        <v>5.0000000000000001E-3</v>
      </c>
      <c r="E31" s="41">
        <v>0.01</v>
      </c>
      <c r="G31" s="41">
        <f>IF(MID(BNS_Savings_Accounts[[#This Row],[Account Balance]],1,5)="Under",0,VALUE(TRIM(MID(BNS_Savings_Accounts[[#This Row],[Account Balance]],2,FIND(" ",BNS_Savings_Accounts[[#This Row],[Account Balance]],2)-2))))</f>
        <v>5000</v>
      </c>
    </row>
    <row r="32" spans="1:7" x14ac:dyDescent="0.25">
      <c r="A32" s="41" t="s">
        <v>141</v>
      </c>
      <c r="B32" s="18" t="s">
        <v>133</v>
      </c>
      <c r="C32" s="41">
        <v>0.02</v>
      </c>
      <c r="D32" s="41">
        <v>0.01</v>
      </c>
      <c r="E32" s="41">
        <v>0.01</v>
      </c>
      <c r="G32" s="41"/>
    </row>
    <row r="33" spans="1:7" x14ac:dyDescent="0.25">
      <c r="B33" s="18" t="s">
        <v>132</v>
      </c>
      <c r="C33" s="41">
        <v>1.7999999999999999E-2</v>
      </c>
      <c r="D33" s="41">
        <v>0.01</v>
      </c>
      <c r="E33" s="41">
        <v>8.0000000000000002E-3</v>
      </c>
      <c r="G33" s="41"/>
    </row>
    <row r="34" spans="1:7" x14ac:dyDescent="0.25">
      <c r="B34" s="18" t="s">
        <v>131</v>
      </c>
      <c r="C34" s="41">
        <v>1.6E-2</v>
      </c>
      <c r="D34" s="41">
        <v>0.01</v>
      </c>
      <c r="E34" s="41">
        <v>6.0000000000000001E-3</v>
      </c>
      <c r="G34" s="41"/>
    </row>
    <row r="35" spans="1:7" x14ac:dyDescent="0.25">
      <c r="B35" s="18" t="s">
        <v>130</v>
      </c>
      <c r="C35" s="41">
        <v>1.4999999999999999E-2</v>
      </c>
      <c r="D35" s="41">
        <v>0.01</v>
      </c>
      <c r="E35" s="41">
        <v>5.0000000000000001E-3</v>
      </c>
      <c r="G35" s="41"/>
    </row>
    <row r="36" spans="1:7" x14ac:dyDescent="0.25">
      <c r="B36" s="18" t="s">
        <v>317</v>
      </c>
      <c r="C36" s="41">
        <v>0.01</v>
      </c>
      <c r="D36" s="41">
        <v>0.01</v>
      </c>
      <c r="E36" s="41">
        <v>0</v>
      </c>
      <c r="G36" s="41"/>
    </row>
    <row r="39" spans="1:7" x14ac:dyDescent="0.25">
      <c r="A39" t="s">
        <v>140</v>
      </c>
      <c r="B39" t="s">
        <v>139</v>
      </c>
      <c r="C39" t="s">
        <v>326</v>
      </c>
      <c r="D39" t="s">
        <v>327</v>
      </c>
    </row>
    <row r="40" spans="1:7" x14ac:dyDescent="0.25">
      <c r="B40" s="18" t="s">
        <v>140</v>
      </c>
      <c r="C40">
        <v>2.5000000000000001E-3</v>
      </c>
      <c r="D40">
        <v>2.5000000000000001E-3</v>
      </c>
    </row>
    <row r="41" spans="1:7" x14ac:dyDescent="0.25">
      <c r="B41" s="18" t="s">
        <v>74</v>
      </c>
      <c r="C41">
        <v>3.95E-2</v>
      </c>
      <c r="D41">
        <v>0.05</v>
      </c>
    </row>
    <row r="43" spans="1:7" x14ac:dyDescent="0.25">
      <c r="A43" s="41" t="s">
        <v>366</v>
      </c>
      <c r="B43" s="60" t="s">
        <v>139</v>
      </c>
      <c r="C43" s="62" t="s">
        <v>326</v>
      </c>
      <c r="D43" s="61" t="s">
        <v>327</v>
      </c>
    </row>
    <row r="44" spans="1:7" x14ac:dyDescent="0.25">
      <c r="B44" s="65" t="s">
        <v>368</v>
      </c>
      <c r="C44" s="67">
        <v>1.6E-2</v>
      </c>
      <c r="D44" s="68">
        <v>1.6500000000000001E-2</v>
      </c>
    </row>
    <row r="45" spans="1:7" x14ac:dyDescent="0.25">
      <c r="B45" s="66" t="s">
        <v>369</v>
      </c>
      <c r="C45" s="69">
        <v>1.7500000000000002E-2</v>
      </c>
      <c r="D45" s="70">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election activeCell="G18" sqref="G18"/>
    </sheetView>
  </sheetViews>
  <sheetFormatPr defaultRowHeight="15" x14ac:dyDescent="0.25"/>
  <cols>
    <col min="1" max="1" width="30.42578125" bestFit="1" customWidth="1"/>
    <col min="2" max="2" width="15" style="41" bestFit="1" customWidth="1"/>
    <col min="3" max="3" width="13.5703125" style="41" bestFit="1" customWidth="1"/>
    <col min="4" max="5" width="15.85546875" style="41"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8"/>
    </row>
    <row r="2" spans="1:9" x14ac:dyDescent="0.25">
      <c r="A2" t="s">
        <v>64</v>
      </c>
    </row>
    <row r="8" spans="1:9" x14ac:dyDescent="0.25">
      <c r="A8" t="s">
        <v>65</v>
      </c>
    </row>
    <row r="10" spans="1:9" x14ac:dyDescent="0.25">
      <c r="A10" t="s">
        <v>19</v>
      </c>
      <c r="B10" t="s">
        <v>505</v>
      </c>
      <c r="C10" t="s">
        <v>506</v>
      </c>
      <c r="D10"/>
      <c r="E10"/>
    </row>
    <row r="11" spans="1:9" x14ac:dyDescent="0.25">
      <c r="B11" s="18" t="s">
        <v>340</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8"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1"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1" t="s">
        <v>431</v>
      </c>
      <c r="B1" t="s">
        <v>81</v>
      </c>
      <c r="C1" t="s">
        <v>169</v>
      </c>
      <c r="I1" s="41" t="s">
        <v>268</v>
      </c>
    </row>
    <row r="2" spans="1:9" x14ac:dyDescent="0.25">
      <c r="B2" s="18" t="s">
        <v>242</v>
      </c>
      <c r="C2">
        <v>5.0000000000000001E-3</v>
      </c>
      <c r="I2" s="41">
        <f>IF(LEFT(HSBC_CAD_Savings[[#This Row],[Daily closing balance]],2)="Up",0,VALUE(MID(HSBC_CAD_Savings[[#This Row],[Daily closing balance]],FIND("$",B2),FIND(" ",B2,FIND("$",B2))-FIND("$",B2))))</f>
        <v>0</v>
      </c>
    </row>
    <row r="3" spans="1:9" x14ac:dyDescent="0.25">
      <c r="B3" s="18" t="s">
        <v>243</v>
      </c>
      <c r="C3">
        <v>1.0500000000000001E-2</v>
      </c>
      <c r="I3" s="41">
        <f>IF(LEFT(HSBC_CAD_Savings[[#This Row],[Daily closing balance]],2)="Up",0,VALUE(MID(HSBC_CAD_Savings[[#This Row],[Daily closing balance]],FIND("$",B3),FIND(" ",B3,FIND("$",B3))-FIND("$",B3))))</f>
        <v>25000</v>
      </c>
    </row>
    <row r="4" spans="1:9" x14ac:dyDescent="0.25">
      <c r="B4" s="18" t="s">
        <v>244</v>
      </c>
      <c r="C4">
        <v>1.0500000000000001E-2</v>
      </c>
      <c r="I4" s="41">
        <f>IF(LEFT(HSBC_CAD_Savings[[#This Row],[Daily closing balance]],2)="Up",0,VALUE(MID(HSBC_CAD_Savings[[#This Row],[Daily closing balance]],FIND("$",B4),FIND(" ",B4,FIND("$",B4))-FIND("$",B4))))</f>
        <v>50000</v>
      </c>
    </row>
    <row r="5" spans="1:9" x14ac:dyDescent="0.25">
      <c r="B5" s="18" t="s">
        <v>245</v>
      </c>
      <c r="C5">
        <v>1.0500000000000001E-2</v>
      </c>
      <c r="I5" s="41">
        <f>IF(LEFT(HSBC_CAD_Savings[[#This Row],[Daily closing balance]],2)="Up",0,VALUE(MID(HSBC_CAD_Savings[[#This Row],[Daily closing balance]],FIND("$",B5),FIND(" ",B5,FIND("$",B5))-FIND("$",B5))))</f>
        <v>100000</v>
      </c>
    </row>
    <row r="9" spans="1:9" x14ac:dyDescent="0.25">
      <c r="A9" s="41" t="s">
        <v>448</v>
      </c>
      <c r="B9" s="41" t="s">
        <v>81</v>
      </c>
      <c r="C9" s="41" t="s">
        <v>441</v>
      </c>
      <c r="D9" s="41" t="s">
        <v>442</v>
      </c>
      <c r="E9" s="41" t="s">
        <v>443</v>
      </c>
      <c r="F9" s="41" t="s">
        <v>444</v>
      </c>
      <c r="G9" s="41" t="s">
        <v>445</v>
      </c>
    </row>
    <row r="10" spans="1:9" x14ac:dyDescent="0.25">
      <c r="B10" s="18" t="s">
        <v>446</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25">
      <c r="B11" s="18" t="s">
        <v>243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25">
      <c r="B12" s="18" t="s">
        <v>244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25">
      <c r="B13" s="18" t="s">
        <v>447</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1" bestFit="1" customWidth="1"/>
    <col min="3" max="3" width="78.28515625" style="41" bestFit="1" customWidth="1"/>
    <col min="4" max="5" width="11.140625" style="41"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503</v>
      </c>
      <c r="D4">
        <v>3.3000000000000002E-2</v>
      </c>
      <c r="E4"/>
    </row>
    <row r="5" spans="1:5" x14ac:dyDescent="0.25">
      <c r="A5" t="s">
        <v>148</v>
      </c>
      <c r="B5" s="18" t="s">
        <v>144</v>
      </c>
      <c r="C5" s="18" t="s">
        <v>504</v>
      </c>
      <c r="D5">
        <v>3.3000000000000002E-2</v>
      </c>
      <c r="E5"/>
    </row>
    <row r="6" spans="1:5" x14ac:dyDescent="0.25">
      <c r="A6" t="s">
        <v>149</v>
      </c>
      <c r="B6" s="18" t="s">
        <v>144</v>
      </c>
      <c r="C6" s="18" t="s">
        <v>321</v>
      </c>
      <c r="D6">
        <v>1.5E-3</v>
      </c>
      <c r="E6"/>
    </row>
    <row r="7" spans="1:5" x14ac:dyDescent="0.25">
      <c r="B7" s="18" t="s">
        <v>144</v>
      </c>
      <c r="C7" s="18" t="s">
        <v>322</v>
      </c>
      <c r="D7">
        <v>5.4999999999999997E-3</v>
      </c>
      <c r="E7"/>
    </row>
    <row r="8" spans="1:5" x14ac:dyDescent="0.25">
      <c r="B8" s="18" t="s">
        <v>144</v>
      </c>
      <c r="C8" s="18" t="s">
        <v>323</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B21" sqref="B21"/>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324</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324</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324</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509</v>
      </c>
      <c r="E11" s="18" t="s">
        <v>204</v>
      </c>
      <c r="F11" s="18" t="s">
        <v>205</v>
      </c>
    </row>
    <row r="12" spans="1:6" x14ac:dyDescent="0.25">
      <c r="A12" s="18" t="s">
        <v>221</v>
      </c>
      <c r="B12" s="18" t="s">
        <v>221</v>
      </c>
      <c r="C12" s="18" t="s">
        <v>222</v>
      </c>
      <c r="D12" s="18" t="s">
        <v>507</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377</v>
      </c>
      <c r="C1" t="s">
        <v>268</v>
      </c>
    </row>
    <row r="2" spans="1:3" x14ac:dyDescent="0.25">
      <c r="A2" s="17">
        <v>41151</v>
      </c>
      <c r="B2" s="41">
        <v>1.35E-2</v>
      </c>
    </row>
    <row r="3" spans="1:3" x14ac:dyDescent="0.25">
      <c r="A3" s="17">
        <v>41213</v>
      </c>
      <c r="B3" s="41">
        <v>1.4E-2</v>
      </c>
    </row>
    <row r="4" spans="1:3" x14ac:dyDescent="0.25">
      <c r="A4" s="17">
        <v>42212</v>
      </c>
      <c r="B4" s="41">
        <v>1.2999999999999999E-2</v>
      </c>
    </row>
    <row r="5" spans="1:3" x14ac:dyDescent="0.25">
      <c r="A5" s="17">
        <v>42397</v>
      </c>
      <c r="B5" s="41">
        <v>1.2E-2</v>
      </c>
    </row>
    <row r="6" spans="1:3" x14ac:dyDescent="0.25">
      <c r="A6" s="17">
        <v>42402</v>
      </c>
      <c r="B6" s="41">
        <v>1.0500000000000001E-2</v>
      </c>
    </row>
    <row r="7" spans="1:3" x14ac:dyDescent="0.25">
      <c r="A7" s="17">
        <v>42649</v>
      </c>
      <c r="B7" s="41">
        <v>8.9999999999999993E-3</v>
      </c>
    </row>
    <row r="8" spans="1:3" x14ac:dyDescent="0.25">
      <c r="A8" s="17">
        <v>42850</v>
      </c>
      <c r="B8" s="41">
        <v>0.01</v>
      </c>
    </row>
    <row r="9" spans="1:3" x14ac:dyDescent="0.25">
      <c r="A9" s="17">
        <v>42886</v>
      </c>
      <c r="B9" s="41">
        <v>1.4999999999999999E-2</v>
      </c>
    </row>
    <row r="10" spans="1:3" x14ac:dyDescent="0.25">
      <c r="A10" s="17">
        <v>42978</v>
      </c>
      <c r="B10" s="41">
        <v>0.01</v>
      </c>
    </row>
    <row r="11" spans="1:3" x14ac:dyDescent="0.25">
      <c r="A11" s="17">
        <v>43125</v>
      </c>
      <c r="B11" s="41">
        <v>1.15E-2</v>
      </c>
    </row>
    <row r="12" spans="1:3" x14ac:dyDescent="0.25">
      <c r="A12" s="17">
        <v>43301</v>
      </c>
      <c r="B12" s="41">
        <v>1.35E-2</v>
      </c>
    </row>
    <row r="13" spans="1:3" x14ac:dyDescent="0.25">
      <c r="A13" s="17">
        <v>43410</v>
      </c>
      <c r="B13" s="41">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140625" style="41" bestFit="1" customWidth="1"/>
    <col min="3" max="3" width="7.28515625" bestFit="1" customWidth="1"/>
    <col min="4" max="4" width="7.140625" bestFit="1" customWidth="1"/>
  </cols>
  <sheetData>
    <row r="1" spans="1:2" x14ac:dyDescent="0.25">
      <c r="B1" t="s">
        <v>510</v>
      </c>
    </row>
    <row r="2" spans="1:2" x14ac:dyDescent="0.25">
      <c r="A2" t="s">
        <v>28</v>
      </c>
      <c r="B2">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 sqref="B2:D9"/>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399</v>
      </c>
      <c r="C3" t="s">
        <v>400</v>
      </c>
      <c r="D3" t="s">
        <v>80</v>
      </c>
    </row>
    <row r="4" spans="1:4" x14ac:dyDescent="0.25">
      <c r="B4" t="s">
        <v>81</v>
      </c>
      <c r="C4" t="s">
        <v>81</v>
      </c>
      <c r="D4" t="s">
        <v>81</v>
      </c>
    </row>
    <row r="5" spans="1:4" x14ac:dyDescent="0.25">
      <c r="B5" t="s">
        <v>82</v>
      </c>
      <c r="C5" t="s">
        <v>82</v>
      </c>
      <c r="D5" t="s">
        <v>82</v>
      </c>
    </row>
    <row r="6" spans="1:4" x14ac:dyDescent="0.25">
      <c r="A6" t="s">
        <v>83</v>
      </c>
      <c r="B6" t="s">
        <v>508</v>
      </c>
      <c r="C6" t="s">
        <v>508</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341</v>
      </c>
    </row>
    <row r="19" spans="1:2" s="1" customFormat="1" x14ac:dyDescent="0.25">
      <c r="A19" s="1" t="s">
        <v>52</v>
      </c>
    </row>
    <row r="20" spans="1:2" x14ac:dyDescent="0.25">
      <c r="B20" t="s">
        <v>341</v>
      </c>
    </row>
    <row r="35" spans="1:2" s="1" customFormat="1" x14ac:dyDescent="0.25">
      <c r="A35" s="1" t="s">
        <v>86</v>
      </c>
    </row>
    <row r="37" spans="1:2" x14ac:dyDescent="0.25">
      <c r="A37" t="s">
        <v>87</v>
      </c>
      <c r="B37" t="s">
        <v>341</v>
      </c>
    </row>
    <row r="44" spans="1:2" s="1" customFormat="1" x14ac:dyDescent="0.25">
      <c r="A44" s="1" t="s">
        <v>88</v>
      </c>
    </row>
    <row r="45" spans="1:2" x14ac:dyDescent="0.25">
      <c r="A45" t="s">
        <v>89</v>
      </c>
      <c r="B45" t="s">
        <v>341</v>
      </c>
    </row>
    <row r="48" spans="1:2" x14ac:dyDescent="0.25">
      <c r="A48" t="s">
        <v>90</v>
      </c>
      <c r="B48" t="s">
        <v>341</v>
      </c>
    </row>
    <row r="55" spans="1:2" s="1" customFormat="1" x14ac:dyDescent="0.25">
      <c r="A55" s="1" t="s">
        <v>91</v>
      </c>
    </row>
    <row r="56" spans="1:2" x14ac:dyDescent="0.25">
      <c r="B56" t="s">
        <v>341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3" workbookViewId="0">
      <selection activeCell="B29" sqref="B29:C35"/>
    </sheetView>
  </sheetViews>
  <sheetFormatPr defaultRowHeight="15" x14ac:dyDescent="0.25"/>
  <cols>
    <col min="1" max="1" width="46" bestFit="1" customWidth="1"/>
    <col min="2" max="2" width="31.570312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8" t="s">
        <v>268</v>
      </c>
    </row>
    <row r="3" spans="1:5" x14ac:dyDescent="0.25">
      <c r="A3" t="s">
        <v>428</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382</v>
      </c>
      <c r="C12">
        <v>3.0000000000000001E-3</v>
      </c>
      <c r="E12">
        <f>VALUE(LEFT(TD_Savings_Accounts[[#This Row],[Account Balance]],FIND(" ",TD_Savings_Accounts[[#This Row],[Account Balance]])))</f>
        <v>5000</v>
      </c>
    </row>
    <row r="13" spans="1:5" x14ac:dyDescent="0.25">
      <c r="B13" s="18" t="s">
        <v>383</v>
      </c>
      <c r="C13">
        <v>3.0000000000000001E-3</v>
      </c>
      <c r="E13">
        <f>VALUE(LEFT(TD_Savings_Accounts[[#This Row],[Account Balance]],FIND(" ",TD_Savings_Accounts[[#This Row],[Account Balance]])))</f>
        <v>50000</v>
      </c>
    </row>
    <row r="14" spans="1:5" x14ac:dyDescent="0.25">
      <c r="B14" s="18" t="s">
        <v>388</v>
      </c>
      <c r="C14">
        <v>3.0000000000000001E-3</v>
      </c>
      <c r="E14">
        <f>VALUE(LEFT(TD_Savings_Accounts[[#This Row],[Account Balance]],FIND(" ",TD_Savings_Accounts[[#This Row],[Account Balance]])))</f>
        <v>100000</v>
      </c>
    </row>
    <row r="15" spans="1:5" x14ac:dyDescent="0.25">
      <c r="B15" s="18" t="s">
        <v>384</v>
      </c>
      <c r="C15">
        <v>3.0000000000000001E-3</v>
      </c>
      <c r="E15">
        <f>VALUE(LEFT(TD_Savings_Accounts[[#This Row],[Account Balance]],FIND(" ",TD_Savings_Accounts[[#This Row],[Account Balance]])))</f>
        <v>250000</v>
      </c>
    </row>
    <row r="16" spans="1:5" x14ac:dyDescent="0.25">
      <c r="B16" s="18" t="s">
        <v>385</v>
      </c>
      <c r="C16">
        <v>3.0000000000000001E-3</v>
      </c>
      <c r="E16">
        <f>VALUE(LEFT(TD_Savings_Accounts[[#This Row],[Account Balance]],FIND(" ",TD_Savings_Accounts[[#This Row],[Account Balance]])))</f>
        <v>1000000.01</v>
      </c>
    </row>
    <row r="17" spans="1:5" x14ac:dyDescent="0.25">
      <c r="B17" s="18" t="s">
        <v>166</v>
      </c>
    </row>
    <row r="18" spans="1:5" x14ac:dyDescent="0.25">
      <c r="B18" s="18" t="s">
        <v>386</v>
      </c>
      <c r="C18">
        <v>0</v>
      </c>
      <c r="E18">
        <f>VALUE(LEFT(TD_Savings_Accounts[[#This Row],[Account Balance]],FIND(" ",TD_Savings_Accounts[[#This Row],[Account Balance]])))</f>
        <v>0</v>
      </c>
    </row>
    <row r="19" spans="1:5" x14ac:dyDescent="0.25">
      <c r="B19" s="18" t="s">
        <v>387</v>
      </c>
      <c r="C19">
        <v>0.01</v>
      </c>
      <c r="E19">
        <f>VALUE(LEFT(TD_Savings_Accounts[[#This Row],[Account Balance]],FIND(" ",TD_Savings_Accounts[[#This Row],[Account Balance]])))</f>
        <v>10000</v>
      </c>
    </row>
    <row r="20" spans="1:5" x14ac:dyDescent="0.25">
      <c r="B20" s="18" t="s">
        <v>383</v>
      </c>
      <c r="C20">
        <v>0.01</v>
      </c>
      <c r="E20">
        <f>VALUE(LEFT(TD_Savings_Accounts[[#This Row],[Account Balance]],FIND(" ",TD_Savings_Accounts[[#This Row],[Account Balance]])))</f>
        <v>50000</v>
      </c>
    </row>
    <row r="21" spans="1:5" x14ac:dyDescent="0.25">
      <c r="B21" s="18" t="s">
        <v>388</v>
      </c>
      <c r="C21">
        <v>0.01</v>
      </c>
      <c r="E21">
        <f>VALUE(LEFT(TD_Savings_Accounts[[#This Row],[Account Balance]],FIND(" ",TD_Savings_Accounts[[#This Row],[Account Balance]])))</f>
        <v>100000</v>
      </c>
    </row>
    <row r="22" spans="1:5" x14ac:dyDescent="0.25">
      <c r="B22" s="18" t="s">
        <v>384</v>
      </c>
      <c r="C22">
        <v>0.01</v>
      </c>
      <c r="E22">
        <f>VALUE(LEFT(TD_Savings_Accounts[[#This Row],[Account Balance]],FIND(" ",TD_Savings_Accounts[[#This Row],[Account Balance]])))</f>
        <v>250000</v>
      </c>
    </row>
    <row r="23" spans="1:5" x14ac:dyDescent="0.25">
      <c r="B23" s="18" t="s">
        <v>385</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365</v>
      </c>
      <c r="B29" s="41" t="s">
        <v>156</v>
      </c>
      <c r="C29" s="41" t="s">
        <v>56</v>
      </c>
      <c r="D29" s="41"/>
      <c r="E29" s="38"/>
    </row>
    <row r="30" spans="1:5" x14ac:dyDescent="0.25">
      <c r="B30" s="18" t="s">
        <v>158</v>
      </c>
      <c r="C30" s="18">
        <v>0</v>
      </c>
      <c r="D30" s="41"/>
      <c r="E30" s="18">
        <f>VALUE(LEFT(TD_US_Daily_Interest[[#This Row],[Account Balance]],FIND(" ",TD_US_Daily_Interest[[#This Row],[Account Balance]])))</f>
        <v>0</v>
      </c>
    </row>
    <row r="31" spans="1:5" x14ac:dyDescent="0.25">
      <c r="B31" s="18" t="s">
        <v>159</v>
      </c>
      <c r="C31" s="18">
        <v>1E-4</v>
      </c>
      <c r="D31" s="41"/>
      <c r="E31" s="18">
        <f>VALUE(LEFT(TD_US_Daily_Interest[[#This Row],[Account Balance]],FIND(" ",TD_US_Daily_Interest[[#This Row],[Account Balance]])))</f>
        <v>1000</v>
      </c>
    </row>
    <row r="32" spans="1:5" x14ac:dyDescent="0.25">
      <c r="B32" s="18" t="s">
        <v>160</v>
      </c>
      <c r="C32" s="18">
        <v>2.5000000000000001E-4</v>
      </c>
      <c r="D32" s="41"/>
      <c r="E32" s="18">
        <f>VALUE(LEFT(TD_US_Daily_Interest[[#This Row],[Account Balance]],FIND(" ",TD_US_Daily_Interest[[#This Row],[Account Balance]])))</f>
        <v>5000</v>
      </c>
    </row>
    <row r="33" spans="1:6" x14ac:dyDescent="0.25">
      <c r="B33" s="18" t="s">
        <v>161</v>
      </c>
      <c r="C33" s="18">
        <v>5.0000000000000001E-4</v>
      </c>
      <c r="D33" s="41"/>
      <c r="E33" s="18">
        <f>VALUE(LEFT(TD_US_Daily_Interest[[#This Row],[Account Balance]],FIND(" ",TD_US_Daily_Interest[[#This Row],[Account Balance]])))</f>
        <v>10000</v>
      </c>
    </row>
    <row r="34" spans="1:6" x14ac:dyDescent="0.25">
      <c r="B34" s="18" t="s">
        <v>162</v>
      </c>
      <c r="C34" s="18">
        <v>1E-3</v>
      </c>
      <c r="D34" s="41"/>
      <c r="E34" s="18">
        <f>VALUE(LEFT(TD_US_Daily_Interest[[#This Row],[Account Balance]],FIND(" ",TD_US_Daily_Interest[[#This Row],[Account Balance]])))</f>
        <v>25000</v>
      </c>
    </row>
    <row r="35" spans="1:6" x14ac:dyDescent="0.25">
      <c r="B35" s="18" t="s">
        <v>163</v>
      </c>
      <c r="C35" s="18">
        <v>1E-3</v>
      </c>
      <c r="D35" s="41"/>
      <c r="E35" s="18">
        <f>VALUE(LEFT(TD_US_Daily_Interest[[#This Row],[Account Balance]],FIND(" ",TD_US_Daily_Interest[[#This Row],[Account Balance]])))</f>
        <v>60000</v>
      </c>
    </row>
    <row r="39" spans="1:6" x14ac:dyDescent="0.25">
      <c r="A39" t="s">
        <v>427</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1.7000000000000001E-2</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election activeCell="B12" sqref="B12:C168"/>
    </sheetView>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331</v>
      </c>
      <c r="B1" t="s">
        <v>180</v>
      </c>
      <c r="C1" t="s">
        <v>181</v>
      </c>
      <c r="D1" t="s">
        <v>182</v>
      </c>
      <c r="E1" t="s">
        <v>268</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282</v>
      </c>
      <c r="C12" t="s">
        <v>57</v>
      </c>
      <c r="E12" s="38" t="s">
        <v>268</v>
      </c>
    </row>
    <row r="13" spans="1:8" x14ac:dyDescent="0.25">
      <c r="A13" t="s">
        <v>313</v>
      </c>
      <c r="B13" s="41" t="s">
        <v>456</v>
      </c>
      <c r="C13" s="41" t="s">
        <v>457</v>
      </c>
      <c r="E13">
        <f>IF(LEFT(RBC_Personal_Accounts[[#This Row],[If Balance is]],1)&lt;&gt;"$",0,VALUE(LEFT(RBC_Personal_Accounts[[#This Row],[If Balance is]],FIND(" ",RBC_Personal_Accounts[[#This Row],[If Balance is]]))))</f>
        <v>0</v>
      </c>
      <c r="H13">
        <v>157</v>
      </c>
    </row>
    <row r="14" spans="1:8" x14ac:dyDescent="0.25">
      <c r="B14" s="41" t="s">
        <v>458</v>
      </c>
      <c r="C14" s="41" t="s">
        <v>457</v>
      </c>
      <c r="E14" s="41">
        <f>IF(LEFT(RBC_Personal_Accounts[[#This Row],[If Balance is]],1)&lt;&gt;"$",0,VALUE(LEFT(RBC_Personal_Accounts[[#This Row],[If Balance is]],FIND(" ",RBC_Personal_Accounts[[#This Row],[If Balance is]]))))</f>
        <v>1000</v>
      </c>
      <c r="H14">
        <v>156</v>
      </c>
    </row>
    <row r="15" spans="1:8" x14ac:dyDescent="0.25">
      <c r="B15" s="41" t="s">
        <v>459</v>
      </c>
      <c r="C15" s="41" t="s">
        <v>457</v>
      </c>
      <c r="E15" s="41">
        <f>IF(LEFT(RBC_Personal_Accounts[[#This Row],[If Balance is]],1)&lt;&gt;"$",0,VALUE(LEFT(RBC_Personal_Accounts[[#This Row],[If Balance is]],FIND(" ",RBC_Personal_Accounts[[#This Row],[If Balance is]]))))</f>
        <v>3000</v>
      </c>
      <c r="H15">
        <v>155</v>
      </c>
    </row>
    <row r="16" spans="1:8" x14ac:dyDescent="0.25">
      <c r="B16" s="41" t="s">
        <v>460</v>
      </c>
      <c r="C16" s="41" t="s">
        <v>461</v>
      </c>
      <c r="E16" s="41">
        <f>IF(LEFT(RBC_Personal_Accounts[[#This Row],[If Balance is]],1)&lt;&gt;"$",0,VALUE(LEFT(RBC_Personal_Accounts[[#This Row],[If Balance is]],FIND(" ",RBC_Personal_Accounts[[#This Row],[If Balance is]]))))</f>
        <v>5000</v>
      </c>
      <c r="H16">
        <v>154</v>
      </c>
    </row>
    <row r="17" spans="1:9" x14ac:dyDescent="0.25">
      <c r="B17" s="41" t="s">
        <v>59</v>
      </c>
      <c r="C17" s="41" t="s">
        <v>461</v>
      </c>
      <c r="E17" s="41">
        <f>IF(LEFT(RBC_Personal_Accounts[[#This Row],[If Balance is]],1)&lt;&gt;"$",0,VALUE(LEFT(RBC_Personal_Accounts[[#This Row],[If Balance is]],FIND(" ",RBC_Personal_Accounts[[#This Row],[If Balance is]]))))</f>
        <v>25000</v>
      </c>
      <c r="H17">
        <v>153</v>
      </c>
    </row>
    <row r="18" spans="1:9" x14ac:dyDescent="0.25">
      <c r="B18" s="41" t="s">
        <v>462</v>
      </c>
      <c r="C18" s="41" t="s">
        <v>463</v>
      </c>
      <c r="E18" s="41">
        <f>IF(LEFT(RBC_Personal_Accounts[[#This Row],[If Balance is]],1)&lt;&gt;"$",0,VALUE(LEFT(RBC_Personal_Accounts[[#This Row],[If Balance is]],FIND(" ",RBC_Personal_Accounts[[#This Row],[If Balance is]]))))</f>
        <v>60000</v>
      </c>
      <c r="H18">
        <v>152</v>
      </c>
    </row>
    <row r="19" spans="1:9" x14ac:dyDescent="0.25">
      <c r="A19" t="s">
        <v>312</v>
      </c>
      <c r="B19" s="41" t="s">
        <v>456</v>
      </c>
      <c r="C19" s="41" t="s">
        <v>457</v>
      </c>
      <c r="E19" s="41">
        <f>IF(LEFT(RBC_Personal_Accounts[[#This Row],[If Balance is]],1)&lt;&gt;"$",0,VALUE(LEFT(RBC_Personal_Accounts[[#This Row],[If Balance is]],FIND(" ",RBC_Personal_Accounts[[#This Row],[If Balance is]]))))</f>
        <v>0</v>
      </c>
      <c r="H19">
        <v>151</v>
      </c>
      <c r="I19" t="s">
        <v>313</v>
      </c>
    </row>
    <row r="20" spans="1:9" x14ac:dyDescent="0.25">
      <c r="B20" s="41" t="s">
        <v>458</v>
      </c>
      <c r="C20" s="41" t="s">
        <v>457</v>
      </c>
      <c r="E20" s="41">
        <f>IF(LEFT(RBC_Personal_Accounts[[#This Row],[If Balance is]],1)&lt;&gt;"$",0,VALUE(LEFT(RBC_Personal_Accounts[[#This Row],[If Balance is]],FIND(" ",RBC_Personal_Accounts[[#This Row],[If Balance is]]))))</f>
        <v>1000</v>
      </c>
      <c r="H20">
        <v>150</v>
      </c>
    </row>
    <row r="21" spans="1:9" x14ac:dyDescent="0.25">
      <c r="B21" s="41" t="s">
        <v>459</v>
      </c>
      <c r="C21" s="41" t="s">
        <v>461</v>
      </c>
      <c r="E21" s="41">
        <f>IF(LEFT(RBC_Personal_Accounts[[#This Row],[If Balance is]],1)&lt;&gt;"$",0,VALUE(LEFT(RBC_Personal_Accounts[[#This Row],[If Balance is]],FIND(" ",RBC_Personal_Accounts[[#This Row],[If Balance is]]))))</f>
        <v>3000</v>
      </c>
      <c r="H21">
        <v>149</v>
      </c>
    </row>
    <row r="22" spans="1:9" x14ac:dyDescent="0.25">
      <c r="B22" s="41" t="s">
        <v>61</v>
      </c>
      <c r="C22" s="41" t="s">
        <v>463</v>
      </c>
      <c r="E22" s="41">
        <f>IF(LEFT(RBC_Personal_Accounts[[#This Row],[If Balance is]],1)&lt;&gt;"$",0,VALUE(LEFT(RBC_Personal_Accounts[[#This Row],[If Balance is]],FIND(" ",RBC_Personal_Accounts[[#This Row],[If Balance is]]))))</f>
        <v>5000</v>
      </c>
      <c r="H22">
        <v>148</v>
      </c>
    </row>
    <row r="23" spans="1:9" x14ac:dyDescent="0.25">
      <c r="A23" t="s">
        <v>311</v>
      </c>
      <c r="B23" s="41" t="s">
        <v>456</v>
      </c>
      <c r="C23" s="41" t="s">
        <v>464</v>
      </c>
      <c r="E23" s="41">
        <f>IF(LEFT(RBC_Personal_Accounts[[#This Row],[If Balance is]],1)&lt;&gt;"$",0,VALUE(LEFT(RBC_Personal_Accounts[[#This Row],[If Balance is]],FIND(" ",RBC_Personal_Accounts[[#This Row],[If Balance is]]))))</f>
        <v>0</v>
      </c>
      <c r="H23">
        <v>147</v>
      </c>
      <c r="I23" t="s">
        <v>312</v>
      </c>
    </row>
    <row r="24" spans="1:9" x14ac:dyDescent="0.25">
      <c r="B24" s="41" t="s">
        <v>458</v>
      </c>
      <c r="C24" s="41" t="s">
        <v>465</v>
      </c>
      <c r="E24" s="41">
        <f>IF(LEFT(RBC_Personal_Accounts[[#This Row],[If Balance is]],1)&lt;&gt;"$",0,VALUE(LEFT(RBC_Personal_Accounts[[#This Row],[If Balance is]],FIND(" ",RBC_Personal_Accounts[[#This Row],[If Balance is]]))))</f>
        <v>1000</v>
      </c>
      <c r="H24">
        <v>146</v>
      </c>
    </row>
    <row r="25" spans="1:9" x14ac:dyDescent="0.25">
      <c r="B25" s="41" t="s">
        <v>459</v>
      </c>
      <c r="C25" s="41" t="s">
        <v>466</v>
      </c>
      <c r="E25" s="41">
        <f>IF(LEFT(RBC_Personal_Accounts[[#This Row],[If Balance is]],1)&lt;&gt;"$",0,VALUE(LEFT(RBC_Personal_Accounts[[#This Row],[If Balance is]],FIND(" ",RBC_Personal_Accounts[[#This Row],[If Balance is]]))))</f>
        <v>3000</v>
      </c>
      <c r="H25">
        <v>145</v>
      </c>
    </row>
    <row r="26" spans="1:9" x14ac:dyDescent="0.25">
      <c r="B26" s="41" t="s">
        <v>61</v>
      </c>
      <c r="C26" s="41" t="s">
        <v>466</v>
      </c>
      <c r="E26" s="41">
        <f>IF(LEFT(RBC_Personal_Accounts[[#This Row],[If Balance is]],1)&lt;&gt;"$",0,VALUE(LEFT(RBC_Personal_Accounts[[#This Row],[If Balance is]],FIND(" ",RBC_Personal_Accounts[[#This Row],[If Balance is]]))))</f>
        <v>5000</v>
      </c>
      <c r="H26">
        <v>144</v>
      </c>
    </row>
    <row r="27" spans="1:9" x14ac:dyDescent="0.25">
      <c r="A27" t="s">
        <v>310</v>
      </c>
      <c r="B27" s="41" t="s">
        <v>467</v>
      </c>
      <c r="C27" s="41" t="s">
        <v>457</v>
      </c>
      <c r="E27" s="41">
        <f>IF(LEFT(RBC_Personal_Accounts[[#This Row],[If Balance is]],1)&lt;&gt;"$",0,VALUE(LEFT(RBC_Personal_Accounts[[#This Row],[If Balance is]],FIND(" ",RBC_Personal_Accounts[[#This Row],[If Balance is]]))))</f>
        <v>0</v>
      </c>
      <c r="H27">
        <v>143</v>
      </c>
      <c r="I27" t="s">
        <v>311</v>
      </c>
    </row>
    <row r="28" spans="1:9" x14ac:dyDescent="0.25">
      <c r="B28" s="41" t="s">
        <v>468</v>
      </c>
      <c r="C28" s="41" t="s">
        <v>461</v>
      </c>
      <c r="E28" s="41">
        <f>IF(LEFT(RBC_Personal_Accounts[[#This Row],[If Balance is]],1)&lt;&gt;"$",0,VALUE(LEFT(RBC_Personal_Accounts[[#This Row],[If Balance is]],FIND(" ",RBC_Personal_Accounts[[#This Row],[If Balance is]]))))</f>
        <v>5000</v>
      </c>
      <c r="H28">
        <v>142</v>
      </c>
    </row>
    <row r="29" spans="1:9" x14ac:dyDescent="0.25">
      <c r="B29" s="41" t="s">
        <v>60</v>
      </c>
      <c r="C29" s="41" t="s">
        <v>464</v>
      </c>
      <c r="E29" s="41">
        <f>IF(LEFT(RBC_Personal_Accounts[[#This Row],[If Balance is]],1)&lt;&gt;"$",0,VALUE(LEFT(RBC_Personal_Accounts[[#This Row],[If Balance is]],FIND(" ",RBC_Personal_Accounts[[#This Row],[If Balance is]]))))</f>
        <v>10000</v>
      </c>
      <c r="H29">
        <v>141</v>
      </c>
    </row>
    <row r="30" spans="1:9" x14ac:dyDescent="0.25">
      <c r="B30" s="41" t="s">
        <v>59</v>
      </c>
      <c r="C30" s="41" t="s">
        <v>465</v>
      </c>
      <c r="E30" s="41">
        <f>IF(LEFT(RBC_Personal_Accounts[[#This Row],[If Balance is]],1)&lt;&gt;"$",0,VALUE(LEFT(RBC_Personal_Accounts[[#This Row],[If Balance is]],FIND(" ",RBC_Personal_Accounts[[#This Row],[If Balance is]]))))</f>
        <v>25000</v>
      </c>
      <c r="H30">
        <v>140</v>
      </c>
    </row>
    <row r="31" spans="1:9" x14ac:dyDescent="0.25">
      <c r="B31" s="41" t="s">
        <v>58</v>
      </c>
      <c r="C31" s="41" t="s">
        <v>469</v>
      </c>
      <c r="E31" s="41">
        <f>IF(LEFT(RBC_Personal_Accounts[[#This Row],[If Balance is]],1)&lt;&gt;"$",0,VALUE(LEFT(RBC_Personal_Accounts[[#This Row],[If Balance is]],FIND(" ",RBC_Personal_Accounts[[#This Row],[If Balance is]]))))</f>
        <v>60000</v>
      </c>
      <c r="H31">
        <v>139</v>
      </c>
    </row>
    <row r="32" spans="1:9" x14ac:dyDescent="0.25">
      <c r="B32" s="41" t="s">
        <v>470</v>
      </c>
      <c r="C32" s="41" t="s">
        <v>471</v>
      </c>
      <c r="E32" s="41">
        <f>IF(LEFT(RBC_Personal_Accounts[[#This Row],[If Balance is]],1)&lt;&gt;"$",0,VALUE(LEFT(RBC_Personal_Accounts[[#This Row],[If Balance is]],FIND(" ",RBC_Personal_Accounts[[#This Row],[If Balance is]]))))</f>
        <v>100000</v>
      </c>
      <c r="H32">
        <v>138</v>
      </c>
    </row>
    <row r="33" spans="1:9" x14ac:dyDescent="0.25">
      <c r="B33" s="41" t="s">
        <v>472</v>
      </c>
      <c r="C33" s="41" t="s">
        <v>473</v>
      </c>
      <c r="E33" s="41">
        <f>IF(LEFT(RBC_Personal_Accounts[[#This Row],[If Balance is]],1)&lt;&gt;"$",0,VALUE(LEFT(RBC_Personal_Accounts[[#This Row],[If Balance is]],FIND(" ",RBC_Personal_Accounts[[#This Row],[If Balance is]]))))</f>
        <v>150000</v>
      </c>
      <c r="H33">
        <v>137</v>
      </c>
    </row>
    <row r="34" spans="1:9" x14ac:dyDescent="0.25">
      <c r="B34" s="41" t="s">
        <v>474</v>
      </c>
      <c r="C34" s="41" t="s">
        <v>473</v>
      </c>
      <c r="E34" s="41">
        <f>IF(LEFT(RBC_Personal_Accounts[[#This Row],[If Balance is]],1)&lt;&gt;"$",0,VALUE(LEFT(RBC_Personal_Accounts[[#This Row],[If Balance is]],FIND(" ",RBC_Personal_Accounts[[#This Row],[If Balance is]]))))</f>
        <v>250000</v>
      </c>
      <c r="H34">
        <v>136</v>
      </c>
    </row>
    <row r="35" spans="1:9" x14ac:dyDescent="0.25">
      <c r="A35" t="s">
        <v>309</v>
      </c>
      <c r="B35" s="41" t="s">
        <v>475</v>
      </c>
      <c r="C35" s="41" t="s">
        <v>464</v>
      </c>
      <c r="E35" s="41">
        <f>IF(LEFT(RBC_Personal_Accounts[[#This Row],[If Balance is]],1)&lt;&gt;"$",0,VALUE(LEFT(RBC_Personal_Accounts[[#This Row],[If Balance is]],FIND(" ",RBC_Personal_Accounts[[#This Row],[If Balance is]]))))</f>
        <v>0</v>
      </c>
      <c r="H35">
        <v>135</v>
      </c>
      <c r="I35" t="s">
        <v>310</v>
      </c>
    </row>
    <row r="36" spans="1:9" x14ac:dyDescent="0.25">
      <c r="B36" s="41" t="s">
        <v>476</v>
      </c>
      <c r="C36" s="41" t="s">
        <v>464</v>
      </c>
      <c r="E36" s="41">
        <f>IF(LEFT(RBC_Personal_Accounts[[#This Row],[If Balance is]],1)&lt;&gt;"$",0,VALUE(LEFT(RBC_Personal_Accounts[[#This Row],[If Balance is]],FIND(" ",RBC_Personal_Accounts[[#This Row],[If Balance is]]))))</f>
        <v>1000</v>
      </c>
      <c r="H36">
        <v>134</v>
      </c>
    </row>
    <row r="37" spans="1:9" x14ac:dyDescent="0.25">
      <c r="B37" s="41" t="s">
        <v>477</v>
      </c>
      <c r="C37" s="41" t="s">
        <v>464</v>
      </c>
      <c r="E37" s="41">
        <f>IF(LEFT(RBC_Personal_Accounts[[#This Row],[If Balance is]],1)&lt;&gt;"$",0,VALUE(LEFT(RBC_Personal_Accounts[[#This Row],[If Balance is]],FIND(" ",RBC_Personal_Accounts[[#This Row],[If Balance is]]))))</f>
        <v>3000</v>
      </c>
      <c r="H37">
        <v>133</v>
      </c>
    </row>
    <row r="38" spans="1:9" x14ac:dyDescent="0.25">
      <c r="B38" s="41" t="s">
        <v>478</v>
      </c>
      <c r="C38" s="41" t="s">
        <v>464</v>
      </c>
      <c r="E38" s="41">
        <f>IF(LEFT(RBC_Personal_Accounts[[#This Row],[If Balance is]],1)&lt;&gt;"$",0,VALUE(LEFT(RBC_Personal_Accounts[[#This Row],[If Balance is]],FIND(" ",RBC_Personal_Accounts[[#This Row],[If Balance is]]))))</f>
        <v>5000</v>
      </c>
      <c r="H38">
        <v>132</v>
      </c>
    </row>
    <row r="39" spans="1:9" x14ac:dyDescent="0.25">
      <c r="B39" s="41" t="s">
        <v>479</v>
      </c>
      <c r="C39" s="41" t="s">
        <v>464</v>
      </c>
      <c r="E39" s="41">
        <f>IF(LEFT(RBC_Personal_Accounts[[#This Row],[If Balance is]],1)&lt;&gt;"$",0,VALUE(LEFT(RBC_Personal_Accounts[[#This Row],[If Balance is]],FIND(" ",RBC_Personal_Accounts[[#This Row],[If Balance is]]))))</f>
        <v>10000</v>
      </c>
      <c r="H39">
        <v>131</v>
      </c>
    </row>
    <row r="40" spans="1:9" x14ac:dyDescent="0.25">
      <c r="B40" s="41" t="s">
        <v>480</v>
      </c>
      <c r="C40" s="41" t="s">
        <v>464</v>
      </c>
      <c r="E40" s="41">
        <f>IF(LEFT(RBC_Personal_Accounts[[#This Row],[If Balance is]],1)&lt;&gt;"$",0,VALUE(LEFT(RBC_Personal_Accounts[[#This Row],[If Balance is]],FIND(" ",RBC_Personal_Accounts[[#This Row],[If Balance is]]))))</f>
        <v>25000</v>
      </c>
      <c r="H40">
        <v>130</v>
      </c>
    </row>
    <row r="41" spans="1:9" x14ac:dyDescent="0.25">
      <c r="B41" s="41" t="s">
        <v>481</v>
      </c>
      <c r="C41" s="41" t="s">
        <v>482</v>
      </c>
      <c r="E41" s="41">
        <f>IF(LEFT(RBC_Personal_Accounts[[#This Row],[If Balance is]],1)&lt;&gt;"$",0,VALUE(LEFT(RBC_Personal_Accounts[[#This Row],[If Balance is]],FIND(" ",RBC_Personal_Accounts[[#This Row],[If Balance is]]))))</f>
        <v>60000</v>
      </c>
      <c r="H41">
        <v>129</v>
      </c>
    </row>
    <row r="42" spans="1:9" x14ac:dyDescent="0.25">
      <c r="B42" s="41" t="s">
        <v>483</v>
      </c>
      <c r="C42" s="41" t="s">
        <v>482</v>
      </c>
      <c r="E42" s="41">
        <f>IF(LEFT(RBC_Personal_Accounts[[#This Row],[If Balance is]],1)&lt;&gt;"$",0,VALUE(LEFT(RBC_Personal_Accounts[[#This Row],[If Balance is]],FIND(" ",RBC_Personal_Accounts[[#This Row],[If Balance is]]))))</f>
        <v>100000</v>
      </c>
      <c r="H42">
        <v>128</v>
      </c>
    </row>
    <row r="43" spans="1:9" x14ac:dyDescent="0.25">
      <c r="B43" s="41" t="s">
        <v>484</v>
      </c>
      <c r="C43" s="41" t="s">
        <v>482</v>
      </c>
      <c r="E43" s="41">
        <f>IF(LEFT(RBC_Personal_Accounts[[#This Row],[If Balance is]],1)&lt;&gt;"$",0,VALUE(LEFT(RBC_Personal_Accounts[[#This Row],[If Balance is]],FIND(" ",RBC_Personal_Accounts[[#This Row],[If Balance is]]))))</f>
        <v>150000</v>
      </c>
      <c r="H43">
        <v>127</v>
      </c>
    </row>
    <row r="44" spans="1:9" x14ac:dyDescent="0.25">
      <c r="B44" s="41" t="s">
        <v>474</v>
      </c>
      <c r="C44" s="41" t="s">
        <v>482</v>
      </c>
      <c r="E44" s="41">
        <f>IF(LEFT(RBC_Personal_Accounts[[#This Row],[If Balance is]],1)&lt;&gt;"$",0,VALUE(LEFT(RBC_Personal_Accounts[[#This Row],[If Balance is]],FIND(" ",RBC_Personal_Accounts[[#This Row],[If Balance is]]))))</f>
        <v>250000</v>
      </c>
      <c r="H44">
        <v>126</v>
      </c>
    </row>
    <row r="45" spans="1:9" x14ac:dyDescent="0.25">
      <c r="A45" t="s">
        <v>308</v>
      </c>
      <c r="B45" s="41" t="s">
        <v>456</v>
      </c>
      <c r="C45" s="41" t="s">
        <v>457</v>
      </c>
      <c r="E45" s="41">
        <f>IF(LEFT(RBC_Personal_Accounts[[#This Row],[If Balance is]],1)&lt;&gt;"$",0,VALUE(LEFT(RBC_Personal_Accounts[[#This Row],[If Balance is]],FIND(" ",RBC_Personal_Accounts[[#This Row],[If Balance is]]))))</f>
        <v>0</v>
      </c>
      <c r="H45">
        <v>125</v>
      </c>
      <c r="I45" t="s">
        <v>309</v>
      </c>
    </row>
    <row r="46" spans="1:9" x14ac:dyDescent="0.25">
      <c r="B46" s="41" t="s">
        <v>458</v>
      </c>
      <c r="C46" s="41" t="s">
        <v>457</v>
      </c>
      <c r="E46" s="41">
        <f>IF(LEFT(RBC_Personal_Accounts[[#This Row],[If Balance is]],1)&lt;&gt;"$",0,VALUE(LEFT(RBC_Personal_Accounts[[#This Row],[If Balance is]],FIND(" ",RBC_Personal_Accounts[[#This Row],[If Balance is]]))))</f>
        <v>1000</v>
      </c>
      <c r="H46">
        <v>124</v>
      </c>
    </row>
    <row r="47" spans="1:9" x14ac:dyDescent="0.25">
      <c r="B47" s="41" t="s">
        <v>459</v>
      </c>
      <c r="C47" s="41" t="s">
        <v>457</v>
      </c>
      <c r="E47" s="41">
        <f>IF(LEFT(RBC_Personal_Accounts[[#This Row],[If Balance is]],1)&lt;&gt;"$",0,VALUE(LEFT(RBC_Personal_Accounts[[#This Row],[If Balance is]],FIND(" ",RBC_Personal_Accounts[[#This Row],[If Balance is]]))))</f>
        <v>3000</v>
      </c>
      <c r="H47">
        <v>123</v>
      </c>
    </row>
    <row r="48" spans="1:9" x14ac:dyDescent="0.25">
      <c r="B48" s="41" t="s">
        <v>460</v>
      </c>
      <c r="C48" s="41" t="s">
        <v>461</v>
      </c>
      <c r="E48" s="41">
        <f>IF(LEFT(RBC_Personal_Accounts[[#This Row],[If Balance is]],1)&lt;&gt;"$",0,VALUE(LEFT(RBC_Personal_Accounts[[#This Row],[If Balance is]],FIND(" ",RBC_Personal_Accounts[[#This Row],[If Balance is]]))))</f>
        <v>5000</v>
      </c>
      <c r="H48">
        <v>122</v>
      </c>
    </row>
    <row r="49" spans="1:9" x14ac:dyDescent="0.25">
      <c r="B49" s="41" t="s">
        <v>59</v>
      </c>
      <c r="C49" s="41" t="s">
        <v>461</v>
      </c>
      <c r="E49" s="41">
        <f>IF(LEFT(RBC_Personal_Accounts[[#This Row],[If Balance is]],1)&lt;&gt;"$",0,VALUE(LEFT(RBC_Personal_Accounts[[#This Row],[If Balance is]],FIND(" ",RBC_Personal_Accounts[[#This Row],[If Balance is]]))))</f>
        <v>25000</v>
      </c>
      <c r="H49">
        <v>121</v>
      </c>
    </row>
    <row r="50" spans="1:9" x14ac:dyDescent="0.25">
      <c r="B50" s="41" t="s">
        <v>462</v>
      </c>
      <c r="C50" s="41" t="s">
        <v>463</v>
      </c>
      <c r="E50" s="41">
        <f>IF(LEFT(RBC_Personal_Accounts[[#This Row],[If Balance is]],1)&lt;&gt;"$",0,VALUE(LEFT(RBC_Personal_Accounts[[#This Row],[If Balance is]],FIND(" ",RBC_Personal_Accounts[[#This Row],[If Balance is]]))))</f>
        <v>60000</v>
      </c>
      <c r="H50">
        <v>120</v>
      </c>
    </row>
    <row r="51" spans="1:9" x14ac:dyDescent="0.25">
      <c r="A51" t="s">
        <v>307</v>
      </c>
      <c r="B51" s="41" t="s">
        <v>467</v>
      </c>
      <c r="C51" s="41" t="s">
        <v>457</v>
      </c>
      <c r="E51" s="41">
        <f>IF(LEFT(RBC_Personal_Accounts[[#This Row],[If Balance is]],1)&lt;&gt;"$",0,VALUE(LEFT(RBC_Personal_Accounts[[#This Row],[If Balance is]],FIND(" ",RBC_Personal_Accounts[[#This Row],[If Balance is]]))))</f>
        <v>0</v>
      </c>
      <c r="H51">
        <v>119</v>
      </c>
      <c r="I51" t="s">
        <v>308</v>
      </c>
    </row>
    <row r="52" spans="1:9" x14ac:dyDescent="0.25">
      <c r="B52" s="41" t="s">
        <v>468</v>
      </c>
      <c r="C52" s="41" t="s">
        <v>461</v>
      </c>
      <c r="E52" s="41">
        <f>IF(LEFT(RBC_Personal_Accounts[[#This Row],[If Balance is]],1)&lt;&gt;"$",0,VALUE(LEFT(RBC_Personal_Accounts[[#This Row],[If Balance is]],FIND(" ",RBC_Personal_Accounts[[#This Row],[If Balance is]]))))</f>
        <v>5000</v>
      </c>
      <c r="H52">
        <v>118</v>
      </c>
    </row>
    <row r="53" spans="1:9" x14ac:dyDescent="0.25">
      <c r="B53" s="41" t="s">
        <v>60</v>
      </c>
      <c r="C53" s="41" t="s">
        <v>464</v>
      </c>
      <c r="E53" s="41">
        <f>IF(LEFT(RBC_Personal_Accounts[[#This Row],[If Balance is]],1)&lt;&gt;"$",0,VALUE(LEFT(RBC_Personal_Accounts[[#This Row],[If Balance is]],FIND(" ",RBC_Personal_Accounts[[#This Row],[If Balance is]]))))</f>
        <v>10000</v>
      </c>
      <c r="H53">
        <v>117</v>
      </c>
    </row>
    <row r="54" spans="1:9" x14ac:dyDescent="0.25">
      <c r="B54" s="41" t="s">
        <v>59</v>
      </c>
      <c r="C54" s="41" t="s">
        <v>465</v>
      </c>
      <c r="E54" s="41">
        <f>IF(LEFT(RBC_Personal_Accounts[[#This Row],[If Balance is]],1)&lt;&gt;"$",0,VALUE(LEFT(RBC_Personal_Accounts[[#This Row],[If Balance is]],FIND(" ",RBC_Personal_Accounts[[#This Row],[If Balance is]]))))</f>
        <v>25000</v>
      </c>
      <c r="H54">
        <v>116</v>
      </c>
    </row>
    <row r="55" spans="1:9" x14ac:dyDescent="0.25">
      <c r="B55" s="41" t="s">
        <v>58</v>
      </c>
      <c r="C55" s="41" t="s">
        <v>469</v>
      </c>
      <c r="E55" s="41">
        <f>IF(LEFT(RBC_Personal_Accounts[[#This Row],[If Balance is]],1)&lt;&gt;"$",0,VALUE(LEFT(RBC_Personal_Accounts[[#This Row],[If Balance is]],FIND(" ",RBC_Personal_Accounts[[#This Row],[If Balance is]]))))</f>
        <v>60000</v>
      </c>
      <c r="H55">
        <v>115</v>
      </c>
    </row>
    <row r="56" spans="1:9" x14ac:dyDescent="0.25">
      <c r="B56" s="41" t="s">
        <v>470</v>
      </c>
      <c r="C56" s="41" t="s">
        <v>471</v>
      </c>
      <c r="E56" s="41">
        <f>IF(LEFT(RBC_Personal_Accounts[[#This Row],[If Balance is]],1)&lt;&gt;"$",0,VALUE(LEFT(RBC_Personal_Accounts[[#This Row],[If Balance is]],FIND(" ",RBC_Personal_Accounts[[#This Row],[If Balance is]]))))</f>
        <v>100000</v>
      </c>
      <c r="H56">
        <v>114</v>
      </c>
    </row>
    <row r="57" spans="1:9" x14ac:dyDescent="0.25">
      <c r="B57" s="41" t="s">
        <v>472</v>
      </c>
      <c r="C57" s="41" t="s">
        <v>473</v>
      </c>
      <c r="E57" s="41">
        <f>IF(LEFT(RBC_Personal_Accounts[[#This Row],[If Balance is]],1)&lt;&gt;"$",0,VALUE(LEFT(RBC_Personal_Accounts[[#This Row],[If Balance is]],FIND(" ",RBC_Personal_Accounts[[#This Row],[If Balance is]]))))</f>
        <v>150000</v>
      </c>
      <c r="H57">
        <v>113</v>
      </c>
    </row>
    <row r="58" spans="1:9" x14ac:dyDescent="0.25">
      <c r="B58" s="41" t="s">
        <v>474</v>
      </c>
      <c r="C58" s="41" t="s">
        <v>473</v>
      </c>
      <c r="E58" s="41">
        <f>IF(LEFT(RBC_Personal_Accounts[[#This Row],[If Balance is]],1)&lt;&gt;"$",0,VALUE(LEFT(RBC_Personal_Accounts[[#This Row],[If Balance is]],FIND(" ",RBC_Personal_Accounts[[#This Row],[If Balance is]]))))</f>
        <v>250000</v>
      </c>
      <c r="H58">
        <v>112</v>
      </c>
    </row>
    <row r="59" spans="1:9" x14ac:dyDescent="0.25">
      <c r="A59" t="s">
        <v>306</v>
      </c>
      <c r="B59" s="41" t="s">
        <v>456</v>
      </c>
      <c r="C59" s="41" t="s">
        <v>464</v>
      </c>
      <c r="E59" s="41">
        <f>IF(LEFT(RBC_Personal_Accounts[[#This Row],[If Balance is]],1)&lt;&gt;"$",0,VALUE(LEFT(RBC_Personal_Accounts[[#This Row],[If Balance is]],FIND(" ",RBC_Personal_Accounts[[#This Row],[If Balance is]]))))</f>
        <v>0</v>
      </c>
      <c r="H59">
        <v>111</v>
      </c>
      <c r="I59" t="s">
        <v>307</v>
      </c>
    </row>
    <row r="60" spans="1:9" x14ac:dyDescent="0.25">
      <c r="B60" s="41" t="s">
        <v>458</v>
      </c>
      <c r="C60" s="41" t="s">
        <v>465</v>
      </c>
      <c r="E60" s="41">
        <f>IF(LEFT(RBC_Personal_Accounts[[#This Row],[If Balance is]],1)&lt;&gt;"$",0,VALUE(LEFT(RBC_Personal_Accounts[[#This Row],[If Balance is]],FIND(" ",RBC_Personal_Accounts[[#This Row],[If Balance is]]))))</f>
        <v>1000</v>
      </c>
      <c r="H60">
        <v>110</v>
      </c>
    </row>
    <row r="61" spans="1:9" x14ac:dyDescent="0.25">
      <c r="B61" s="41" t="s">
        <v>459</v>
      </c>
      <c r="C61" s="41" t="s">
        <v>466</v>
      </c>
      <c r="E61" s="41">
        <f>IF(LEFT(RBC_Personal_Accounts[[#This Row],[If Balance is]],1)&lt;&gt;"$",0,VALUE(LEFT(RBC_Personal_Accounts[[#This Row],[If Balance is]],FIND(" ",RBC_Personal_Accounts[[#This Row],[If Balance is]]))))</f>
        <v>3000</v>
      </c>
      <c r="H61">
        <v>109</v>
      </c>
    </row>
    <row r="62" spans="1:9" x14ac:dyDescent="0.25">
      <c r="B62" s="41" t="s">
        <v>61</v>
      </c>
      <c r="C62" s="41" t="s">
        <v>466</v>
      </c>
      <c r="E62" s="41">
        <f>IF(LEFT(RBC_Personal_Accounts[[#This Row],[If Balance is]],1)&lt;&gt;"$",0,VALUE(LEFT(RBC_Personal_Accounts[[#This Row],[If Balance is]],FIND(" ",RBC_Personal_Accounts[[#This Row],[If Balance is]]))))</f>
        <v>5000</v>
      </c>
      <c r="H62">
        <v>108</v>
      </c>
    </row>
    <row r="63" spans="1:9" x14ac:dyDescent="0.25">
      <c r="A63" t="s">
        <v>305</v>
      </c>
      <c r="B63" s="41" t="s">
        <v>485</v>
      </c>
      <c r="C63" s="41" t="s">
        <v>457</v>
      </c>
      <c r="E63" s="41">
        <f>IF(LEFT(RBC_Personal_Accounts[[#This Row],[If Balance is]],1)&lt;&gt;"$",0,VALUE(LEFT(RBC_Personal_Accounts[[#This Row],[If Balance is]],FIND(" ",RBC_Personal_Accounts[[#This Row],[If Balance is]]))))</f>
        <v>0</v>
      </c>
      <c r="H63">
        <v>107</v>
      </c>
      <c r="I63" t="s">
        <v>306</v>
      </c>
    </row>
    <row r="64" spans="1:9" x14ac:dyDescent="0.25">
      <c r="B64" s="41" t="s">
        <v>486</v>
      </c>
      <c r="C64" s="41" t="s">
        <v>457</v>
      </c>
      <c r="E64" s="41">
        <f>IF(LEFT(RBC_Personal_Accounts[[#This Row],[If Balance is]],1)&lt;&gt;"$",0,VALUE(LEFT(RBC_Personal_Accounts[[#This Row],[If Balance is]],FIND(" ",RBC_Personal_Accounts[[#This Row],[If Balance is]]))))</f>
        <v>500</v>
      </c>
      <c r="H64">
        <v>106</v>
      </c>
    </row>
    <row r="65" spans="1:9" x14ac:dyDescent="0.25">
      <c r="B65" s="41" t="s">
        <v>458</v>
      </c>
      <c r="C65" s="41" t="s">
        <v>457</v>
      </c>
      <c r="E65" s="41">
        <f>IF(LEFT(RBC_Personal_Accounts[[#This Row],[If Balance is]],1)&lt;&gt;"$",0,VALUE(LEFT(RBC_Personal_Accounts[[#This Row],[If Balance is]],FIND(" ",RBC_Personal_Accounts[[#This Row],[If Balance is]]))))</f>
        <v>1000</v>
      </c>
      <c r="H65">
        <v>105</v>
      </c>
    </row>
    <row r="66" spans="1:9" x14ac:dyDescent="0.25">
      <c r="B66" s="41" t="s">
        <v>459</v>
      </c>
      <c r="C66" s="41" t="s">
        <v>461</v>
      </c>
      <c r="E66" s="41">
        <f>IF(LEFT(RBC_Personal_Accounts[[#This Row],[If Balance is]],1)&lt;&gt;"$",0,VALUE(LEFT(RBC_Personal_Accounts[[#This Row],[If Balance is]],FIND(" ",RBC_Personal_Accounts[[#This Row],[If Balance is]]))))</f>
        <v>3000</v>
      </c>
      <c r="H66">
        <v>104</v>
      </c>
    </row>
    <row r="67" spans="1:9" x14ac:dyDescent="0.25">
      <c r="B67" s="41" t="s">
        <v>61</v>
      </c>
      <c r="C67" s="41" t="s">
        <v>463</v>
      </c>
      <c r="E67" s="41">
        <f>IF(LEFT(RBC_Personal_Accounts[[#This Row],[If Balance is]],1)&lt;&gt;"$",0,VALUE(LEFT(RBC_Personal_Accounts[[#This Row],[If Balance is]],FIND(" ",RBC_Personal_Accounts[[#This Row],[If Balance is]]))))</f>
        <v>5000</v>
      </c>
      <c r="H67">
        <v>103</v>
      </c>
    </row>
    <row r="68" spans="1:9" x14ac:dyDescent="0.25">
      <c r="A68" t="s">
        <v>304</v>
      </c>
      <c r="B68" s="41" t="s">
        <v>456</v>
      </c>
      <c r="C68" s="41" t="s">
        <v>457</v>
      </c>
      <c r="E68" s="41">
        <f>IF(LEFT(RBC_Personal_Accounts[[#This Row],[If Balance is]],1)&lt;&gt;"$",0,VALUE(LEFT(RBC_Personal_Accounts[[#This Row],[If Balance is]],FIND(" ",RBC_Personal_Accounts[[#This Row],[If Balance is]]))))</f>
        <v>0</v>
      </c>
      <c r="H68">
        <v>102</v>
      </c>
      <c r="I68" t="s">
        <v>305</v>
      </c>
    </row>
    <row r="69" spans="1:9" x14ac:dyDescent="0.25">
      <c r="B69" s="41" t="s">
        <v>458</v>
      </c>
      <c r="C69" s="41" t="s">
        <v>457</v>
      </c>
      <c r="E69" s="41">
        <f>IF(LEFT(RBC_Personal_Accounts[[#This Row],[If Balance is]],1)&lt;&gt;"$",0,VALUE(LEFT(RBC_Personal_Accounts[[#This Row],[If Balance is]],FIND(" ",RBC_Personal_Accounts[[#This Row],[If Balance is]]))))</f>
        <v>1000</v>
      </c>
      <c r="H69">
        <v>101</v>
      </c>
    </row>
    <row r="70" spans="1:9" x14ac:dyDescent="0.25">
      <c r="B70" s="41" t="s">
        <v>459</v>
      </c>
      <c r="C70" s="41" t="s">
        <v>457</v>
      </c>
      <c r="E70" s="41">
        <f>IF(LEFT(RBC_Personal_Accounts[[#This Row],[If Balance is]],1)&lt;&gt;"$",0,VALUE(LEFT(RBC_Personal_Accounts[[#This Row],[If Balance is]],FIND(" ",RBC_Personal_Accounts[[#This Row],[If Balance is]]))))</f>
        <v>3000</v>
      </c>
      <c r="H70">
        <v>100</v>
      </c>
    </row>
    <row r="71" spans="1:9" x14ac:dyDescent="0.25">
      <c r="B71" s="41" t="s">
        <v>460</v>
      </c>
      <c r="C71" s="41" t="s">
        <v>461</v>
      </c>
      <c r="E71" s="41">
        <f>IF(LEFT(RBC_Personal_Accounts[[#This Row],[If Balance is]],1)&lt;&gt;"$",0,VALUE(LEFT(RBC_Personal_Accounts[[#This Row],[If Balance is]],FIND(" ",RBC_Personal_Accounts[[#This Row],[If Balance is]]))))</f>
        <v>5000</v>
      </c>
      <c r="H71">
        <v>99</v>
      </c>
    </row>
    <row r="72" spans="1:9" x14ac:dyDescent="0.25">
      <c r="B72" s="41" t="s">
        <v>59</v>
      </c>
      <c r="C72" s="41" t="s">
        <v>461</v>
      </c>
      <c r="E72" s="41">
        <f>IF(LEFT(RBC_Personal_Accounts[[#This Row],[If Balance is]],1)&lt;&gt;"$",0,VALUE(LEFT(RBC_Personal_Accounts[[#This Row],[If Balance is]],FIND(" ",RBC_Personal_Accounts[[#This Row],[If Balance is]]))))</f>
        <v>25000</v>
      </c>
      <c r="H72">
        <v>98</v>
      </c>
    </row>
    <row r="73" spans="1:9" x14ac:dyDescent="0.25">
      <c r="B73" s="41" t="s">
        <v>462</v>
      </c>
      <c r="C73" s="41" t="s">
        <v>463</v>
      </c>
      <c r="E73" s="41">
        <f>IF(LEFT(RBC_Personal_Accounts[[#This Row],[If Balance is]],1)&lt;&gt;"$",0,VALUE(LEFT(RBC_Personal_Accounts[[#This Row],[If Balance is]],FIND(" ",RBC_Personal_Accounts[[#This Row],[If Balance is]]))))</f>
        <v>60000</v>
      </c>
      <c r="H73">
        <v>97</v>
      </c>
    </row>
    <row r="74" spans="1:9" x14ac:dyDescent="0.25">
      <c r="A74" t="s">
        <v>303</v>
      </c>
      <c r="B74" s="41" t="s">
        <v>485</v>
      </c>
      <c r="C74" s="41" t="s">
        <v>461</v>
      </c>
      <c r="E74" s="41">
        <f>IF(LEFT(RBC_Personal_Accounts[[#This Row],[If Balance is]],1)&lt;&gt;"$",0,VALUE(LEFT(RBC_Personal_Accounts[[#This Row],[If Balance is]],FIND(" ",RBC_Personal_Accounts[[#This Row],[If Balance is]]))))</f>
        <v>0</v>
      </c>
      <c r="H74">
        <v>96</v>
      </c>
      <c r="I74" t="s">
        <v>304</v>
      </c>
    </row>
    <row r="75" spans="1:9" x14ac:dyDescent="0.25">
      <c r="B75" s="41" t="s">
        <v>486</v>
      </c>
      <c r="C75" s="41" t="s">
        <v>461</v>
      </c>
      <c r="E75" s="41">
        <f>IF(LEFT(RBC_Personal_Accounts[[#This Row],[If Balance is]],1)&lt;&gt;"$",0,VALUE(LEFT(RBC_Personal_Accounts[[#This Row],[If Balance is]],FIND(" ",RBC_Personal_Accounts[[#This Row],[If Balance is]]))))</f>
        <v>500</v>
      </c>
      <c r="H75">
        <v>95</v>
      </c>
    </row>
    <row r="76" spans="1:9" x14ac:dyDescent="0.25">
      <c r="B76" s="41" t="s">
        <v>458</v>
      </c>
      <c r="C76" s="41" t="s">
        <v>461</v>
      </c>
      <c r="E76" s="41">
        <f>IF(LEFT(RBC_Personal_Accounts[[#This Row],[If Balance is]],1)&lt;&gt;"$",0,VALUE(LEFT(RBC_Personal_Accounts[[#This Row],[If Balance is]],FIND(" ",RBC_Personal_Accounts[[#This Row],[If Balance is]]))))</f>
        <v>1000</v>
      </c>
      <c r="H76">
        <v>94</v>
      </c>
    </row>
    <row r="77" spans="1:9" x14ac:dyDescent="0.25">
      <c r="B77" s="41" t="s">
        <v>459</v>
      </c>
      <c r="C77" s="41" t="s">
        <v>463</v>
      </c>
      <c r="E77" s="41">
        <f>IF(LEFT(RBC_Personal_Accounts[[#This Row],[If Balance is]],1)&lt;&gt;"$",0,VALUE(LEFT(RBC_Personal_Accounts[[#This Row],[If Balance is]],FIND(" ",RBC_Personal_Accounts[[#This Row],[If Balance is]]))))</f>
        <v>3000</v>
      </c>
      <c r="H77">
        <v>93</v>
      </c>
    </row>
    <row r="78" spans="1:9" x14ac:dyDescent="0.25">
      <c r="B78" s="41" t="s">
        <v>61</v>
      </c>
      <c r="C78" s="41" t="s">
        <v>463</v>
      </c>
      <c r="E78" s="41">
        <f>IF(LEFT(RBC_Personal_Accounts[[#This Row],[If Balance is]],1)&lt;&gt;"$",0,VALUE(LEFT(RBC_Personal_Accounts[[#This Row],[If Balance is]],FIND(" ",RBC_Personal_Accounts[[#This Row],[If Balance is]]))))</f>
        <v>5000</v>
      </c>
      <c r="H78">
        <v>92</v>
      </c>
    </row>
    <row r="79" spans="1:9" x14ac:dyDescent="0.25">
      <c r="A79" t="s">
        <v>302</v>
      </c>
      <c r="B79" s="41" t="s">
        <v>456</v>
      </c>
      <c r="C79" s="41" t="s">
        <v>464</v>
      </c>
      <c r="E79" s="41">
        <f>IF(LEFT(RBC_Personal_Accounts[[#This Row],[If Balance is]],1)&lt;&gt;"$",0,VALUE(LEFT(RBC_Personal_Accounts[[#This Row],[If Balance is]],FIND(" ",RBC_Personal_Accounts[[#This Row],[If Balance is]]))))</f>
        <v>0</v>
      </c>
      <c r="H79">
        <v>91</v>
      </c>
      <c r="I79" t="s">
        <v>303</v>
      </c>
    </row>
    <row r="80" spans="1:9" x14ac:dyDescent="0.25">
      <c r="B80" s="41" t="s">
        <v>458</v>
      </c>
      <c r="C80" s="41" t="s">
        <v>465</v>
      </c>
      <c r="E80" s="41">
        <f>IF(LEFT(RBC_Personal_Accounts[[#This Row],[If Balance is]],1)&lt;&gt;"$",0,VALUE(LEFT(RBC_Personal_Accounts[[#This Row],[If Balance is]],FIND(" ",RBC_Personal_Accounts[[#This Row],[If Balance is]]))))</f>
        <v>1000</v>
      </c>
      <c r="H80">
        <v>90</v>
      </c>
    </row>
    <row r="81" spans="1:9" x14ac:dyDescent="0.25">
      <c r="B81" s="41" t="s">
        <v>459</v>
      </c>
      <c r="C81" s="41" t="s">
        <v>466</v>
      </c>
      <c r="E81" s="41">
        <f>IF(LEFT(RBC_Personal_Accounts[[#This Row],[If Balance is]],1)&lt;&gt;"$",0,VALUE(LEFT(RBC_Personal_Accounts[[#This Row],[If Balance is]],FIND(" ",RBC_Personal_Accounts[[#This Row],[If Balance is]]))))</f>
        <v>3000</v>
      </c>
      <c r="H81">
        <v>89</v>
      </c>
    </row>
    <row r="82" spans="1:9" x14ac:dyDescent="0.25">
      <c r="B82" s="41" t="s">
        <v>61</v>
      </c>
      <c r="C82" s="41" t="s">
        <v>466</v>
      </c>
      <c r="E82" s="41">
        <f>IF(LEFT(RBC_Personal_Accounts[[#This Row],[If Balance is]],1)&lt;&gt;"$",0,VALUE(LEFT(RBC_Personal_Accounts[[#This Row],[If Balance is]],FIND(" ",RBC_Personal_Accounts[[#This Row],[If Balance is]]))))</f>
        <v>5000</v>
      </c>
      <c r="H82">
        <v>88</v>
      </c>
    </row>
    <row r="83" spans="1:9" x14ac:dyDescent="0.25">
      <c r="A83" t="s">
        <v>301</v>
      </c>
      <c r="B83" s="41" t="s">
        <v>467</v>
      </c>
      <c r="C83" s="41" t="s">
        <v>457</v>
      </c>
      <c r="E83" s="41">
        <f>IF(LEFT(RBC_Personal_Accounts[[#This Row],[If Balance is]],1)&lt;&gt;"$",0,VALUE(LEFT(RBC_Personal_Accounts[[#This Row],[If Balance is]],FIND(" ",RBC_Personal_Accounts[[#This Row],[If Balance is]]))))</f>
        <v>0</v>
      </c>
      <c r="H83">
        <v>87</v>
      </c>
      <c r="I83" t="s">
        <v>302</v>
      </c>
    </row>
    <row r="84" spans="1:9" x14ac:dyDescent="0.25">
      <c r="B84" s="41" t="s">
        <v>468</v>
      </c>
      <c r="C84" s="41" t="s">
        <v>461</v>
      </c>
      <c r="E84" s="41">
        <f>IF(LEFT(RBC_Personal_Accounts[[#This Row],[If Balance is]],1)&lt;&gt;"$",0,VALUE(LEFT(RBC_Personal_Accounts[[#This Row],[If Balance is]],FIND(" ",RBC_Personal_Accounts[[#This Row],[If Balance is]]))))</f>
        <v>5000</v>
      </c>
      <c r="H84">
        <v>86</v>
      </c>
    </row>
    <row r="85" spans="1:9" x14ac:dyDescent="0.25">
      <c r="B85" s="41" t="s">
        <v>60</v>
      </c>
      <c r="C85" s="41" t="s">
        <v>464</v>
      </c>
      <c r="E85" s="41">
        <f>IF(LEFT(RBC_Personal_Accounts[[#This Row],[If Balance is]],1)&lt;&gt;"$",0,VALUE(LEFT(RBC_Personal_Accounts[[#This Row],[If Balance is]],FIND(" ",RBC_Personal_Accounts[[#This Row],[If Balance is]]))))</f>
        <v>10000</v>
      </c>
      <c r="H85">
        <v>85</v>
      </c>
    </row>
    <row r="86" spans="1:9" x14ac:dyDescent="0.25">
      <c r="B86" s="41" t="s">
        <v>59</v>
      </c>
      <c r="C86" s="41" t="s">
        <v>465</v>
      </c>
      <c r="E86" s="41">
        <f>IF(LEFT(RBC_Personal_Accounts[[#This Row],[If Balance is]],1)&lt;&gt;"$",0,VALUE(LEFT(RBC_Personal_Accounts[[#This Row],[If Balance is]],FIND(" ",RBC_Personal_Accounts[[#This Row],[If Balance is]]))))</f>
        <v>25000</v>
      </c>
      <c r="H86">
        <v>84</v>
      </c>
    </row>
    <row r="87" spans="1:9" x14ac:dyDescent="0.25">
      <c r="B87" s="41" t="s">
        <v>58</v>
      </c>
      <c r="C87" s="41" t="s">
        <v>469</v>
      </c>
      <c r="E87" s="41">
        <f>IF(LEFT(RBC_Personal_Accounts[[#This Row],[If Balance is]],1)&lt;&gt;"$",0,VALUE(LEFT(RBC_Personal_Accounts[[#This Row],[If Balance is]],FIND(" ",RBC_Personal_Accounts[[#This Row],[If Balance is]]))))</f>
        <v>60000</v>
      </c>
      <c r="H87">
        <v>83</v>
      </c>
    </row>
    <row r="88" spans="1:9" x14ac:dyDescent="0.25">
      <c r="B88" s="41" t="s">
        <v>470</v>
      </c>
      <c r="C88" s="41" t="s">
        <v>471</v>
      </c>
      <c r="E88" s="41">
        <f>IF(LEFT(RBC_Personal_Accounts[[#This Row],[If Balance is]],1)&lt;&gt;"$",0,VALUE(LEFT(RBC_Personal_Accounts[[#This Row],[If Balance is]],FIND(" ",RBC_Personal_Accounts[[#This Row],[If Balance is]]))))</f>
        <v>100000</v>
      </c>
      <c r="H88">
        <v>82</v>
      </c>
    </row>
    <row r="89" spans="1:9" x14ac:dyDescent="0.25">
      <c r="B89" s="41" t="s">
        <v>472</v>
      </c>
      <c r="C89" s="41" t="s">
        <v>473</v>
      </c>
      <c r="E89" s="41">
        <f>IF(LEFT(RBC_Personal_Accounts[[#This Row],[If Balance is]],1)&lt;&gt;"$",0,VALUE(LEFT(RBC_Personal_Accounts[[#This Row],[If Balance is]],FIND(" ",RBC_Personal_Accounts[[#This Row],[If Balance is]]))))</f>
        <v>150000</v>
      </c>
      <c r="H89">
        <v>81</v>
      </c>
    </row>
    <row r="90" spans="1:9" x14ac:dyDescent="0.25">
      <c r="B90" s="41" t="s">
        <v>474</v>
      </c>
      <c r="C90" s="41" t="s">
        <v>473</v>
      </c>
      <c r="E90" s="41">
        <f>IF(LEFT(RBC_Personal_Accounts[[#This Row],[If Balance is]],1)&lt;&gt;"$",0,VALUE(LEFT(RBC_Personal_Accounts[[#This Row],[If Balance is]],FIND(" ",RBC_Personal_Accounts[[#This Row],[If Balance is]]))))</f>
        <v>250000</v>
      </c>
      <c r="H90">
        <v>80</v>
      </c>
    </row>
    <row r="91" spans="1:9" x14ac:dyDescent="0.25">
      <c r="A91" t="s">
        <v>300</v>
      </c>
      <c r="B91" s="41" t="s">
        <v>487</v>
      </c>
      <c r="C91" s="41" t="s">
        <v>457</v>
      </c>
      <c r="E91" s="41">
        <f>IF(LEFT(RBC_Personal_Accounts[[#This Row],[If Balance is]],1)&lt;&gt;"$",0,VALUE(LEFT(RBC_Personal_Accounts[[#This Row],[If Balance is]],FIND(" ",RBC_Personal_Accounts[[#This Row],[If Balance is]]))))</f>
        <v>0</v>
      </c>
      <c r="H91">
        <v>79</v>
      </c>
      <c r="I91" t="s">
        <v>301</v>
      </c>
    </row>
    <row r="92" spans="1:9" x14ac:dyDescent="0.25">
      <c r="B92" s="41" t="s">
        <v>459</v>
      </c>
      <c r="C92" s="41" t="s">
        <v>457</v>
      </c>
      <c r="E92" s="41">
        <f>IF(LEFT(RBC_Personal_Accounts[[#This Row],[If Balance is]],1)&lt;&gt;"$",0,VALUE(LEFT(RBC_Personal_Accounts[[#This Row],[If Balance is]],FIND(" ",RBC_Personal_Accounts[[#This Row],[If Balance is]]))))</f>
        <v>3000</v>
      </c>
      <c r="H92">
        <v>78</v>
      </c>
    </row>
    <row r="93" spans="1:9" x14ac:dyDescent="0.25">
      <c r="B93" s="41" t="s">
        <v>468</v>
      </c>
      <c r="C93" s="41" t="s">
        <v>461</v>
      </c>
      <c r="E93" s="41">
        <f>IF(LEFT(RBC_Personal_Accounts[[#This Row],[If Balance is]],1)&lt;&gt;"$",0,VALUE(LEFT(RBC_Personal_Accounts[[#This Row],[If Balance is]],FIND(" ",RBC_Personal_Accounts[[#This Row],[If Balance is]]))))</f>
        <v>5000</v>
      </c>
      <c r="H93">
        <v>77</v>
      </c>
    </row>
    <row r="94" spans="1:9" x14ac:dyDescent="0.25">
      <c r="B94" s="41" t="s">
        <v>60</v>
      </c>
      <c r="C94" s="41" t="s">
        <v>464</v>
      </c>
      <c r="E94" s="41">
        <f>IF(LEFT(RBC_Personal_Accounts[[#This Row],[If Balance is]],1)&lt;&gt;"$",0,VALUE(LEFT(RBC_Personal_Accounts[[#This Row],[If Balance is]],FIND(" ",RBC_Personal_Accounts[[#This Row],[If Balance is]]))))</f>
        <v>10000</v>
      </c>
      <c r="H94">
        <v>76</v>
      </c>
    </row>
    <row r="95" spans="1:9" x14ac:dyDescent="0.25">
      <c r="B95" s="41" t="s">
        <v>59</v>
      </c>
      <c r="C95" s="41" t="s">
        <v>465</v>
      </c>
      <c r="E95" s="41">
        <f>IF(LEFT(RBC_Personal_Accounts[[#This Row],[If Balance is]],1)&lt;&gt;"$",0,VALUE(LEFT(RBC_Personal_Accounts[[#This Row],[If Balance is]],FIND(" ",RBC_Personal_Accounts[[#This Row],[If Balance is]]))))</f>
        <v>25000</v>
      </c>
      <c r="H95">
        <v>75</v>
      </c>
    </row>
    <row r="96" spans="1:9" x14ac:dyDescent="0.25">
      <c r="B96" s="41" t="s">
        <v>58</v>
      </c>
      <c r="C96" s="41" t="s">
        <v>471</v>
      </c>
      <c r="E96" s="41">
        <f>IF(LEFT(RBC_Personal_Accounts[[#This Row],[If Balance is]],1)&lt;&gt;"$",0,VALUE(LEFT(RBC_Personal_Accounts[[#This Row],[If Balance is]],FIND(" ",RBC_Personal_Accounts[[#This Row],[If Balance is]]))))</f>
        <v>60000</v>
      </c>
      <c r="H96">
        <v>74</v>
      </c>
    </row>
    <row r="97" spans="1:9" x14ac:dyDescent="0.25">
      <c r="B97" s="41" t="s">
        <v>245</v>
      </c>
      <c r="C97" s="41" t="s">
        <v>488</v>
      </c>
      <c r="E97" s="41">
        <f>IF(LEFT(RBC_Personal_Accounts[[#This Row],[If Balance is]],1)&lt;&gt;"$",0,VALUE(LEFT(RBC_Personal_Accounts[[#This Row],[If Balance is]],FIND(" ",RBC_Personal_Accounts[[#This Row],[If Balance is]]))))</f>
        <v>100000</v>
      </c>
      <c r="H97">
        <v>73</v>
      </c>
    </row>
    <row r="98" spans="1:9" x14ac:dyDescent="0.25">
      <c r="A98" t="s">
        <v>299</v>
      </c>
      <c r="B98" s="41" t="s">
        <v>456</v>
      </c>
      <c r="C98" s="41" t="s">
        <v>457</v>
      </c>
      <c r="E98" s="41">
        <f>IF(LEFT(RBC_Personal_Accounts[[#This Row],[If Balance is]],1)&lt;&gt;"$",0,VALUE(LEFT(RBC_Personal_Accounts[[#This Row],[If Balance is]],FIND(" ",RBC_Personal_Accounts[[#This Row],[If Balance is]]))))</f>
        <v>0</v>
      </c>
      <c r="H98">
        <v>72</v>
      </c>
      <c r="I98" t="s">
        <v>300</v>
      </c>
    </row>
    <row r="99" spans="1:9" x14ac:dyDescent="0.25">
      <c r="B99" s="41" t="s">
        <v>458</v>
      </c>
      <c r="C99" s="41" t="s">
        <v>457</v>
      </c>
      <c r="E99" s="41">
        <f>IF(LEFT(RBC_Personal_Accounts[[#This Row],[If Balance is]],1)&lt;&gt;"$",0,VALUE(LEFT(RBC_Personal_Accounts[[#This Row],[If Balance is]],FIND(" ",RBC_Personal_Accounts[[#This Row],[If Balance is]]))))</f>
        <v>1000</v>
      </c>
      <c r="H99">
        <v>71</v>
      </c>
    </row>
    <row r="100" spans="1:9" x14ac:dyDescent="0.25">
      <c r="B100" s="41" t="s">
        <v>459</v>
      </c>
      <c r="C100" s="41" t="s">
        <v>457</v>
      </c>
      <c r="E100" s="41">
        <f>IF(LEFT(RBC_Personal_Accounts[[#This Row],[If Balance is]],1)&lt;&gt;"$",0,VALUE(LEFT(RBC_Personal_Accounts[[#This Row],[If Balance is]],FIND(" ",RBC_Personal_Accounts[[#This Row],[If Balance is]]))))</f>
        <v>3000</v>
      </c>
      <c r="H100">
        <v>70</v>
      </c>
    </row>
    <row r="101" spans="1:9" x14ac:dyDescent="0.25">
      <c r="B101" s="41" t="s">
        <v>460</v>
      </c>
      <c r="C101" s="41" t="s">
        <v>461</v>
      </c>
      <c r="E101" s="41">
        <f>IF(LEFT(RBC_Personal_Accounts[[#This Row],[If Balance is]],1)&lt;&gt;"$",0,VALUE(LEFT(RBC_Personal_Accounts[[#This Row],[If Balance is]],FIND(" ",RBC_Personal_Accounts[[#This Row],[If Balance is]]))))</f>
        <v>5000</v>
      </c>
      <c r="H101">
        <v>69</v>
      </c>
    </row>
    <row r="102" spans="1:9" x14ac:dyDescent="0.25">
      <c r="B102" s="41" t="s">
        <v>59</v>
      </c>
      <c r="C102" s="41" t="s">
        <v>461</v>
      </c>
      <c r="E102" s="41">
        <f>IF(LEFT(RBC_Personal_Accounts[[#This Row],[If Balance is]],1)&lt;&gt;"$",0,VALUE(LEFT(RBC_Personal_Accounts[[#This Row],[If Balance is]],FIND(" ",RBC_Personal_Accounts[[#This Row],[If Balance is]]))))</f>
        <v>25000</v>
      </c>
      <c r="H102">
        <v>68</v>
      </c>
    </row>
    <row r="103" spans="1:9" x14ac:dyDescent="0.25">
      <c r="B103" s="41" t="s">
        <v>462</v>
      </c>
      <c r="C103" s="41" t="s">
        <v>463</v>
      </c>
      <c r="E103" s="41">
        <f>IF(LEFT(RBC_Personal_Accounts[[#This Row],[If Balance is]],1)&lt;&gt;"$",0,VALUE(LEFT(RBC_Personal_Accounts[[#This Row],[If Balance is]],FIND(" ",RBC_Personal_Accounts[[#This Row],[If Balance is]]))))</f>
        <v>60000</v>
      </c>
      <c r="H103">
        <v>67</v>
      </c>
    </row>
    <row r="104" spans="1:9" x14ac:dyDescent="0.25">
      <c r="A104" t="s">
        <v>298</v>
      </c>
      <c r="B104" s="41" t="s">
        <v>467</v>
      </c>
      <c r="C104" s="41" t="s">
        <v>457</v>
      </c>
      <c r="E104" s="41">
        <f>IF(LEFT(RBC_Personal_Accounts[[#This Row],[If Balance is]],1)&lt;&gt;"$",0,VALUE(LEFT(RBC_Personal_Accounts[[#This Row],[If Balance is]],FIND(" ",RBC_Personal_Accounts[[#This Row],[If Balance is]]))))</f>
        <v>0</v>
      </c>
      <c r="H104">
        <v>66</v>
      </c>
      <c r="I104" t="s">
        <v>299</v>
      </c>
    </row>
    <row r="105" spans="1:9" x14ac:dyDescent="0.25">
      <c r="B105" s="41" t="s">
        <v>468</v>
      </c>
      <c r="C105" s="41" t="s">
        <v>461</v>
      </c>
      <c r="E105" s="41">
        <f>IF(LEFT(RBC_Personal_Accounts[[#This Row],[If Balance is]],1)&lt;&gt;"$",0,VALUE(LEFT(RBC_Personal_Accounts[[#This Row],[If Balance is]],FIND(" ",RBC_Personal_Accounts[[#This Row],[If Balance is]]))))</f>
        <v>5000</v>
      </c>
      <c r="H105">
        <v>65</v>
      </c>
    </row>
    <row r="106" spans="1:9" x14ac:dyDescent="0.25">
      <c r="B106" s="41" t="s">
        <v>60</v>
      </c>
      <c r="C106" s="41" t="s">
        <v>464</v>
      </c>
      <c r="E106" s="41">
        <f>IF(LEFT(RBC_Personal_Accounts[[#This Row],[If Balance is]],1)&lt;&gt;"$",0,VALUE(LEFT(RBC_Personal_Accounts[[#This Row],[If Balance is]],FIND(" ",RBC_Personal_Accounts[[#This Row],[If Balance is]]))))</f>
        <v>10000</v>
      </c>
      <c r="H106">
        <v>64</v>
      </c>
    </row>
    <row r="107" spans="1:9" x14ac:dyDescent="0.25">
      <c r="B107" s="41" t="s">
        <v>59</v>
      </c>
      <c r="C107" s="41" t="s">
        <v>465</v>
      </c>
      <c r="E107" s="41">
        <f>IF(LEFT(RBC_Personal_Accounts[[#This Row],[If Balance is]],1)&lt;&gt;"$",0,VALUE(LEFT(RBC_Personal_Accounts[[#This Row],[If Balance is]],FIND(" ",RBC_Personal_Accounts[[#This Row],[If Balance is]]))))</f>
        <v>25000</v>
      </c>
      <c r="H107">
        <v>63</v>
      </c>
    </row>
    <row r="108" spans="1:9" x14ac:dyDescent="0.25">
      <c r="B108" s="41" t="s">
        <v>58</v>
      </c>
      <c r="C108" s="41" t="s">
        <v>469</v>
      </c>
      <c r="E108" s="41">
        <f>IF(LEFT(RBC_Personal_Accounts[[#This Row],[If Balance is]],1)&lt;&gt;"$",0,VALUE(LEFT(RBC_Personal_Accounts[[#This Row],[If Balance is]],FIND(" ",RBC_Personal_Accounts[[#This Row],[If Balance is]]))))</f>
        <v>60000</v>
      </c>
      <c r="H108">
        <v>62</v>
      </c>
    </row>
    <row r="109" spans="1:9" x14ac:dyDescent="0.25">
      <c r="B109" s="41" t="s">
        <v>470</v>
      </c>
      <c r="C109" s="41" t="s">
        <v>471</v>
      </c>
      <c r="E109" s="41">
        <f>IF(LEFT(RBC_Personal_Accounts[[#This Row],[If Balance is]],1)&lt;&gt;"$",0,VALUE(LEFT(RBC_Personal_Accounts[[#This Row],[If Balance is]],FIND(" ",RBC_Personal_Accounts[[#This Row],[If Balance is]]))))</f>
        <v>100000</v>
      </c>
      <c r="H109">
        <v>61</v>
      </c>
    </row>
    <row r="110" spans="1:9" x14ac:dyDescent="0.25">
      <c r="B110" s="41" t="s">
        <v>472</v>
      </c>
      <c r="C110" s="41" t="s">
        <v>473</v>
      </c>
      <c r="E110" s="41">
        <f>IF(LEFT(RBC_Personal_Accounts[[#This Row],[If Balance is]],1)&lt;&gt;"$",0,VALUE(LEFT(RBC_Personal_Accounts[[#This Row],[If Balance is]],FIND(" ",RBC_Personal_Accounts[[#This Row],[If Balance is]]))))</f>
        <v>150000</v>
      </c>
      <c r="H110">
        <v>60</v>
      </c>
    </row>
    <row r="111" spans="1:9" x14ac:dyDescent="0.25">
      <c r="B111" s="41" t="s">
        <v>474</v>
      </c>
      <c r="C111" s="41" t="s">
        <v>473</v>
      </c>
      <c r="E111" s="41">
        <f>IF(LEFT(RBC_Personal_Accounts[[#This Row],[If Balance is]],1)&lt;&gt;"$",0,VALUE(LEFT(RBC_Personal_Accounts[[#This Row],[If Balance is]],FIND(" ",RBC_Personal_Accounts[[#This Row],[If Balance is]]))))</f>
        <v>250000</v>
      </c>
      <c r="H111">
        <v>59</v>
      </c>
    </row>
    <row r="112" spans="1:9" x14ac:dyDescent="0.25">
      <c r="A112" t="s">
        <v>297</v>
      </c>
      <c r="B112" s="41" t="s">
        <v>456</v>
      </c>
      <c r="C112" s="41" t="s">
        <v>464</v>
      </c>
      <c r="E112" s="41">
        <f>IF(LEFT(RBC_Personal_Accounts[[#This Row],[If Balance is]],1)&lt;&gt;"$",0,VALUE(LEFT(RBC_Personal_Accounts[[#This Row],[If Balance is]],FIND(" ",RBC_Personal_Accounts[[#This Row],[If Balance is]]))))</f>
        <v>0</v>
      </c>
      <c r="H112">
        <v>58</v>
      </c>
      <c r="I112" t="s">
        <v>298</v>
      </c>
    </row>
    <row r="113" spans="1:9" x14ac:dyDescent="0.25">
      <c r="B113" s="41" t="s">
        <v>458</v>
      </c>
      <c r="C113" s="41" t="s">
        <v>465</v>
      </c>
      <c r="E113" s="41">
        <f>IF(LEFT(RBC_Personal_Accounts[[#This Row],[If Balance is]],1)&lt;&gt;"$",0,VALUE(LEFT(RBC_Personal_Accounts[[#This Row],[If Balance is]],FIND(" ",RBC_Personal_Accounts[[#This Row],[If Balance is]]))))</f>
        <v>1000</v>
      </c>
      <c r="H113">
        <v>57</v>
      </c>
    </row>
    <row r="114" spans="1:9" x14ac:dyDescent="0.25">
      <c r="B114" s="41" t="s">
        <v>459</v>
      </c>
      <c r="C114" s="41" t="s">
        <v>466</v>
      </c>
      <c r="E114" s="41">
        <f>IF(LEFT(RBC_Personal_Accounts[[#This Row],[If Balance is]],1)&lt;&gt;"$",0,VALUE(LEFT(RBC_Personal_Accounts[[#This Row],[If Balance is]],FIND(" ",RBC_Personal_Accounts[[#This Row],[If Balance is]]))))</f>
        <v>3000</v>
      </c>
      <c r="H114">
        <v>56</v>
      </c>
    </row>
    <row r="115" spans="1:9" x14ac:dyDescent="0.25">
      <c r="B115" s="41" t="s">
        <v>61</v>
      </c>
      <c r="C115" s="41" t="s">
        <v>466</v>
      </c>
      <c r="E115" s="41">
        <f>IF(LEFT(RBC_Personal_Accounts[[#This Row],[If Balance is]],1)&lt;&gt;"$",0,VALUE(LEFT(RBC_Personal_Accounts[[#This Row],[If Balance is]],FIND(" ",RBC_Personal_Accounts[[#This Row],[If Balance is]]))))</f>
        <v>5000</v>
      </c>
      <c r="H115">
        <v>55</v>
      </c>
    </row>
    <row r="116" spans="1:9" x14ac:dyDescent="0.25">
      <c r="A116" t="s">
        <v>296</v>
      </c>
      <c r="B116" s="41" t="s">
        <v>485</v>
      </c>
      <c r="C116" s="41" t="s">
        <v>457</v>
      </c>
      <c r="E116" s="41">
        <f>IF(LEFT(RBC_Personal_Accounts[[#This Row],[If Balance is]],1)&lt;&gt;"$",0,VALUE(LEFT(RBC_Personal_Accounts[[#This Row],[If Balance is]],FIND(" ",RBC_Personal_Accounts[[#This Row],[If Balance is]]))))</f>
        <v>0</v>
      </c>
      <c r="H116">
        <v>54</v>
      </c>
      <c r="I116" t="s">
        <v>297</v>
      </c>
    </row>
    <row r="117" spans="1:9" x14ac:dyDescent="0.25">
      <c r="B117" s="41" t="s">
        <v>486</v>
      </c>
      <c r="C117" s="41" t="s">
        <v>457</v>
      </c>
      <c r="E117" s="41">
        <f>IF(LEFT(RBC_Personal_Accounts[[#This Row],[If Balance is]],1)&lt;&gt;"$",0,VALUE(LEFT(RBC_Personal_Accounts[[#This Row],[If Balance is]],FIND(" ",RBC_Personal_Accounts[[#This Row],[If Balance is]]))))</f>
        <v>500</v>
      </c>
      <c r="H117">
        <v>53</v>
      </c>
    </row>
    <row r="118" spans="1:9" x14ac:dyDescent="0.25">
      <c r="B118" s="41" t="s">
        <v>458</v>
      </c>
      <c r="C118" s="41" t="s">
        <v>457</v>
      </c>
      <c r="E118" s="41">
        <f>IF(LEFT(RBC_Personal_Accounts[[#This Row],[If Balance is]],1)&lt;&gt;"$",0,VALUE(LEFT(RBC_Personal_Accounts[[#This Row],[If Balance is]],FIND(" ",RBC_Personal_Accounts[[#This Row],[If Balance is]]))))</f>
        <v>1000</v>
      </c>
      <c r="H118">
        <v>52</v>
      </c>
    </row>
    <row r="119" spans="1:9" x14ac:dyDescent="0.25">
      <c r="B119" s="41" t="s">
        <v>459</v>
      </c>
      <c r="C119" s="41" t="s">
        <v>461</v>
      </c>
      <c r="E119" s="41">
        <f>IF(LEFT(RBC_Personal_Accounts[[#This Row],[If Balance is]],1)&lt;&gt;"$",0,VALUE(LEFT(RBC_Personal_Accounts[[#This Row],[If Balance is]],FIND(" ",RBC_Personal_Accounts[[#This Row],[If Balance is]]))))</f>
        <v>3000</v>
      </c>
      <c r="H119">
        <v>51</v>
      </c>
    </row>
    <row r="120" spans="1:9" x14ac:dyDescent="0.25">
      <c r="B120" s="41" t="s">
        <v>61</v>
      </c>
      <c r="C120" s="41" t="s">
        <v>461</v>
      </c>
      <c r="E120" s="41">
        <f>IF(LEFT(RBC_Personal_Accounts[[#This Row],[If Balance is]],1)&lt;&gt;"$",0,VALUE(LEFT(RBC_Personal_Accounts[[#This Row],[If Balance is]],FIND(" ",RBC_Personal_Accounts[[#This Row],[If Balance is]]))))</f>
        <v>5000</v>
      </c>
      <c r="H120">
        <v>50</v>
      </c>
    </row>
    <row r="121" spans="1:9" x14ac:dyDescent="0.25">
      <c r="A121" t="s">
        <v>295</v>
      </c>
      <c r="B121" s="41" t="s">
        <v>475</v>
      </c>
      <c r="C121" s="41" t="s">
        <v>457</v>
      </c>
      <c r="E121" s="41">
        <f>IF(LEFT(RBC_Personal_Accounts[[#This Row],[If Balance is]],1)&lt;&gt;"$",0,VALUE(LEFT(RBC_Personal_Accounts[[#This Row],[If Balance is]],FIND(" ",RBC_Personal_Accounts[[#This Row],[If Balance is]]))))</f>
        <v>0</v>
      </c>
      <c r="H121">
        <v>49</v>
      </c>
      <c r="I121" t="s">
        <v>296</v>
      </c>
    </row>
    <row r="122" spans="1:9" x14ac:dyDescent="0.25">
      <c r="B122" s="41" t="s">
        <v>476</v>
      </c>
      <c r="C122" s="41" t="s">
        <v>457</v>
      </c>
      <c r="E122" s="41">
        <f>IF(LEFT(RBC_Personal_Accounts[[#This Row],[If Balance is]],1)&lt;&gt;"$",0,VALUE(LEFT(RBC_Personal_Accounts[[#This Row],[If Balance is]],FIND(" ",RBC_Personal_Accounts[[#This Row],[If Balance is]]))))</f>
        <v>1000</v>
      </c>
      <c r="H122">
        <v>48</v>
      </c>
    </row>
    <row r="123" spans="1:9" x14ac:dyDescent="0.25">
      <c r="B123" s="41" t="s">
        <v>477</v>
      </c>
      <c r="C123" s="41" t="s">
        <v>457</v>
      </c>
      <c r="E123" s="41">
        <f>IF(LEFT(RBC_Personal_Accounts[[#This Row],[If Balance is]],1)&lt;&gt;"$",0,VALUE(LEFT(RBC_Personal_Accounts[[#This Row],[If Balance is]],FIND(" ",RBC_Personal_Accounts[[#This Row],[If Balance is]]))))</f>
        <v>3000</v>
      </c>
      <c r="H123">
        <v>47</v>
      </c>
    </row>
    <row r="124" spans="1:9" x14ac:dyDescent="0.25">
      <c r="B124" s="41" t="s">
        <v>478</v>
      </c>
      <c r="C124" s="41" t="s">
        <v>461</v>
      </c>
      <c r="E124" s="41">
        <f>IF(LEFT(RBC_Personal_Accounts[[#This Row],[If Balance is]],1)&lt;&gt;"$",0,VALUE(LEFT(RBC_Personal_Accounts[[#This Row],[If Balance is]],FIND(" ",RBC_Personal_Accounts[[#This Row],[If Balance is]]))))</f>
        <v>5000</v>
      </c>
      <c r="H124">
        <v>46</v>
      </c>
    </row>
    <row r="125" spans="1:9" x14ac:dyDescent="0.25">
      <c r="B125" s="41" t="s">
        <v>479</v>
      </c>
      <c r="C125" s="41" t="s">
        <v>464</v>
      </c>
      <c r="E125" s="41">
        <f>IF(LEFT(RBC_Personal_Accounts[[#This Row],[If Balance is]],1)&lt;&gt;"$",0,VALUE(LEFT(RBC_Personal_Accounts[[#This Row],[If Balance is]],FIND(" ",RBC_Personal_Accounts[[#This Row],[If Balance is]]))))</f>
        <v>10000</v>
      </c>
      <c r="H125">
        <v>45</v>
      </c>
    </row>
    <row r="126" spans="1:9" x14ac:dyDescent="0.25">
      <c r="B126" s="41" t="s">
        <v>480</v>
      </c>
      <c r="C126" s="41" t="s">
        <v>465</v>
      </c>
      <c r="E126" s="41">
        <f>IF(LEFT(RBC_Personal_Accounts[[#This Row],[If Balance is]],1)&lt;&gt;"$",0,VALUE(LEFT(RBC_Personal_Accounts[[#This Row],[If Balance is]],FIND(" ",RBC_Personal_Accounts[[#This Row],[If Balance is]]))))</f>
        <v>25000</v>
      </c>
      <c r="H126">
        <v>44</v>
      </c>
    </row>
    <row r="127" spans="1:9" x14ac:dyDescent="0.25">
      <c r="B127" s="41" t="s">
        <v>481</v>
      </c>
      <c r="C127" s="41" t="s">
        <v>488</v>
      </c>
      <c r="E127" s="41">
        <f>IF(LEFT(RBC_Personal_Accounts[[#This Row],[If Balance is]],1)&lt;&gt;"$",0,VALUE(LEFT(RBC_Personal_Accounts[[#This Row],[If Balance is]],FIND(" ",RBC_Personal_Accounts[[#This Row],[If Balance is]]))))</f>
        <v>60000</v>
      </c>
      <c r="H127">
        <v>43</v>
      </c>
    </row>
    <row r="128" spans="1:9" x14ac:dyDescent="0.25">
      <c r="B128" s="41" t="s">
        <v>483</v>
      </c>
      <c r="C128" s="41" t="s">
        <v>488</v>
      </c>
      <c r="E128" s="41">
        <f>IF(LEFT(RBC_Personal_Accounts[[#This Row],[If Balance is]],1)&lt;&gt;"$",0,VALUE(LEFT(RBC_Personal_Accounts[[#This Row],[If Balance is]],FIND(" ",RBC_Personal_Accounts[[#This Row],[If Balance is]]))))</f>
        <v>100000</v>
      </c>
      <c r="H128">
        <v>42</v>
      </c>
    </row>
    <row r="129" spans="1:9" x14ac:dyDescent="0.25">
      <c r="B129" s="41" t="s">
        <v>484</v>
      </c>
      <c r="C129" s="41" t="s">
        <v>488</v>
      </c>
      <c r="E129" s="41">
        <f>IF(LEFT(RBC_Personal_Accounts[[#This Row],[If Balance is]],1)&lt;&gt;"$",0,VALUE(LEFT(RBC_Personal_Accounts[[#This Row],[If Balance is]],FIND(" ",RBC_Personal_Accounts[[#This Row],[If Balance is]]))))</f>
        <v>150000</v>
      </c>
      <c r="H129">
        <v>41</v>
      </c>
    </row>
    <row r="130" spans="1:9" x14ac:dyDescent="0.25">
      <c r="B130" s="41" t="s">
        <v>489</v>
      </c>
      <c r="C130" s="41" t="s">
        <v>488</v>
      </c>
      <c r="E130" s="41">
        <f>IF(LEFT(RBC_Personal_Accounts[[#This Row],[If Balance is]],1)&lt;&gt;"$",0,VALUE(LEFT(RBC_Personal_Accounts[[#This Row],[If Balance is]],FIND(" ",RBC_Personal_Accounts[[#This Row],[If Balance is]]))))</f>
        <v>250000</v>
      </c>
      <c r="H130">
        <v>40</v>
      </c>
    </row>
    <row r="131" spans="1:9" x14ac:dyDescent="0.25">
      <c r="B131" s="41" t="s">
        <v>490</v>
      </c>
      <c r="C131" s="41" t="s">
        <v>488</v>
      </c>
      <c r="E131" s="41">
        <f>IF(LEFT(RBC_Personal_Accounts[[#This Row],[If Balance is]],1)&lt;&gt;"$",0,VALUE(LEFT(RBC_Personal_Accounts[[#This Row],[If Balance is]],FIND(" ",RBC_Personal_Accounts[[#This Row],[If Balance is]]))))</f>
        <v>500000</v>
      </c>
      <c r="H131">
        <v>39</v>
      </c>
    </row>
    <row r="132" spans="1:9" x14ac:dyDescent="0.25">
      <c r="B132" s="41" t="s">
        <v>491</v>
      </c>
      <c r="C132" s="41" t="s">
        <v>488</v>
      </c>
      <c r="E132" s="41">
        <f>IF(LEFT(RBC_Personal_Accounts[[#This Row],[If Balance is]],1)&lt;&gt;"$",0,VALUE(LEFT(RBC_Personal_Accounts[[#This Row],[If Balance is]],FIND(" ",RBC_Personal_Accounts[[#This Row],[If Balance is]]))))</f>
        <v>1000000</v>
      </c>
      <c r="H132">
        <v>38</v>
      </c>
    </row>
    <row r="133" spans="1:9" x14ac:dyDescent="0.25">
      <c r="A133" t="s">
        <v>294</v>
      </c>
      <c r="B133" s="41" t="s">
        <v>492</v>
      </c>
      <c r="C133" s="41" t="s">
        <v>457</v>
      </c>
      <c r="E133" s="41">
        <f>IF(LEFT(RBC_Personal_Accounts[[#This Row],[If Balance is]],1)&lt;&gt;"$",0,VALUE(LEFT(RBC_Personal_Accounts[[#This Row],[If Balance is]],FIND(" ",RBC_Personal_Accounts[[#This Row],[If Balance is]]))))</f>
        <v>0</v>
      </c>
      <c r="H133">
        <v>37</v>
      </c>
      <c r="I133" t="s">
        <v>295</v>
      </c>
    </row>
    <row r="134" spans="1:9" x14ac:dyDescent="0.25">
      <c r="A134" t="s">
        <v>293</v>
      </c>
      <c r="B134" s="41" t="s">
        <v>492</v>
      </c>
      <c r="C134" s="41" t="s">
        <v>493</v>
      </c>
      <c r="E134" s="41">
        <f>IF(LEFT(RBC_Personal_Accounts[[#This Row],[If Balance is]],1)&lt;&gt;"$",0,VALUE(LEFT(RBC_Personal_Accounts[[#This Row],[If Balance is]],FIND(" ",RBC_Personal_Accounts[[#This Row],[If Balance is]]))))</f>
        <v>0</v>
      </c>
      <c r="H134">
        <v>36</v>
      </c>
      <c r="I134" t="s">
        <v>294</v>
      </c>
    </row>
    <row r="135" spans="1:9" x14ac:dyDescent="0.25">
      <c r="A135" t="s">
        <v>292</v>
      </c>
      <c r="B135" s="41" t="s">
        <v>492</v>
      </c>
      <c r="C135" s="41" t="s">
        <v>457</v>
      </c>
      <c r="E135" s="41">
        <f>IF(LEFT(RBC_Personal_Accounts[[#This Row],[If Balance is]],1)&lt;&gt;"$",0,VALUE(LEFT(RBC_Personal_Accounts[[#This Row],[If Balance is]],FIND(" ",RBC_Personal_Accounts[[#This Row],[If Balance is]]))))</f>
        <v>0</v>
      </c>
      <c r="H135">
        <v>35</v>
      </c>
      <c r="I135" t="s">
        <v>293</v>
      </c>
    </row>
    <row r="136" spans="1:9" x14ac:dyDescent="0.25">
      <c r="A136" t="s">
        <v>291</v>
      </c>
      <c r="B136" s="41" t="s">
        <v>467</v>
      </c>
      <c r="C136" s="41" t="s">
        <v>457</v>
      </c>
      <c r="E136" s="41">
        <f>IF(LEFT(RBC_Personal_Accounts[[#This Row],[If Balance is]],1)&lt;&gt;"$",0,VALUE(LEFT(RBC_Personal_Accounts[[#This Row],[If Balance is]],FIND(" ",RBC_Personal_Accounts[[#This Row],[If Balance is]]))))</f>
        <v>0</v>
      </c>
      <c r="H136">
        <v>34</v>
      </c>
      <c r="I136" t="s">
        <v>292</v>
      </c>
    </row>
    <row r="137" spans="1:9" x14ac:dyDescent="0.25">
      <c r="B137" s="41" t="s">
        <v>468</v>
      </c>
      <c r="C137" s="41" t="s">
        <v>461</v>
      </c>
      <c r="E137" s="41">
        <f>IF(LEFT(RBC_Personal_Accounts[[#This Row],[If Balance is]],1)&lt;&gt;"$",0,VALUE(LEFT(RBC_Personal_Accounts[[#This Row],[If Balance is]],FIND(" ",RBC_Personal_Accounts[[#This Row],[If Balance is]]))))</f>
        <v>5000</v>
      </c>
      <c r="H137">
        <v>33</v>
      </c>
    </row>
    <row r="138" spans="1:9" x14ac:dyDescent="0.25">
      <c r="B138" s="41" t="s">
        <v>60</v>
      </c>
      <c r="C138" s="41" t="s">
        <v>464</v>
      </c>
      <c r="E138" s="41">
        <f>IF(LEFT(RBC_Personal_Accounts[[#This Row],[If Balance is]],1)&lt;&gt;"$",0,VALUE(LEFT(RBC_Personal_Accounts[[#This Row],[If Balance is]],FIND(" ",RBC_Personal_Accounts[[#This Row],[If Balance is]]))))</f>
        <v>10000</v>
      </c>
      <c r="H138">
        <v>32</v>
      </c>
    </row>
    <row r="139" spans="1:9" x14ac:dyDescent="0.25">
      <c r="B139" s="41" t="s">
        <v>59</v>
      </c>
      <c r="C139" s="41" t="s">
        <v>465</v>
      </c>
      <c r="E139" s="41">
        <f>IF(LEFT(RBC_Personal_Accounts[[#This Row],[If Balance is]],1)&lt;&gt;"$",0,VALUE(LEFT(RBC_Personal_Accounts[[#This Row],[If Balance is]],FIND(" ",RBC_Personal_Accounts[[#This Row],[If Balance is]]))))</f>
        <v>25000</v>
      </c>
      <c r="H139">
        <v>31</v>
      </c>
    </row>
    <row r="140" spans="1:9" x14ac:dyDescent="0.25">
      <c r="B140" s="41" t="s">
        <v>58</v>
      </c>
      <c r="C140" s="41" t="s">
        <v>469</v>
      </c>
      <c r="E140" s="41">
        <f>IF(LEFT(RBC_Personal_Accounts[[#This Row],[If Balance is]],1)&lt;&gt;"$",0,VALUE(LEFT(RBC_Personal_Accounts[[#This Row],[If Balance is]],FIND(" ",RBC_Personal_Accounts[[#This Row],[If Balance is]]))))</f>
        <v>60000</v>
      </c>
      <c r="H140">
        <v>30</v>
      </c>
    </row>
    <row r="141" spans="1:9" x14ac:dyDescent="0.25">
      <c r="B141" s="41" t="s">
        <v>470</v>
      </c>
      <c r="C141" s="41" t="s">
        <v>471</v>
      </c>
      <c r="E141" s="41">
        <f>IF(LEFT(RBC_Personal_Accounts[[#This Row],[If Balance is]],1)&lt;&gt;"$",0,VALUE(LEFT(RBC_Personal_Accounts[[#This Row],[If Balance is]],FIND(" ",RBC_Personal_Accounts[[#This Row],[If Balance is]]))))</f>
        <v>100000</v>
      </c>
      <c r="H141">
        <v>29</v>
      </c>
    </row>
    <row r="142" spans="1:9" x14ac:dyDescent="0.25">
      <c r="B142" s="41" t="s">
        <v>472</v>
      </c>
      <c r="C142" s="41" t="s">
        <v>473</v>
      </c>
      <c r="E142" s="41">
        <f>IF(LEFT(RBC_Personal_Accounts[[#This Row],[If Balance is]],1)&lt;&gt;"$",0,VALUE(LEFT(RBC_Personal_Accounts[[#This Row],[If Balance is]],FIND(" ",RBC_Personal_Accounts[[#This Row],[If Balance is]]))))</f>
        <v>150000</v>
      </c>
      <c r="H142">
        <v>28</v>
      </c>
    </row>
    <row r="143" spans="1:9" x14ac:dyDescent="0.25">
      <c r="B143" s="41" t="s">
        <v>474</v>
      </c>
      <c r="C143" s="41" t="s">
        <v>473</v>
      </c>
      <c r="E143" s="41">
        <f>IF(LEFT(RBC_Personal_Accounts[[#This Row],[If Balance is]],1)&lt;&gt;"$",0,VALUE(LEFT(RBC_Personal_Accounts[[#This Row],[If Balance is]],FIND(" ",RBC_Personal_Accounts[[#This Row],[If Balance is]]))))</f>
        <v>250000</v>
      </c>
      <c r="H143">
        <v>27</v>
      </c>
    </row>
    <row r="144" spans="1:9" x14ac:dyDescent="0.25">
      <c r="A144" t="s">
        <v>290</v>
      </c>
      <c r="B144" s="41" t="s">
        <v>456</v>
      </c>
      <c r="C144" s="41" t="s">
        <v>464</v>
      </c>
      <c r="E144" s="41">
        <f>IF(LEFT(RBC_Personal_Accounts[[#This Row],[If Balance is]],1)&lt;&gt;"$",0,VALUE(LEFT(RBC_Personal_Accounts[[#This Row],[If Balance is]],FIND(" ",RBC_Personal_Accounts[[#This Row],[If Balance is]]))))</f>
        <v>0</v>
      </c>
      <c r="H144">
        <v>26</v>
      </c>
      <c r="I144" t="s">
        <v>291</v>
      </c>
    </row>
    <row r="145" spans="1:9" x14ac:dyDescent="0.25">
      <c r="B145" s="41" t="s">
        <v>458</v>
      </c>
      <c r="C145" s="41" t="s">
        <v>465</v>
      </c>
      <c r="E145" s="41">
        <f>IF(LEFT(RBC_Personal_Accounts[[#This Row],[If Balance is]],1)&lt;&gt;"$",0,VALUE(LEFT(RBC_Personal_Accounts[[#This Row],[If Balance is]],FIND(" ",RBC_Personal_Accounts[[#This Row],[If Balance is]]))))</f>
        <v>1000</v>
      </c>
      <c r="H145">
        <v>25</v>
      </c>
    </row>
    <row r="146" spans="1:9" x14ac:dyDescent="0.25">
      <c r="B146" s="41" t="s">
        <v>459</v>
      </c>
      <c r="C146" s="41" t="s">
        <v>466</v>
      </c>
      <c r="E146" s="41">
        <f>IF(LEFT(RBC_Personal_Accounts[[#This Row],[If Balance is]],1)&lt;&gt;"$",0,VALUE(LEFT(RBC_Personal_Accounts[[#This Row],[If Balance is]],FIND(" ",RBC_Personal_Accounts[[#This Row],[If Balance is]]))))</f>
        <v>3000</v>
      </c>
      <c r="H146">
        <v>24</v>
      </c>
    </row>
    <row r="147" spans="1:9" x14ac:dyDescent="0.25">
      <c r="B147" s="41" t="s">
        <v>61</v>
      </c>
      <c r="C147" s="41" t="s">
        <v>466</v>
      </c>
      <c r="E147" s="41">
        <f>IF(LEFT(RBC_Personal_Accounts[[#This Row],[If Balance is]],1)&lt;&gt;"$",0,VALUE(LEFT(RBC_Personal_Accounts[[#This Row],[If Balance is]],FIND(" ",RBC_Personal_Accounts[[#This Row],[If Balance is]]))))</f>
        <v>5000</v>
      </c>
      <c r="H147">
        <v>23</v>
      </c>
    </row>
    <row r="148" spans="1:9" x14ac:dyDescent="0.25">
      <c r="A148" t="s">
        <v>289</v>
      </c>
      <c r="B148" s="41" t="s">
        <v>492</v>
      </c>
      <c r="C148" s="41" t="s">
        <v>457</v>
      </c>
      <c r="E148" s="41">
        <f>IF(LEFT(RBC_Personal_Accounts[[#This Row],[If Balance is]],1)&lt;&gt;"$",0,VALUE(LEFT(RBC_Personal_Accounts[[#This Row],[If Balance is]],FIND(" ",RBC_Personal_Accounts[[#This Row],[If Balance is]]))))</f>
        <v>0</v>
      </c>
      <c r="H148">
        <v>22</v>
      </c>
      <c r="I148" t="s">
        <v>290</v>
      </c>
    </row>
    <row r="149" spans="1:9" x14ac:dyDescent="0.25">
      <c r="A149" t="s">
        <v>288</v>
      </c>
      <c r="B149" s="41" t="s">
        <v>492</v>
      </c>
      <c r="C149" s="41" t="s">
        <v>457</v>
      </c>
      <c r="E149" s="41">
        <f>IF(LEFT(RBC_Personal_Accounts[[#This Row],[If Balance is]],1)&lt;&gt;"$",0,VALUE(LEFT(RBC_Personal_Accounts[[#This Row],[If Balance is]],FIND(" ",RBC_Personal_Accounts[[#This Row],[If Balance is]]))))</f>
        <v>0</v>
      </c>
      <c r="H149">
        <v>21</v>
      </c>
      <c r="I149" t="s">
        <v>289</v>
      </c>
    </row>
    <row r="150" spans="1:9" x14ac:dyDescent="0.25">
      <c r="A150" t="s">
        <v>287</v>
      </c>
      <c r="B150" s="41" t="s">
        <v>492</v>
      </c>
      <c r="C150" s="41" t="s">
        <v>457</v>
      </c>
      <c r="E150" s="41">
        <f>IF(LEFT(RBC_Personal_Accounts[[#This Row],[If Balance is]],1)&lt;&gt;"$",0,VALUE(LEFT(RBC_Personal_Accounts[[#This Row],[If Balance is]],FIND(" ",RBC_Personal_Accounts[[#This Row],[If Balance is]]))))</f>
        <v>0</v>
      </c>
      <c r="H150">
        <v>20</v>
      </c>
      <c r="I150" t="s">
        <v>288</v>
      </c>
    </row>
    <row r="151" spans="1:9" x14ac:dyDescent="0.25">
      <c r="A151" t="s">
        <v>286</v>
      </c>
      <c r="B151" s="41" t="s">
        <v>456</v>
      </c>
      <c r="C151" s="41" t="s">
        <v>465</v>
      </c>
      <c r="E151" s="41">
        <f>IF(LEFT(RBC_Personal_Accounts[[#This Row],[If Balance is]],1)&lt;&gt;"$",0,VALUE(LEFT(RBC_Personal_Accounts[[#This Row],[If Balance is]],FIND(" ",RBC_Personal_Accounts[[#This Row],[If Balance is]]))))</f>
        <v>0</v>
      </c>
      <c r="H151">
        <v>19</v>
      </c>
      <c r="I151" t="s">
        <v>287</v>
      </c>
    </row>
    <row r="152" spans="1:9" x14ac:dyDescent="0.25">
      <c r="B152" s="41" t="s">
        <v>458</v>
      </c>
      <c r="C152" s="41" t="s">
        <v>465</v>
      </c>
      <c r="E152" s="41">
        <f>IF(LEFT(RBC_Personal_Accounts[[#This Row],[If Balance is]],1)&lt;&gt;"$",0,VALUE(LEFT(RBC_Personal_Accounts[[#This Row],[If Balance is]],FIND(" ",RBC_Personal_Accounts[[#This Row],[If Balance is]]))))</f>
        <v>1000</v>
      </c>
      <c r="H152">
        <v>18</v>
      </c>
    </row>
    <row r="153" spans="1:9" x14ac:dyDescent="0.25">
      <c r="B153" s="41" t="s">
        <v>459</v>
      </c>
      <c r="C153" s="41" t="s">
        <v>466</v>
      </c>
      <c r="E153" s="41">
        <f>IF(LEFT(RBC_Personal_Accounts[[#This Row],[If Balance is]],1)&lt;&gt;"$",0,VALUE(LEFT(RBC_Personal_Accounts[[#This Row],[If Balance is]],FIND(" ",RBC_Personal_Accounts[[#This Row],[If Balance is]]))))</f>
        <v>3000</v>
      </c>
      <c r="H153">
        <v>17</v>
      </c>
    </row>
    <row r="154" spans="1:9" x14ac:dyDescent="0.25">
      <c r="B154" s="41" t="s">
        <v>61</v>
      </c>
      <c r="C154" s="41" t="s">
        <v>466</v>
      </c>
      <c r="E154" s="41">
        <f>IF(LEFT(RBC_Personal_Accounts[[#This Row],[If Balance is]],1)&lt;&gt;"$",0,VALUE(LEFT(RBC_Personal_Accounts[[#This Row],[If Balance is]],FIND(" ",RBC_Personal_Accounts[[#This Row],[If Balance is]]))))</f>
        <v>5000</v>
      </c>
      <c r="H154">
        <v>16</v>
      </c>
    </row>
    <row r="155" spans="1:9" x14ac:dyDescent="0.25">
      <c r="A155" t="s">
        <v>285</v>
      </c>
      <c r="B155" s="41" t="s">
        <v>492</v>
      </c>
      <c r="C155" s="41" t="s">
        <v>494</v>
      </c>
      <c r="E155" s="41">
        <f>IF(LEFT(RBC_Personal_Accounts[[#This Row],[If Balance is]],1)&lt;&gt;"$",0,VALUE(LEFT(RBC_Personal_Accounts[[#This Row],[If Balance is]],FIND(" ",RBC_Personal_Accounts[[#This Row],[If Balance is]]))))</f>
        <v>0</v>
      </c>
      <c r="H155">
        <v>15</v>
      </c>
      <c r="I155" t="s">
        <v>286</v>
      </c>
    </row>
    <row r="156" spans="1:9" x14ac:dyDescent="0.25">
      <c r="A156" t="s">
        <v>284</v>
      </c>
      <c r="B156" s="41" t="s">
        <v>456</v>
      </c>
      <c r="C156" s="41" t="s">
        <v>464</v>
      </c>
      <c r="E156" s="41">
        <f>IF(LEFT(RBC_Personal_Accounts[[#This Row],[If Balance is]],1)&lt;&gt;"$",0,VALUE(LEFT(RBC_Personal_Accounts[[#This Row],[If Balance is]],FIND(" ",RBC_Personal_Accounts[[#This Row],[If Balance is]]))))</f>
        <v>0</v>
      </c>
      <c r="H156">
        <v>14</v>
      </c>
      <c r="I156" t="s">
        <v>285</v>
      </c>
    </row>
    <row r="157" spans="1:9" x14ac:dyDescent="0.25">
      <c r="B157" s="41" t="s">
        <v>458</v>
      </c>
      <c r="C157" s="41" t="s">
        <v>465</v>
      </c>
      <c r="E157" s="41">
        <f>IF(LEFT(RBC_Personal_Accounts[[#This Row],[If Balance is]],1)&lt;&gt;"$",0,VALUE(LEFT(RBC_Personal_Accounts[[#This Row],[If Balance is]],FIND(" ",RBC_Personal_Accounts[[#This Row],[If Balance is]]))))</f>
        <v>1000</v>
      </c>
      <c r="H157">
        <v>13</v>
      </c>
    </row>
    <row r="158" spans="1:9" x14ac:dyDescent="0.25">
      <c r="B158" s="41" t="s">
        <v>459</v>
      </c>
      <c r="C158" s="41" t="s">
        <v>466</v>
      </c>
      <c r="E158" s="41">
        <f>IF(LEFT(RBC_Personal_Accounts[[#This Row],[If Balance is]],1)&lt;&gt;"$",0,VALUE(LEFT(RBC_Personal_Accounts[[#This Row],[If Balance is]],FIND(" ",RBC_Personal_Accounts[[#This Row],[If Balance is]]))))</f>
        <v>3000</v>
      </c>
      <c r="H158">
        <v>12</v>
      </c>
    </row>
    <row r="159" spans="1:9" x14ac:dyDescent="0.25">
      <c r="B159" s="41" t="s">
        <v>61</v>
      </c>
      <c r="C159" s="41" t="s">
        <v>466</v>
      </c>
      <c r="E159" s="41">
        <f>IF(LEFT(RBC_Personal_Accounts[[#This Row],[If Balance is]],1)&lt;&gt;"$",0,VALUE(LEFT(RBC_Personal_Accounts[[#This Row],[If Balance is]],FIND(" ",RBC_Personal_Accounts[[#This Row],[If Balance is]]))))</f>
        <v>5000</v>
      </c>
      <c r="H159">
        <v>11</v>
      </c>
    </row>
    <row r="160" spans="1:9" x14ac:dyDescent="0.25">
      <c r="A160" t="s">
        <v>283</v>
      </c>
      <c r="B160" s="41" t="s">
        <v>467</v>
      </c>
      <c r="C160" s="41" t="s">
        <v>457</v>
      </c>
      <c r="E160" s="41">
        <f>IF(LEFT(RBC_Personal_Accounts[[#This Row],[If Balance is]],1)&lt;&gt;"$",0,VALUE(LEFT(RBC_Personal_Accounts[[#This Row],[If Balance is]],FIND(" ",RBC_Personal_Accounts[[#This Row],[If Balance is]]))))</f>
        <v>0</v>
      </c>
      <c r="H160">
        <v>10</v>
      </c>
      <c r="I160" t="s">
        <v>284</v>
      </c>
    </row>
    <row r="161" spans="1:9" x14ac:dyDescent="0.25">
      <c r="B161" s="41" t="s">
        <v>468</v>
      </c>
      <c r="C161" s="41" t="s">
        <v>461</v>
      </c>
      <c r="E161" s="41">
        <f>IF(LEFT(RBC_Personal_Accounts[[#This Row],[If Balance is]],1)&lt;&gt;"$",0,VALUE(LEFT(RBC_Personal_Accounts[[#This Row],[If Balance is]],FIND(" ",RBC_Personal_Accounts[[#This Row],[If Balance is]]))))</f>
        <v>5000</v>
      </c>
      <c r="H161">
        <v>9</v>
      </c>
    </row>
    <row r="162" spans="1:9" x14ac:dyDescent="0.25">
      <c r="B162" s="41" t="s">
        <v>60</v>
      </c>
      <c r="C162" s="41" t="s">
        <v>464</v>
      </c>
      <c r="E162" s="41">
        <f>IF(LEFT(RBC_Personal_Accounts[[#This Row],[If Balance is]],1)&lt;&gt;"$",0,VALUE(LEFT(RBC_Personal_Accounts[[#This Row],[If Balance is]],FIND(" ",RBC_Personal_Accounts[[#This Row],[If Balance is]]))))</f>
        <v>10000</v>
      </c>
      <c r="H162">
        <v>8</v>
      </c>
    </row>
    <row r="163" spans="1:9" x14ac:dyDescent="0.25">
      <c r="B163" s="41" t="s">
        <v>59</v>
      </c>
      <c r="C163" s="41" t="s">
        <v>465</v>
      </c>
      <c r="E163" s="41">
        <f>IF(LEFT(RBC_Personal_Accounts[[#This Row],[If Balance is]],1)&lt;&gt;"$",0,VALUE(LEFT(RBC_Personal_Accounts[[#This Row],[If Balance is]],FIND(" ",RBC_Personal_Accounts[[#This Row],[If Balance is]]))))</f>
        <v>25000</v>
      </c>
      <c r="H163">
        <v>7</v>
      </c>
    </row>
    <row r="164" spans="1:9" x14ac:dyDescent="0.25">
      <c r="B164" s="41" t="s">
        <v>58</v>
      </c>
      <c r="C164" s="41" t="s">
        <v>469</v>
      </c>
      <c r="E164" s="41">
        <f>IF(LEFT(RBC_Personal_Accounts[[#This Row],[If Balance is]],1)&lt;&gt;"$",0,VALUE(LEFT(RBC_Personal_Accounts[[#This Row],[If Balance is]],FIND(" ",RBC_Personal_Accounts[[#This Row],[If Balance is]]))))</f>
        <v>60000</v>
      </c>
      <c r="H164">
        <v>6</v>
      </c>
    </row>
    <row r="165" spans="1:9" x14ac:dyDescent="0.25">
      <c r="B165" s="41" t="s">
        <v>470</v>
      </c>
      <c r="C165" s="41" t="s">
        <v>471</v>
      </c>
      <c r="E165" s="41">
        <f>IF(LEFT(RBC_Personal_Accounts[[#This Row],[If Balance is]],1)&lt;&gt;"$",0,VALUE(LEFT(RBC_Personal_Accounts[[#This Row],[If Balance is]],FIND(" ",RBC_Personal_Accounts[[#This Row],[If Balance is]]))))</f>
        <v>100000</v>
      </c>
      <c r="H165">
        <v>5</v>
      </c>
    </row>
    <row r="166" spans="1:9" x14ac:dyDescent="0.25">
      <c r="B166" s="41" t="s">
        <v>472</v>
      </c>
      <c r="C166" s="41" t="s">
        <v>473</v>
      </c>
      <c r="E166" s="41">
        <f>IF(LEFT(RBC_Personal_Accounts[[#This Row],[If Balance is]],1)&lt;&gt;"$",0,VALUE(LEFT(RBC_Personal_Accounts[[#This Row],[If Balance is]],FIND(" ",RBC_Personal_Accounts[[#This Row],[If Balance is]]))))</f>
        <v>150000</v>
      </c>
      <c r="H166">
        <v>4</v>
      </c>
    </row>
    <row r="167" spans="1:9" x14ac:dyDescent="0.25">
      <c r="B167" s="41" t="s">
        <v>474</v>
      </c>
      <c r="C167" s="41" t="s">
        <v>473</v>
      </c>
      <c r="E167" s="41">
        <f>IF(LEFT(RBC_Personal_Accounts[[#This Row],[If Balance is]],1)&lt;&gt;"$",0,VALUE(LEFT(RBC_Personal_Accounts[[#This Row],[If Balance is]],FIND(" ",RBC_Personal_Accounts[[#This Row],[If Balance is]]))))</f>
        <v>250000</v>
      </c>
      <c r="H167">
        <v>3</v>
      </c>
    </row>
    <row r="168" spans="1:9" x14ac:dyDescent="0.25">
      <c r="A168" t="s">
        <v>51</v>
      </c>
      <c r="B168" s="41" t="s">
        <v>492</v>
      </c>
      <c r="C168" s="41" t="s">
        <v>495</v>
      </c>
      <c r="E168" s="41">
        <f>IF(LEFT(RBC_Personal_Accounts[[#This Row],[If Balance is]],1)&lt;&gt;"$",0,VALUE(LEFT(RBC_Personal_Accounts[[#This Row],[If Balance is]],FIND(" ",RBC_Personal_Accounts[[#This Row],[If Balance is]]))))</f>
        <v>0</v>
      </c>
      <c r="H168">
        <v>2</v>
      </c>
      <c r="I168" t="s">
        <v>283</v>
      </c>
    </row>
    <row r="169" spans="1:9" x14ac:dyDescent="0.25">
      <c r="E169" s="41"/>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B6" sqref="B6:C13"/>
    </sheetView>
  </sheetViews>
  <sheetFormatPr defaultRowHeight="15" x14ac:dyDescent="0.25"/>
  <cols>
    <col min="1" max="1" width="56.7109375" bestFit="1" customWidth="1"/>
    <col min="2" max="2" width="36.5703125" bestFit="1" customWidth="1"/>
    <col min="3" max="3" width="14.7109375" style="41" bestFit="1" customWidth="1"/>
    <col min="4" max="4" width="14.7109375" bestFit="1" customWidth="1"/>
  </cols>
  <sheetData>
    <row r="1" spans="1:4" x14ac:dyDescent="0.25">
      <c r="A1" t="s">
        <v>422</v>
      </c>
      <c r="B1" t="s">
        <v>332</v>
      </c>
      <c r="C1" t="s">
        <v>56</v>
      </c>
    </row>
    <row r="2" spans="1:4" x14ac:dyDescent="0.25">
      <c r="B2" s="18" t="s">
        <v>23</v>
      </c>
      <c r="C2" s="18">
        <v>1.2E-2</v>
      </c>
    </row>
    <row r="3" spans="1:4" x14ac:dyDescent="0.25">
      <c r="B3" s="18" t="s">
        <v>392</v>
      </c>
      <c r="C3" s="18">
        <v>0</v>
      </c>
    </row>
    <row r="4" spans="1:4" x14ac:dyDescent="0.25">
      <c r="B4" s="18" t="s">
        <v>393</v>
      </c>
      <c r="C4" s="18">
        <v>0.15</v>
      </c>
    </row>
    <row r="6" spans="1:4" x14ac:dyDescent="0.25">
      <c r="A6" t="s">
        <v>423</v>
      </c>
      <c r="B6" s="41" t="s">
        <v>332</v>
      </c>
      <c r="C6" s="41" t="s">
        <v>56</v>
      </c>
      <c r="D6" s="41"/>
    </row>
    <row r="7" spans="1:4" x14ac:dyDescent="0.25">
      <c r="B7" s="18" t="s">
        <v>24</v>
      </c>
      <c r="C7" s="41">
        <v>1.2E-2</v>
      </c>
    </row>
    <row r="8" spans="1:4" x14ac:dyDescent="0.25">
      <c r="B8" s="18" t="s">
        <v>416</v>
      </c>
      <c r="C8" s="41">
        <v>1.2E-2</v>
      </c>
    </row>
    <row r="9" spans="1:4" x14ac:dyDescent="0.25">
      <c r="B9" s="18" t="s">
        <v>417</v>
      </c>
      <c r="C9" s="41">
        <v>1.2E-2</v>
      </c>
    </row>
    <row r="10" spans="1:4" s="41" customFormat="1" x14ac:dyDescent="0.25">
      <c r="B10" s="73" t="s">
        <v>418</v>
      </c>
      <c r="C10" s="41">
        <v>1.2E-2</v>
      </c>
    </row>
    <row r="11" spans="1:4" s="41" customFormat="1" x14ac:dyDescent="0.25">
      <c r="B11" s="73" t="s">
        <v>419</v>
      </c>
      <c r="C11" s="41">
        <v>1.2E-2</v>
      </c>
    </row>
    <row r="12" spans="1:4" s="41" customFormat="1" x14ac:dyDescent="0.25">
      <c r="B12" s="73" t="s">
        <v>353</v>
      </c>
      <c r="C12" s="41">
        <v>5.0000000000000001E-3</v>
      </c>
    </row>
    <row r="13" spans="1:4" s="41" customFormat="1" x14ac:dyDescent="0.25">
      <c r="B13" s="73" t="s">
        <v>420</v>
      </c>
      <c r="C13" s="41">
        <v>5.0000000000000001E-3</v>
      </c>
    </row>
    <row r="14" spans="1:4" s="41" customFormat="1" x14ac:dyDescent="0.25"/>
    <row r="15" spans="1:4" s="41" customFormat="1" x14ac:dyDescent="0.25">
      <c r="B15"/>
      <c r="C15" s="38"/>
    </row>
    <row r="16" spans="1:4" s="41" customFormat="1" x14ac:dyDescent="0.25">
      <c r="B16" t="s">
        <v>401</v>
      </c>
      <c r="C16" t="s">
        <v>421</v>
      </c>
    </row>
    <row r="17" spans="1:4" s="41" customFormat="1" x14ac:dyDescent="0.25">
      <c r="A17" s="57" t="s">
        <v>376</v>
      </c>
      <c r="B17">
        <v>1.4E-2</v>
      </c>
      <c r="C17" s="41">
        <v>1.2E-2</v>
      </c>
    </row>
    <row r="18" spans="1:4" s="41" customFormat="1" x14ac:dyDescent="0.25">
      <c r="B18" s="57"/>
    </row>
    <row r="19" spans="1:4" s="41" customFormat="1" x14ac:dyDescent="0.25">
      <c r="B19"/>
    </row>
    <row r="20" spans="1:4" x14ac:dyDescent="0.25">
      <c r="A20" t="s">
        <v>117</v>
      </c>
    </row>
    <row r="21" spans="1:4" s="41" customFormat="1" x14ac:dyDescent="0.25">
      <c r="B21"/>
      <c r="D21"/>
    </row>
    <row r="22" spans="1:4" x14ac:dyDescent="0.25">
      <c r="A22" s="41" t="s">
        <v>47</v>
      </c>
    </row>
    <row r="23" spans="1:4" x14ac:dyDescent="0.25">
      <c r="A23" s="41"/>
    </row>
    <row r="24" spans="1:4" x14ac:dyDescent="0.25">
      <c r="A24" s="41"/>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Malixi, Julian</cp:lastModifiedBy>
  <cp:revision/>
  <cp:lastPrinted>2019-07-02T14:04:23Z</cp:lastPrinted>
  <dcterms:created xsi:type="dcterms:W3CDTF">2015-06-05T18:17:20Z</dcterms:created>
  <dcterms:modified xsi:type="dcterms:W3CDTF">2019-11-07T15:07:52Z</dcterms:modified>
  <cp:category/>
  <cp:contentStatus/>
</cp:coreProperties>
</file>