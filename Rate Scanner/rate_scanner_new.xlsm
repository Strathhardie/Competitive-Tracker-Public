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astilca\Desktop\"/>
    </mc:Choice>
  </mc:AlternateContent>
  <xr:revisionPtr revIDLastSave="0" documentId="8_{02D34C84-B47A-4F5F-86BA-53CF522BA78A}" xr6:coauthVersionLast="41" xr6:coauthVersionMax="41" xr10:uidLastSave="{00000000-0000-0000-0000-000000000000}"/>
  <bookViews>
    <workbookView xWindow="-120" yWindow="-120" windowWidth="20730" windowHeight="11160" tabRatio="931" firstSheet="1" activeTab="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RBC_Rates" sheetId="41" r:id="rId8"/>
    <sheet name="BMO_rates" sheetId="27" r:id="rId9"/>
    <sheet name="BNS_Rates" sheetId="60"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s>
  <functionGroups builtInGroupCount="19"/>
  <definedNames>
    <definedName name="ExternalData_1" localSheetId="17" hidden="1">Altamira_rates!$A$1:$F$12</definedName>
    <definedName name="ExternalData_1" localSheetId="15" hidden="1">B2B_rates!$B$1:$E$8</definedName>
    <definedName name="ExternalData_1" localSheetId="9" hidden="1">BNS_Rates!$B$1:$E$36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HSBC_rates!$B$1:$C$5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0" localSheetId="7" hidden="1">RBC_Rates!$B$1:$C$158</definedName>
    <definedName name="ExternalData_12" localSheetId="7" hidden="1">RBC_Rates!$B$161:$D$167</definedName>
    <definedName name="ExternalData_12" localSheetId="6" hidden="1">TD_rates!$B$39:$F$44</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3" hidden="1">HSBC_rates!$B$7:$G$11</definedName>
    <definedName name="ExternalData_2" localSheetId="11" hidden="1">Manulife_rates!$B$1:$C$4</definedName>
    <definedName name="ExternalData_4" localSheetId="11" hidden="1">Manulife_rates!$B$17:$B$18</definedName>
    <definedName name="ExternalData_5" localSheetId="11" hidden="1">Manulife_rates!$B$6:$C$14</definedName>
    <definedName name="ExternalData_6" localSheetId="11" hidden="1">Manulife_rates!$C$17:$C$18</definedName>
    <definedName name="ExternalData_7" localSheetId="9" hidden="1">BNS_Rates!$B$39:$D$41</definedName>
    <definedName name="Query___BMO___SBA_SSA_PRSA" localSheetId="8"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1" i="25" l="1"/>
  <c r="P12" i="25"/>
  <c r="P13" i="25"/>
  <c r="P14" i="25"/>
  <c r="P15" i="25"/>
  <c r="P16" i="25"/>
  <c r="P17" i="25"/>
  <c r="P18" i="25"/>
  <c r="P19" i="25"/>
  <c r="P20" i="25"/>
  <c r="P21" i="25"/>
  <c r="N21" i="26" l="1"/>
  <c r="N20" i="26"/>
  <c r="N19" i="26"/>
  <c r="N18" i="26"/>
  <c r="N17" i="26"/>
  <c r="N16" i="26"/>
  <c r="N15" i="26"/>
  <c r="N14" i="26"/>
  <c r="N13" i="26"/>
  <c r="N12" i="26"/>
  <c r="N11" i="26"/>
  <c r="I2" i="32" l="1"/>
  <c r="I3" i="32"/>
  <c r="I4" i="32"/>
  <c r="I5" i="32"/>
  <c r="C20" i="25" l="1"/>
  <c r="E20" i="25"/>
  <c r="F20" i="25"/>
  <c r="G20" i="25"/>
  <c r="H20" i="25"/>
  <c r="J20" i="25"/>
  <c r="M20" i="25"/>
  <c r="N20" i="25"/>
  <c r="O20" i="25"/>
  <c r="Q20" i="25"/>
  <c r="R20" i="25"/>
  <c r="C12" i="25"/>
  <c r="E12" i="25"/>
  <c r="F12" i="25"/>
  <c r="G12" i="25"/>
  <c r="H12" i="25"/>
  <c r="J12" i="25"/>
  <c r="M12" i="25"/>
  <c r="N12" i="25"/>
  <c r="O12" i="25"/>
  <c r="Q12" i="25"/>
  <c r="R12" i="25"/>
  <c r="H19" i="25"/>
  <c r="H18" i="25"/>
  <c r="H17" i="25"/>
  <c r="H16" i="25"/>
  <c r="H15" i="25"/>
  <c r="H14" i="25"/>
  <c r="H13" i="25"/>
  <c r="M12" i="26" l="1"/>
  <c r="L12" i="26"/>
  <c r="K12" i="26"/>
  <c r="J12" i="26"/>
  <c r="I12" i="26"/>
  <c r="G12" i="26"/>
  <c r="F12" i="26"/>
  <c r="E12" i="26"/>
  <c r="D12" i="26"/>
  <c r="C12" i="26"/>
  <c r="B12" i="26"/>
  <c r="B20" i="26"/>
  <c r="C20" i="26"/>
  <c r="D20" i="26"/>
  <c r="E20" i="26"/>
  <c r="F20" i="26"/>
  <c r="G20" i="26"/>
  <c r="I20" i="26"/>
  <c r="J20" i="26"/>
  <c r="K20" i="26"/>
  <c r="L20" i="26"/>
  <c r="M20" i="26"/>
  <c r="K13" i="26"/>
  <c r="K14" i="26"/>
  <c r="K15" i="26"/>
  <c r="K16" i="26"/>
  <c r="K17" i="26"/>
  <c r="K18" i="26"/>
  <c r="K19" i="26"/>
  <c r="K21" i="26"/>
  <c r="K11" i="26"/>
  <c r="O13" i="25"/>
  <c r="O14" i="25"/>
  <c r="O15" i="25"/>
  <c r="O16" i="25"/>
  <c r="O17" i="25"/>
  <c r="O18" i="25"/>
  <c r="O19" i="25"/>
  <c r="O21" i="25"/>
  <c r="O11" i="25"/>
  <c r="N13" i="25"/>
  <c r="N14" i="25"/>
  <c r="N15" i="25"/>
  <c r="N16" i="25"/>
  <c r="N17" i="25"/>
  <c r="N18" i="25"/>
  <c r="N19" i="25"/>
  <c r="N21" i="25"/>
  <c r="N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12" i="25" l="1"/>
  <c r="K20"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M13" i="26"/>
  <c r="M11" i="26"/>
  <c r="M18" i="26"/>
  <c r="M14" i="26"/>
  <c r="M15" i="26"/>
  <c r="M16" i="26"/>
  <c r="M17" i="26"/>
  <c r="M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B19" i="25" s="1"/>
  <c r="E9" i="30"/>
  <c r="J11" i="25"/>
  <c r="E32" i="12"/>
  <c r="E34" i="12"/>
  <c r="E35" i="12"/>
  <c r="E11" i="25"/>
  <c r="F11" i="25"/>
  <c r="G11" i="25"/>
  <c r="E9" i="27"/>
  <c r="E10" i="27"/>
  <c r="M11" i="25"/>
  <c r="Q11" i="25"/>
  <c r="R11" i="25"/>
  <c r="J13" i="25"/>
  <c r="J14" i="25"/>
  <c r="M14" i="25"/>
  <c r="Q14" i="25"/>
  <c r="R14" i="25"/>
  <c r="G14" i="25"/>
  <c r="F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G15" i="25"/>
  <c r="G16" i="25"/>
  <c r="G17" i="25"/>
  <c r="G18" i="25"/>
  <c r="G19" i="25"/>
  <c r="G21" i="25"/>
  <c r="G13" i="25"/>
  <c r="F15" i="25"/>
  <c r="F16" i="25"/>
  <c r="F17" i="25"/>
  <c r="F18" i="25"/>
  <c r="F19" i="25"/>
  <c r="F21" i="25"/>
  <c r="F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E158" i="41"/>
  <c r="N12" i="24" s="1"/>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N11" i="24"/>
  <c r="N19" i="24"/>
  <c r="N15" i="24"/>
  <c r="N18" i="24"/>
  <c r="N14" i="24"/>
  <c r="N21" i="24"/>
  <c r="N17" i="24"/>
  <c r="N13" i="24"/>
  <c r="N20" i="24"/>
  <c r="N16" i="24"/>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B20" i="24"/>
  <c r="D21" i="24"/>
  <c r="D18" i="25" l="1"/>
  <c r="D12" i="25"/>
  <c r="D20" i="25"/>
  <c r="I12" i="25"/>
  <c r="I20" i="25"/>
  <c r="C16" i="24"/>
  <c r="I19" i="24"/>
  <c r="D17" i="25"/>
  <c r="B21" i="25"/>
  <c r="B20" i="25"/>
  <c r="B12" i="25"/>
  <c r="O13" i="24"/>
  <c r="O17" i="24"/>
  <c r="P18" i="24"/>
  <c r="I21" i="24"/>
  <c r="J18" i="24"/>
  <c r="H19" i="24"/>
  <c r="B11" i="24"/>
  <c r="B16" i="25"/>
  <c r="B15" i="25"/>
  <c r="G19" i="24"/>
  <c r="F13" i="24"/>
  <c r="D16" i="25"/>
  <c r="F20" i="24"/>
  <c r="G11" i="24"/>
  <c r="G20" i="24"/>
  <c r="F15" i="24"/>
  <c r="P11" i="24"/>
  <c r="O12" i="24"/>
  <c r="P12" i="24"/>
  <c r="P20" i="24"/>
  <c r="O18"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O14" i="24"/>
  <c r="P15" i="24"/>
  <c r="P21" i="24"/>
  <c r="P13" i="24"/>
  <c r="P14" i="24"/>
  <c r="O16" i="24"/>
  <c r="O11" i="24"/>
  <c r="P19" i="24"/>
  <c r="O20" i="24"/>
  <c r="P16" i="24"/>
  <c r="P17" i="24"/>
  <c r="O15" i="24"/>
  <c r="O19" i="24"/>
  <c r="O21" i="24"/>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quot;Home Trust Company&quot;;Extended Properties=&quot;&quot;" command="SELECT * FROM [Home Trust Company]"/>
  </connection>
  <connection id="12" xr16:uid="{00000000-0015-0000-FFFF-FFFF09000000}" odcFile="C:\Anila\TGRP\Competitive Tracker\competitive-tracker\Rate Scanner\Queries\Query - HSBC Rates.odc"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3" xr16:uid="{2FAD8A2C-D701-4AEC-9212-8F3BA78E6326}" keepAlive="1" name="Query - HSBC USD High Rate Savings" description="Connection to the 'HSBC USD High Rate Savings' query in the workbook." type="5" refreshedVersion="6" background="1" saveData="1">
    <dbPr connection="Provider=Microsoft.Mashup.OleDb.1;Data Source=$Workbook$;Location=HSBC USD High Rate Savings;Extended Properties=&quot;&quot;" command="SELECT * FROM [HSBC USD High Rate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quot;Simplii HISA&quot;;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<sst xmlns="http://schemas.openxmlformats.org/spreadsheetml/2006/main" count="1067" uniqueCount="511">
  <si>
    <t xml:space="preserve">High Interest Savings Accounts - Retail </t>
  </si>
  <si>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</si>
  <si>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</si>
  <si>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</si>
  <si>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</si>
  <si>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</si>
  <si>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</si>
  <si>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</si>
  <si>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</si>
  <si>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</si>
  <si>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</si>
  <si>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</si>
  <si>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</si>
  <si>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</si>
  <si>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</si>
  <si>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</si>
  <si>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</si>
  <si>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</si>
  <si>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</si>
  <si>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</si>
  <si>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</si>
  <si>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</si>
  <si>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</si>
  <si>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</si>
  <si>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</si>
  <si>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</si>
  <si>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</si>
  <si>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</si>
  <si>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</si>
  <si>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</si>
  <si>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</si>
  <si>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</si>
  <si>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</si>
  <si>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</si>
  <si>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</si>
  <si>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</si>
  <si>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</si>
  <si>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</si>
  <si>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</si>
  <si>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</si>
  <si>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</si>
  <si>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</si>
  <si>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</si>
  <si>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</si>
  <si>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</si>
  <si>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</si>
  <si>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</si>
  <si>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</si>
  <si>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</si>
  <si>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</si>
  <si>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</si>
  <si>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</si>
  <si>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</si>
  <si>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</si>
  <si>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</si>
  <si>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</si>
  <si>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</si>
  <si>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</si>
  <si>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</si>
  <si>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</si>
  <si>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</si>
  <si>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</si>
  <si>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</si>
  <si>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</si>
  <si>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</si>
  <si>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</si>
  <si>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</si>
  <si>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</si>
  <si>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</si>
  <si>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</si>
  <si>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</si>
  <si>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</si>
  <si>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</si>
  <si>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</si>
  <si>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</si>
  <si>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</si>
  <si>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</si>
  <si>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</si>
  <si>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</si>
  <si>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</si>
  <si>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</si>
  <si>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</si>
  <si>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</si>
  <si>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</si>
  <si>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</si>
  <si>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</si>
  <si>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</si>
  <si>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</si>
  <si>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</si>
  <si>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</si>
  <si>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</si>
  <si>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</si>
  <si>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</si>
  <si>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</si>
  <si>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</si>
  <si>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</si>
  <si>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</si>
  <si>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</si>
  <si>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</si>
  <si>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</si>
  <si>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</si>
  <si>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</si>
  <si>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</si>
  <si>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</si>
  <si>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</si>
  <si>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</si>
  <si>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</si>
  <si>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</si>
  <si>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</si>
  <si>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</si>
  <si>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</si>
  <si>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</si>
  <si>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</si>
  <si>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</si>
  <si>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</si>
  <si>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</si>
  <si>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</si>
  <si>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</si>
  <si>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</si>
  <si>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</si>
  <si>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</si>
  <si>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</si>
  <si>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</si>
  <si>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</si>
  <si>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</si>
  <si>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</si>
  <si>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</si>
  <si>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</si>
  <si>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</si>
  <si>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</si>
  <si>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</si>
  <si>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</si>
  <si>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</si>
  <si>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</si>
  <si>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</si>
  <si>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</si>
  <si>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</si>
  <si>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</si>
  <si>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</si>
  <si>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</si>
  <si>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</si>
  <si>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</si>
  <si>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</si>
  <si>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</si>
  <si>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</si>
  <si>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</si>
  <si>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</si>
  <si>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</si>
  <si>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</si>
  <si>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</si>
  <si>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</si>
  <si>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</si>
  <si>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</si>
  <si>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</si>
  <si>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</si>
  <si>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</si>
  <si>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</si>
  <si>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</si>
  <si>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</si>
  <si>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</si>
  <si>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</si>
  <si>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</si>
  <si>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</si>
  <si>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</si>
  <si>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</si>
  <si>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</si>
  <si>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</si>
  <si>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</si>
  <si>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</si>
  <si>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</si>
  <si>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</si>
  <si>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</si>
  <si>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</si>
  <si>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</si>
  <si>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</si>
  <si>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</si>
  <si>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</si>
  <si>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</si>
  <si>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</si>
  <si>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</si>
  <si>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</si>
  <si>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</si>
  <si>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</si>
  <si>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</si>
  <si>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</si>
  <si>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</si>
  <si>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</si>
  <si>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</si>
  <si>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</si>
  <si>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</si>
  <si>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</si>
  <si>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</si>
  <si>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</si>
  <si>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</si>
  <si>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</si>
  <si>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</si>
  <si>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</si>
  <si>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</si>
  <si>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</si>
  <si>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</si>
  <si>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</si>
  <si>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</si>
  <si>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</si>
  <si>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</si>
  <si>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</si>
  <si>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</si>
  <si>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</si>
  <si>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</si>
  <si>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</si>
  <si>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</si>
  <si>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</si>
  <si>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</si>
  <si>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</si>
  <si>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</si>
  <si>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</si>
  <si>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</si>
  <si>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</si>
  <si>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</si>
  <si>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</si>
  <si>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</si>
  <si>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</si>
  <si>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</si>
  <si>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</si>
  <si>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</si>
  <si>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</si>
  <si>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</si>
  <si>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</si>
  <si>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</si>
  <si>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</si>
  <si>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</si>
  <si>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</si>
  <si>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</si>
  <si>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</si>
  <si>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</si>
  <si>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</si>
  <si>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</si>
  <si>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</si>
  <si>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</si>
  <si>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</si>
  <si>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</si>
  <si>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</si>
  <si>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</si>
  <si>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</si>
  <si>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</si>
  <si>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</si>
  <si>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</si>
  <si>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</si>
  <si>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</si>
  <si>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</si>
  <si>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</si>
  <si>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</si>
  <si>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</si>
  <si>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</si>
  <si>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</si>
  <si>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</si>
  <si>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</si>
  <si>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</si>
  <si>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</si>
  <si>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</si>
  <si>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</si>
  <si>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</si>
  <si>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</si>
  <si>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</si>
  <si>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</si>
  <si>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</si>
  <si>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</si>
  <si>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</si>
  <si>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</si>
  <si>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</si>
  <si>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</si>
  <si>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</si>
  <si>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</si>
  <si>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</si>
  <si>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</si>
  <si>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</si>
  <si>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</si>
  <si>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</si>
  <si>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</si>
  <si>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</si>
  <si>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</si>
  <si>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</si>
  <si>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</si>
  <si>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</si>
  <si>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</si>
  <si>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</si>
  <si>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</si>
  <si>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</si>
  <si>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</si>
  <si>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</si>
  <si>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</si>
  <si>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</si>
  <si>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</si>
  <si>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</si>
  <si>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</si>
  <si>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</si>
  <si>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</si>
  <si>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</si>
  <si>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</si>
  <si>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</si>
  <si>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</si>
  <si>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</si>
  <si>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</si>
  <si>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</si>
  <si>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</si>
  <si>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</si>
  <si>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</si>
  <si>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</si>
  <si>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</si>
  <si>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</si>
  <si>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</si>
  <si>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</si>
  <si>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</si>
  <si>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</si>
  <si>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</si>
  <si>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</si>
  <si>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</si>
  <si>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</si>
  <si>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</si>
  <si>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</si>
  <si>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</si>
  <si>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</si>
  <si>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</si>
  <si>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</si>
  <si>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</si>
  <si>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</si>
  <si>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</si>
  <si>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</si>
  <si>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</si>
  <si>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</si>
  <si>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</si>
  <si>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</si>
  <si>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</si>
  <si>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</si>
  <si>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</si>
  <si>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</si>
  <si>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</si>
  <si>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</si>
  <si>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</si>
  <si>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</si>
  <si>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</si>
  <si>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</si>
  <si>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</si>
  <si>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</si>
  <si>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</si>
  <si>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</si>
  <si>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</si>
  <si>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</si>
  <si>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</si>
  <si>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</si>
  <si>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</si>
  <si>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</si>
  <si>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</si>
  <si>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</si>
  <si>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</si>
  <si>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</si>
  <si>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</si>
  <si>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</si>
  <si>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</si>
  <si>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</si>
  <si>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</si>
  <si>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</si>
  <si>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</si>
  <si>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</si>
  <si>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</si>
  <si>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</si>
  <si>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</si>
  <si>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</si>
  <si>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</si>
  <si>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</si>
  <si>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</si>
  <si>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</si>
  <si>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</si>
  <si>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</si>
  <si>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</si>
  <si>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</si>
  <si>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</si>
  <si>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</si>
  <si>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</si>
  <si>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</si>
  <si>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</si>
  <si>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</si>
  <si>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</si>
  <si>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</si>
  <si>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</si>
  <si>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</si>
  <si>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</si>
  <si>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</si>
  <si>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</si>
  <si>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</si>
  <si>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</si>
  <si>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</si>
  <si>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</si>
  <si>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</si>
  <si>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</si>
  <si>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</si>
  <si>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</si>
  <si>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</si>
  <si>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</si>
  <si>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</si>
  <si>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</si>
  <si>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</si>
  <si>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</si>
  <si>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</si>
  <si>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</si>
  <si>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</si>
  <si>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</si>
  <si>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</si>
  <si>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</si>
  <si>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</si>
  <si>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</si>
  <si>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</si>
  <si>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</si>
  <si>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</si>
  <si>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</si>
  <si>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</si>
  <si>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</si>
  <si>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</si>
  <si>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</si>
  <si>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TD_USborderless_rate</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</si>
  <si>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</si>
  <si>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</si>
  <si>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</si>
  <si>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</si>
  <si>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</si>
  <si>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</si>
  <si>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</si>
  <si>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</si>
  <si>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</si>
  <si>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</si>
  <si>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</si>
  <si>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</si>
  <si>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</si>
  <si>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</si>
  <si>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</si>
  <si>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</si>
  <si>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</si>
  <si>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</si>
  <si>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</si>
  <si>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</si>
  <si>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</si>
  <si>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</si>
  <si>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</si>
  <si>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BNS_Cash_Optimizer_Investment</t>
  </si>
  <si>
    <t>1.000</t>
  </si>
  <si>
    <t>RBC_Personal_Accounts</t>
  </si>
  <si>
    <t>RBC_Investment_Savings_Account</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</si>
  <si>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</si>
  <si>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</si>
  <si>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</si>
  <si>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</si>
  <si>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</si>
  <si>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</si>
  <si>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</si>
  <si>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</si>
  <si>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</si>
  <si>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</si>
  <si>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</si>
  <si>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</si>
  <si>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</si>
  <si>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</si>
  <si>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</si>
  <si>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</si>
  <si>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</si>
  <si>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</si>
  <si>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</si>
  <si>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</si>
  <si>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</si>
  <si>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</si>
  <si>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</si>
  <si>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</si>
  <si>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</si>
  <si>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</si>
  <si>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</si>
  <si>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</si>
  <si>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</si>
  <si>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Advantage Account: Additional Promotional Rate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</si>
  <si>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</si>
  <si>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</si>
  <si>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</si>
  <si>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</si>
  <si>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</si>
  <si>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</si>
  <si>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</si>
  <si>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</si>
  <si>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</si>
  <si>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</si>
  <si>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</si>
  <si>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</si>
  <si>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</si>
  <si>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</si>
  <si>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</si>
  <si>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</si>
  <si>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</si>
  <si>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</si>
  <si>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</si>
  <si>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</si>
  <si>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Automation error</t>
  </si>
  <si>
    <t>BNS_Savings_Accounts</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</si>
  <si>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</si>
  <si>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</si>
  <si>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</si>
  <si>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</si>
  <si>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 xml:space="preserve">USD High Rate Savings </t>
  </si>
  <si>
    <t>USD High Rate Savings</t>
  </si>
  <si>
    <t>GBP High Rate Savings*</t>
  </si>
  <si>
    <t>EUR High Rate Savings*</t>
  </si>
  <si>
    <t>HKD Foreign Currency Savings</t>
  </si>
  <si>
    <t>RMB Foreign Currency Savings</t>
  </si>
  <si>
    <t>Up to $24,999.99</t>
  </si>
  <si>
    <t>$100,000.00 and over*</t>
  </si>
  <si>
    <t>High-Interest Cash Performer (NBC)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</si>
</sst>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3">
    <dxf>
      <numFmt numFmtId="19" formatCode="m/d/yyyy"/>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0" connectionId="28"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2"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13" xr16:uid="{A0606A58-0311-40AF-82A6-672B18748AF5}"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2" dataDxfId="41">
  <autoFilter ref="A3:D7"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6"/>
    <tableColumn id="2" xr3:uid="{DD1044A9-F59B-46D0-8718-6C3BDE63183C}" uniqueName="2" name="Data.Rate" queryTableFieldId="2" dataDxfId="3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3"/>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2"/>
    <tableColumn id="2" xr3:uid="{5B7C4811-4C53-41A6-96BF-5389107C4D47}" uniqueName="2" name="Currency" queryTableFieldId="2" dataDxfId="31"/>
    <tableColumn id="3" xr3:uid="{734665F7-5DB2-40AD-BD3B-98FD29CBE168}" uniqueName="3" name="Minimum1" queryTableFieldId="3"/>
    <tableColumn id="4" xr3:uid="{BDB4B9A1-7155-498E-B2E8-661728BDEEFB}" uniqueName="4" name="Maximum" queryTableFieldId="4" dataDxfId="30"/>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9"/>
    <tableColumn id="4" xr3:uid="{5AABEE2E-2BF3-4006-B415-E5BEAE632E5A}" uniqueName="4" name="Interest Rate" queryTableFieldId="4" dataDxfId="2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7"/>
    <tableColumn id="2" xr3:uid="{CD0A7C5C-0993-4626-9697-6BED170C551F}" uniqueName="2" name="Interest Rate [%]" queryTableFieldId="2" dataDxfId="2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E167" tableType="queryTable" totalsRowShown="0">
  <autoFilter ref="B161:E167" xr:uid="{B4BA52D1-2456-4760-B228-111031831AA6}"/>
  <tableColumns count="4">
    <tableColumn id="1" xr3:uid="{5E93972D-014C-4E1C-8AB4-1BF2148E9BC7}" uniqueName="1" name="Interest Rates(3)" queryTableFieldId="1" dataDxfId="25"/>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4"/>
    <tableColumn id="2" xr3:uid="{5CB6D22A-E46F-4EC4-A20B-0849978AFCF9}" uniqueName="2" name="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3"/>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1"/>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0"/>
    <tableColumn id="2" xr3:uid="{1C664E64-3B1D-4B6F-B067-F394E342CE45}" uniqueName="2" name="Interest Rate" queryTableFieldId="2"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7:B18" tableType="queryTable" totalsRowShown="0" headerRowDxfId="18">
  <autoFilter ref="B17:B18"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4" tableType="queryTable" totalsRowShown="0">
  <autoFilter ref="B6:C14"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7:C18" tableType="queryTable" totalsRowShown="0">
  <autoFilter ref="C17:C18"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F871E8-AF60-40D8-941E-2488C1281C8E}" name="HSBC_USD_High_Rate_Savings" displayName="HSBC_USD_High_Rate_Savings" ref="B7:G11" tableType="queryTable" totalsRowShown="0">
  <autoFilter ref="B7:G11" xr:uid="{4FE23D4D-17C5-4A86-AEC9-6BE64A2F4982}"/>
  <tableColumns count="6">
    <tableColumn id="1" xr3:uid="{E9E9ABCF-5199-41B9-A455-BB9D8D7A22A9}" uniqueName="1" name="Daily closing balance" queryTableFieldId="1" dataDxfId="14"/>
    <tableColumn id="2" xr3:uid="{BC677EBA-247C-4FC4-9952-01C67881341F}" uniqueName="2" name="USD High Rate Savings" queryTableFieldId="2"/>
    <tableColumn id="3" xr3:uid="{C79F5185-9A50-418C-A069-7FF1EDDCA53E}" uniqueName="3" name="GBP High Rate Savings*" queryTableFieldId="3"/>
    <tableColumn id="4" xr3:uid="{740CF4C2-5444-4C6D-9DE1-B5B3CF35B578}" uniqueName="4" name="EUR High Rate Savings*" queryTableFieldId="4"/>
    <tableColumn id="5" xr3:uid="{3AE3574C-0AD7-4888-B14A-319C51491AF6}" uniqueName="5" name="HKD Foreign Currency Savings" queryTableFieldId="5"/>
    <tableColumn id="6" xr3:uid="{3FD409EE-F511-488E-A37F-650B5BEDBB8D}" uniqueName="6" name="RMB Foreign Currency Savings"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2"/>
    <tableColumn id="2" xr3:uid="{D2046F38-483B-420D-B944-6BCD7B2B4D92}" uniqueName="2" name="Column2" queryTableFieldId="10" dataDxfId="11"/>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0"/>
    <tableColumn id="3" xr3:uid="{D2622B16-D1C8-4760-8BD0-953D9FAFA8F1}" uniqueName="3" name="Get Started" queryTableFieldId="3" dataDxfId="9"/>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9"/>
  <sheetViews>
    <sheetView workbookViewId="0">
      <selection activeCell="I5" sqref="I5"/>
    </sheetView>
  </sheetViews>
  <sheetFormatPr defaultRowHeight="15" outlineLevelCol="1" x14ac:dyDescent="0.25"/>
  <cols>
    <col min="1" max="1" width="9.140625" style="20"/>
    <col min="2" max="2" width="80.7109375" style="20" customWidth="1"/>
    <col min="3" max="3" width="9.140625" style="20"/>
    <col min="4" max="4" width="6.140625" style="20" customWidth="1"/>
    <col min="5" max="5" width="12" style="39" customWidth="1" outlineLevel="1"/>
    <col min="6" max="6" width="40.5703125" style="20" customWidth="1" outlineLevel="1"/>
    <col min="7" max="7" width="7.7109375" style="20" bestFit="1" customWidth="1" outlineLevel="1"/>
    <col min="8" max="8" width="14.7109375" style="20" bestFit="1" customWidth="1" outlineLevel="1"/>
    <col min="9" max="9" width="75.5703125" style="20" customWidth="1" outlineLevel="1"/>
    <col min="10" max="16384" width="9.140625" style="20"/>
  </cols>
  <sheetData>
    <row r="3" spans="2:9" ht="28.5" x14ac:dyDescent="0.25">
      <c r="B3" s="21" t="s">
        <v>291</v>
      </c>
      <c r="E3" s="80" t="s">
        <v>283</v>
      </c>
      <c r="F3" s="81"/>
      <c r="G3" s="81"/>
      <c r="H3" s="81"/>
      <c r="I3" s="82"/>
    </row>
    <row r="4" spans="2:9" x14ac:dyDescent="0.25">
      <c r="B4" s="22"/>
      <c r="E4" s="22" t="s">
        <v>284</v>
      </c>
      <c r="F4" s="22" t="s">
        <v>285</v>
      </c>
      <c r="G4" s="22" t="s">
        <v>286</v>
      </c>
      <c r="H4" s="22" t="s">
        <v>377</v>
      </c>
      <c r="I4" s="22" t="s">
        <v>287</v>
      </c>
    </row>
    <row r="5" spans="2:9" x14ac:dyDescent="0.25">
      <c r="B5" s="33" t="s">
        <v>199</v>
      </c>
      <c r="E5" s="39">
        <v>0</v>
      </c>
      <c r="F5" s="20" t="s">
        <v>361</v>
      </c>
      <c r="G5" s="20" t="s">
        <v>288</v>
      </c>
      <c r="H5" s="20">
        <v>9</v>
      </c>
    </row>
    <row r="6" spans="2:9" x14ac:dyDescent="0.25">
      <c r="B6" s="34"/>
      <c r="E6" s="39">
        <v>1</v>
      </c>
      <c r="F6" s="20" t="s">
        <v>417</v>
      </c>
      <c r="G6" s="20" t="s">
        <v>288</v>
      </c>
      <c r="H6" s="20">
        <v>0</v>
      </c>
    </row>
    <row r="7" spans="2:9" x14ac:dyDescent="0.25">
      <c r="B7" s="35"/>
      <c r="E7" s="39">
        <v>2</v>
      </c>
      <c r="F7" s="20" t="s">
        <v>495</v>
      </c>
      <c r="G7" s="20" t="s">
        <v>288</v>
      </c>
      <c r="H7" s="20">
        <v>1</v>
      </c>
    </row>
    <row r="8" spans="2:9" x14ac:dyDescent="0.25">
      <c r="B8" s="36"/>
      <c r="E8" s="39">
        <v>3</v>
      </c>
      <c r="F8" s="20" t="s">
        <v>362</v>
      </c>
      <c r="G8" s="20" t="s">
        <v>288</v>
      </c>
      <c r="H8" s="20">
        <v>75</v>
      </c>
    </row>
    <row r="9" spans="2:9" x14ac:dyDescent="0.25">
      <c r="B9" s="37"/>
      <c r="E9" s="39">
        <v>4</v>
      </c>
      <c r="F9" s="20" t="s">
        <v>289</v>
      </c>
      <c r="G9" s="20" t="s">
        <v>288</v>
      </c>
      <c r="H9" s="20">
        <v>5</v>
      </c>
    </row>
    <row r="10" spans="2:9" x14ac:dyDescent="0.25">
      <c r="B10" s="33" t="s">
        <v>200</v>
      </c>
      <c r="E10" s="39">
        <v>5</v>
      </c>
      <c r="F10" s="20" t="s">
        <v>418</v>
      </c>
      <c r="G10" s="20" t="s">
        <v>391</v>
      </c>
      <c r="H10" s="20">
        <v>8</v>
      </c>
      <c r="I10" s="20" t="s">
        <v>496</v>
      </c>
    </row>
    <row r="11" spans="2:9" x14ac:dyDescent="0.25">
      <c r="B11" s="34"/>
      <c r="E11" s="39">
        <v>6</v>
      </c>
      <c r="F11" s="20" t="s">
        <v>363</v>
      </c>
      <c r="G11" s="20" t="s">
        <v>288</v>
      </c>
      <c r="H11" s="20">
        <v>6</v>
      </c>
    </row>
    <row r="12" spans="2:9" x14ac:dyDescent="0.25">
      <c r="B12" s="35"/>
      <c r="E12" s="39">
        <v>7</v>
      </c>
      <c r="F12" s="20" t="s">
        <v>497</v>
      </c>
      <c r="G12" s="20" t="s">
        <v>288</v>
      </c>
      <c r="H12" s="20">
        <v>28</v>
      </c>
    </row>
    <row r="13" spans="2:9" x14ac:dyDescent="0.25">
      <c r="B13" s="35"/>
      <c r="E13" s="39">
        <v>8</v>
      </c>
      <c r="F13" s="20" t="s">
        <v>442</v>
      </c>
      <c r="G13" s="20" t="s">
        <v>288</v>
      </c>
      <c r="H13" s="20">
        <v>46</v>
      </c>
    </row>
    <row r="14" spans="2:9" x14ac:dyDescent="0.25">
      <c r="B14" s="35"/>
      <c r="E14" s="39">
        <v>9</v>
      </c>
      <c r="F14" s="20" t="s">
        <v>444</v>
      </c>
      <c r="G14" s="20" t="s">
        <v>288</v>
      </c>
      <c r="H14" s="20">
        <v>3</v>
      </c>
    </row>
    <row r="15" spans="2:9" x14ac:dyDescent="0.25">
      <c r="B15" s="35"/>
      <c r="E15" s="39">
        <v>10</v>
      </c>
      <c r="F15" s="20" t="s">
        <v>445</v>
      </c>
      <c r="G15" s="20" t="s">
        <v>288</v>
      </c>
      <c r="H15" s="20">
        <v>4</v>
      </c>
    </row>
    <row r="16" spans="2:9" x14ac:dyDescent="0.25">
      <c r="B16" s="35"/>
      <c r="E16" s="39">
        <v>11</v>
      </c>
      <c r="F16" s="20" t="s">
        <v>498</v>
      </c>
      <c r="G16" s="20" t="s">
        <v>288</v>
      </c>
      <c r="H16" s="20">
        <v>4</v>
      </c>
    </row>
    <row r="17" spans="2:8" x14ac:dyDescent="0.25">
      <c r="B17" s="37"/>
      <c r="E17" s="39">
        <v>12</v>
      </c>
      <c r="F17" s="20" t="s">
        <v>499</v>
      </c>
      <c r="G17" s="20" t="s">
        <v>288</v>
      </c>
      <c r="H17" s="20">
        <v>5</v>
      </c>
    </row>
    <row r="18" spans="2:8" x14ac:dyDescent="0.25">
      <c r="B18" s="33" t="s">
        <v>201</v>
      </c>
      <c r="E18" s="39">
        <v>13</v>
      </c>
      <c r="F18" s="20" t="s">
        <v>474</v>
      </c>
      <c r="G18" s="20" t="s">
        <v>288</v>
      </c>
      <c r="H18" s="20">
        <v>2</v>
      </c>
    </row>
    <row r="19" spans="2:8" x14ac:dyDescent="0.25">
      <c r="B19" s="34"/>
      <c r="E19" s="39">
        <v>14</v>
      </c>
      <c r="F19" s="20" t="s">
        <v>448</v>
      </c>
      <c r="G19" s="20" t="s">
        <v>288</v>
      </c>
      <c r="H19" s="20">
        <v>8</v>
      </c>
    </row>
    <row r="20" spans="2:8" x14ac:dyDescent="0.25">
      <c r="B20" s="35"/>
      <c r="E20" s="39">
        <v>15</v>
      </c>
      <c r="F20" s="20" t="s">
        <v>500</v>
      </c>
      <c r="G20" s="20" t="s">
        <v>288</v>
      </c>
      <c r="H20" s="20">
        <v>1</v>
      </c>
    </row>
    <row r="21" spans="2:8" x14ac:dyDescent="0.25">
      <c r="B21" s="35"/>
      <c r="E21" s="39">
        <v>16</v>
      </c>
      <c r="F21" s="20" t="s">
        <v>449</v>
      </c>
      <c r="G21" s="20" t="s">
        <v>288</v>
      </c>
      <c r="H21" s="20">
        <v>6</v>
      </c>
    </row>
    <row r="22" spans="2:8" x14ac:dyDescent="0.25">
      <c r="B22" s="35"/>
      <c r="E22" s="39">
        <v>17</v>
      </c>
      <c r="F22" s="20" t="s">
        <v>450</v>
      </c>
      <c r="G22" s="20" t="s">
        <v>288</v>
      </c>
      <c r="H22" s="20">
        <v>1</v>
      </c>
    </row>
    <row r="23" spans="2:8" x14ac:dyDescent="0.25">
      <c r="B23" s="36"/>
      <c r="E23" s="39">
        <v>18</v>
      </c>
      <c r="F23" s="20" t="s">
        <v>451</v>
      </c>
      <c r="G23" s="20" t="s">
        <v>288</v>
      </c>
      <c r="H23" s="20">
        <v>101</v>
      </c>
    </row>
    <row r="24" spans="2:8" x14ac:dyDescent="0.25">
      <c r="B24" s="38"/>
      <c r="E24" s="39">
        <v>19</v>
      </c>
      <c r="F24" s="20" t="s">
        <v>452</v>
      </c>
      <c r="G24" s="20" t="s">
        <v>288</v>
      </c>
      <c r="H24" s="20">
        <v>2</v>
      </c>
    </row>
    <row r="25" spans="2:8" x14ac:dyDescent="0.25">
      <c r="E25" s="39">
        <v>20</v>
      </c>
      <c r="F25" s="20" t="s">
        <v>453</v>
      </c>
      <c r="G25" s="20" t="s">
        <v>288</v>
      </c>
      <c r="H25" s="20">
        <v>5</v>
      </c>
    </row>
    <row r="26" spans="2:8" x14ac:dyDescent="0.25">
      <c r="E26" s="39">
        <v>21</v>
      </c>
      <c r="F26" s="20" t="s">
        <v>454</v>
      </c>
      <c r="G26" s="20" t="s">
        <v>288</v>
      </c>
      <c r="H26" s="20">
        <v>17</v>
      </c>
    </row>
    <row r="27" spans="2:8" x14ac:dyDescent="0.25">
      <c r="E27" s="39">
        <v>22</v>
      </c>
      <c r="F27" s="20" t="s">
        <v>455</v>
      </c>
      <c r="G27" s="20" t="s">
        <v>288</v>
      </c>
      <c r="H27" s="20">
        <v>13</v>
      </c>
    </row>
    <row r="28" spans="2:8" x14ac:dyDescent="0.25">
      <c r="E28" s="39">
        <v>23</v>
      </c>
      <c r="F28" s="20" t="s">
        <v>458</v>
      </c>
      <c r="G28" s="20" t="s">
        <v>288</v>
      </c>
      <c r="H28" s="20">
        <v>100</v>
      </c>
    </row>
    <row r="29" spans="2:8" x14ac:dyDescent="0.25">
      <c r="E29" s="39">
        <v>24</v>
      </c>
      <c r="F29" s="20" t="s">
        <v>459</v>
      </c>
      <c r="G29" s="20" t="s">
        <v>288</v>
      </c>
      <c r="H29" s="20">
        <v>12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D1" zoomScale="85" zoomScaleNormal="85" workbookViewId="0">
      <selection activeCell="V19" sqref="V19"/>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48"/>
      <c r="B1" s="48"/>
      <c r="C1" s="48"/>
      <c r="D1" s="48"/>
      <c r="E1" s="48"/>
      <c r="F1" s="48"/>
      <c r="G1" s="48"/>
      <c r="H1" s="48"/>
      <c r="I1" s="48"/>
      <c r="J1" s="48"/>
      <c r="K1" s="48"/>
      <c r="L1" s="48"/>
      <c r="M1" s="48"/>
      <c r="N1" s="48"/>
      <c r="O1" s="48"/>
      <c r="P1" s="48"/>
      <c r="Q1" s="48"/>
      <c r="R1" s="48"/>
      <c r="S1" s="48"/>
      <c r="T1" s="48"/>
      <c r="U1" s="48"/>
      <c r="V1" s="48"/>
      <c r="W1" s="3"/>
      <c r="X1" s="3"/>
      <c r="Y1" s="3"/>
      <c r="Z1" s="3"/>
      <c r="AA1" s="3"/>
      <c r="AB1" s="3"/>
    </row>
    <row r="2" spans="1:28" ht="25.5" x14ac:dyDescent="0.35">
      <c r="A2" s="3"/>
      <c r="B2" s="7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7" t="s">
        <v>489</v>
      </c>
      <c r="B7" s="6"/>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7"/>
      <c r="J8" s="7"/>
      <c r="K8" s="7"/>
      <c r="L8" s="7"/>
      <c r="M8" s="7"/>
      <c r="N8" s="7"/>
      <c r="O8" s="3"/>
      <c r="P8" s="3"/>
      <c r="Q8" s="3"/>
      <c r="R8" s="3"/>
      <c r="S8" s="3"/>
      <c r="T8" s="3"/>
      <c r="U8" s="3"/>
      <c r="V8" s="3"/>
      <c r="W8" s="3"/>
      <c r="Y8" s="3"/>
      <c r="Z8" s="3"/>
      <c r="AA8" s="3"/>
      <c r="AB8" s="3"/>
    </row>
    <row r="9" spans="1:28" x14ac:dyDescent="0.25">
      <c r="A9" s="49"/>
      <c r="B9" s="50" t="s">
        <v>1</v>
      </c>
      <c r="C9" s="50" t="s">
        <v>1</v>
      </c>
      <c r="D9" s="50" t="s">
        <v>1</v>
      </c>
      <c r="E9" s="50" t="s">
        <v>2</v>
      </c>
      <c r="F9" s="50" t="s">
        <v>2</v>
      </c>
      <c r="G9" s="50" t="s">
        <v>2</v>
      </c>
      <c r="H9" s="50" t="s">
        <v>3</v>
      </c>
      <c r="I9" s="50" t="s">
        <v>3</v>
      </c>
      <c r="J9" s="50" t="s">
        <v>4</v>
      </c>
      <c r="K9" s="50" t="s">
        <v>5</v>
      </c>
      <c r="L9" s="50" t="s">
        <v>5</v>
      </c>
      <c r="M9" s="50" t="s">
        <v>5</v>
      </c>
      <c r="N9" s="50" t="s">
        <v>6</v>
      </c>
      <c r="O9" s="50" t="s">
        <v>6</v>
      </c>
      <c r="P9" s="50" t="s">
        <v>6</v>
      </c>
      <c r="Q9" s="50" t="s">
        <v>303</v>
      </c>
      <c r="R9" s="50" t="s">
        <v>7</v>
      </c>
      <c r="S9" s="50" t="s">
        <v>392</v>
      </c>
      <c r="T9" s="50" t="s">
        <v>8</v>
      </c>
      <c r="U9" s="50" t="s">
        <v>9</v>
      </c>
      <c r="V9" s="50" t="s">
        <v>10</v>
      </c>
      <c r="W9" s="50" t="s">
        <v>11</v>
      </c>
      <c r="X9" s="50" t="s">
        <v>14</v>
      </c>
      <c r="Y9" s="51" t="s">
        <v>15</v>
      </c>
    </row>
    <row r="10" spans="1:28" ht="51.75" x14ac:dyDescent="0.25">
      <c r="A10" s="52"/>
      <c r="B10" s="53" t="s">
        <v>16</v>
      </c>
      <c r="C10" s="53" t="s">
        <v>17</v>
      </c>
      <c r="D10" s="53" t="s">
        <v>18</v>
      </c>
      <c r="E10" s="53" t="s">
        <v>19</v>
      </c>
      <c r="F10" s="53" t="s">
        <v>20</v>
      </c>
      <c r="G10" s="53" t="s">
        <v>21</v>
      </c>
      <c r="H10" s="53" t="s">
        <v>492</v>
      </c>
      <c r="I10" s="53" t="s">
        <v>380</v>
      </c>
      <c r="J10" s="54" t="s">
        <v>494</v>
      </c>
      <c r="K10" s="53" t="s">
        <v>381</v>
      </c>
      <c r="L10" s="53" t="s">
        <v>382</v>
      </c>
      <c r="M10" s="53" t="s">
        <v>22</v>
      </c>
      <c r="N10" s="53" t="s">
        <v>383</v>
      </c>
      <c r="O10" s="53" t="s">
        <v>384</v>
      </c>
      <c r="P10" s="53" t="s">
        <v>23</v>
      </c>
      <c r="Q10" s="53" t="s">
        <v>385</v>
      </c>
      <c r="R10" s="53" t="s">
        <v>20</v>
      </c>
      <c r="S10" s="53" t="s">
        <v>386</v>
      </c>
      <c r="T10" s="53" t="s">
        <v>24</v>
      </c>
      <c r="U10" s="53" t="s">
        <v>25</v>
      </c>
      <c r="V10" s="53" t="s">
        <v>493</v>
      </c>
      <c r="W10" s="53" t="s">
        <v>26</v>
      </c>
      <c r="X10" s="53" t="s">
        <v>28</v>
      </c>
      <c r="Y10" s="54" t="s">
        <v>29</v>
      </c>
    </row>
    <row r="11" spans="1:28" x14ac:dyDescent="0.25">
      <c r="A11" s="46" t="s">
        <v>406</v>
      </c>
      <c r="B11" s="46">
        <f>INDEX(CIBC_rates!$B$2:$E$3,MATCH(VALUE(LEFT(A11,FIND(" ",A11)-1)),CIBC_rates!$E$2:$E$3,1),2)*100</f>
        <v>1</v>
      </c>
      <c r="C11" s="45">
        <f>INDEX(CIBC_rates!$B$4:$E$5,MATCH(VALUE(LEFT(A11,FIND(" ",A11)-1)),CIBC_rates!$E$4:$E$5,1),2)*100</f>
        <v>0.1</v>
      </c>
      <c r="D11" s="45">
        <f>INDEX(CIBC_rates!$B$6:$E$6,MATCH(VALUE(LEFT(A11,FIND(" ",A11)-1)),CIBC_rates!$E$6:$E$6,1),2)*100</f>
        <v>0.05</v>
      </c>
      <c r="E11" s="45">
        <f>INDEX(TD_rates!$B$4:$E$9,MATCH(VALUE(LEFT(A11,FIND(" ",A11)-1)),TD_rates!$E$4:$E$9,1),2)*100</f>
        <v>0.05</v>
      </c>
      <c r="F11" s="44">
        <f>INDEX(TD_rates!$B$11:$E$16,MATCH(VALUE(LEFT(A11,FIND(" ",A11)-1)),TD_rates!$E$11:$E$16,1),2)*100</f>
        <v>0.5</v>
      </c>
      <c r="G11" s="46">
        <f>INDEX(TD_rates!$B$18:$E$23,MATCH(VALUE(LEFT(A11,FIND(" ",A11)-1)),TD_rates!$E$18:$E$23,1),2)*100</f>
        <v>1.05</v>
      </c>
      <c r="H11" s="44">
        <f>INDEX(BMO_rates!$B$2:$E$4,MATCH(VALUE(LEFT(A11,FIND(" ",A11)-1)),BMO_rates!$E$2:$E$4,1),2)*100</f>
        <v>0.2</v>
      </c>
      <c r="I11" s="46">
        <f>INDEX(BMO_rates!$B$5:$E$6,MATCH(VALUE(LEFT(A11,FIND(" ",A11)-1)),BMO_rates!$E$5:$E$6,1),2)*100</f>
        <v>0.8</v>
      </c>
      <c r="J11" s="44">
        <f>INDEX(BMO_rates!$B$7:$E$8,MATCH(VALUE(LEFT(A11,FIND(" ",A11)-1)),BMO_rates!$E$7:$E$8,1),2)*100</f>
        <v>0.05</v>
      </c>
      <c r="K11" s="44" t="str">
        <f>(BNS_Rates!$D$36)*100 &amp; " + " &amp; (BNS_Rates!$E$35)*100 &amp; ", "&amp; (BNS_Rates!$E$34)*100 &amp; ", "&amp; (BNS_Rates!$E$33)*100 &amp; ", "&amp; (BNS_Rates!$E$32)*100</f>
        <v>1 + 0.6, 0.7, 0.85, 1</v>
      </c>
      <c r="L11" s="46">
        <f>INDEX(BNS_Rates!$B$28:$G$29,MATCH(VALUE(LEFT(A11,FIND(" ",A11)-1)),BNS_Rates!$G$28:$G$29,1),2)*100</f>
        <v>0.05</v>
      </c>
      <c r="M11" s="46">
        <f>INDEX(BNS_Rates!$B$25:$G$27,MATCH(VALUE(LEFT(A11,FIND(" ",A11)-1)),BNS_Rates!$G$25:$G$27,1),2)*100</f>
        <v>1.0999999999999999</v>
      </c>
      <c r="N11" s="46" t="str">
        <f>INDEX(RBC_Rates!$B$158:$E$158,MATCH(VALUE(LEFT(A11,FIND(" ",A11)-1)),RBC_Rates!$E$158,1),2)</f>
        <v>1.000</v>
      </c>
      <c r="O11" s="46" t="str">
        <f>INDEX(RBC_Rates!$B$150:$E$157,MATCH(VALUE(LEFT(A11,FIND(" ",A11)-1)),RBC_Rates!$E$150:$E$157,1),2)</f>
        <v>0.150 P</v>
      </c>
      <c r="P11" s="46" t="str">
        <f>INDEX(RBC_Rates!$B$146:$E$149,MATCH(VALUE(LEFT(A11,FIND(" ",A11)-1)),RBC_Rates!$E$146:$E$149,1),2)</f>
        <v>0.010 P</v>
      </c>
      <c r="Q11" s="61">
        <v>1.1499999999999999</v>
      </c>
      <c r="R11" s="46">
        <f>Simplii_rates!$C$11</f>
        <v>1.15E-2</v>
      </c>
      <c r="S11" s="45">
        <f>LEFT((ICICI_rates!$B$3),5)*100</f>
        <v>1.6</v>
      </c>
      <c r="T11" s="45">
        <f>(NBC_rates!$C$28)*100</f>
        <v>1</v>
      </c>
      <c r="U11" s="46">
        <f>(Manulife_rates!$C$7)*100</f>
        <v>1.5</v>
      </c>
      <c r="V11" s="44">
        <f>(HSBC_rates!$C$5)*100</f>
        <v>1.1499999999999999</v>
      </c>
      <c r="W11" s="44">
        <f>(CT_rates!$B$2)*100</f>
        <v>1.5</v>
      </c>
      <c r="X11" s="46">
        <f>(Meridian_rates!$A$2)*100</f>
        <v>2.85</v>
      </c>
      <c r="Y11" s="9">
        <f>(EQ_rates!$B$2)*100</f>
        <v>2.2999999999999998</v>
      </c>
    </row>
    <row r="12" spans="1:28" x14ac:dyDescent="0.25">
      <c r="A12" s="44" t="s">
        <v>407</v>
      </c>
      <c r="B12" s="44">
        <f>INDEX(CIBC_rates!$B$2:$E$3,MATCH(VALUE(LEFT(A12,FIND(" ",A12)-1)),CIBC_rates!$E$2:$E$3,1),2)*100</f>
        <v>1</v>
      </c>
      <c r="C12" s="45">
        <f>INDEX(CIBC_rates!$B$4:$E$5,MATCH(VALUE(LEFT(A12,FIND(" ",A12)-1)),CIBC_rates!$E$4:$E$5,1),2)*100</f>
        <v>0.1</v>
      </c>
      <c r="D12" s="45">
        <f>INDEX(CIBC_rates!$B$6:$E$6,MATCH(VALUE(LEFT(A12,FIND(" ",A12)-1)),CIBC_rates!$E$6:$E$6,1),2)*100</f>
        <v>0.05</v>
      </c>
      <c r="E12" s="45">
        <f>INDEX(TD_rates!$B$4:$E$9,MATCH(VALUE(LEFT(A12,FIND(" ",A12)-1)),TD_rates!$E$4:$E$9,1),2)*100</f>
        <v>0.05</v>
      </c>
      <c r="F12" s="44">
        <f>INDEX(TD_rates!$B$11:$E$16,MATCH(VALUE(LEFT(A12,FIND(" ",A12)-1)),TD_rates!$E$11:$E$16,1),2)*100</f>
        <v>0.5</v>
      </c>
      <c r="G12" s="44">
        <f>INDEX(TD_rates!$B$18:$E$23,MATCH(VALUE(LEFT(A12,FIND(" ",A12)-1)),TD_rates!$E$18:$E$23,1),2)*100</f>
        <v>1.05</v>
      </c>
      <c r="H12" s="44">
        <f>INDEX(BMO_rates!$B$2:$E$4,MATCH(VALUE(LEFT(A12,FIND(" ",A12)-1)),BMO_rates!$E$2:$E$4,1),2)*100</f>
        <v>1.6</v>
      </c>
      <c r="I12" s="46">
        <f>INDEX(BMO_rates!$B$5:$E$6,MATCH(VALUE(LEFT(A12,FIND(" ",A12)-1)),BMO_rates!$E$5:$E$6,1),2)*100</f>
        <v>0.8</v>
      </c>
      <c r="J12" s="44">
        <f>INDEX(BMO_rates!$B$7:$E$8,MATCH(VALUE(LEFT(A12,FIND(" ",A12)-1)),BMO_rates!$E$7:$E$8,1),2)*100</f>
        <v>0.05</v>
      </c>
      <c r="K12" s="44" t="str">
        <f>(BNS_Rates!$D$36)*100 &amp; " + " &amp; (BNS_Rates!$E$35)*100 &amp; ", "&amp; (BNS_Rates!$E$34)*100 &amp; ", "&amp; (BNS_Rates!$E$33)*100 &amp; ", "&amp; (BNS_Rates!$E$32)*100</f>
        <v>1 + 0.6, 0.7, 0.85, 1</v>
      </c>
      <c r="L12" s="46">
        <f>INDEX(BNS_Rates!$B$28:$G$29,MATCH(VALUE(LEFT(A12,FIND(" ",A12)-1)),BNS_Rates!$G$28:$G$29,1),2)*100</f>
        <v>0.05</v>
      </c>
      <c r="M12" s="46">
        <f>INDEX(BNS_Rates!$B$25:$G$27,MATCH(VALUE(LEFT(A12,FIND(" ",A12)-1)),BNS_Rates!$G$25:$G$27,1),2)*100</f>
        <v>1</v>
      </c>
      <c r="N12" s="44" t="str">
        <f>INDEX(RBC_Rates!$B$158:$E$158,MATCH(VALUE(LEFT(A12,FIND(" ",A12)-1)),RBC_Rates!$E$158,1),2)</f>
        <v>1.000</v>
      </c>
      <c r="O12" s="44" t="str">
        <f>INDEX(RBC_Rates!$B$150:$E$157,MATCH(VALUE(LEFT(A12,FIND(" ",A12)-1)),RBC_Rates!$E$150:$E$157,1),2)</f>
        <v>0.150 P</v>
      </c>
      <c r="P12" s="45" t="str">
        <f>INDEX(RBC_Rates!$B$146:$E$149,MATCH(VALUE(LEFT(A12,FIND(" ",A12)-1)),RBC_Rates!$E$146:$E$149,1),2)</f>
        <v>0.010 P</v>
      </c>
      <c r="Q12" s="61">
        <f>$Q$11</f>
        <v>1.1499999999999999</v>
      </c>
      <c r="R12" s="46">
        <f>Simplii_rates!$C$11</f>
        <v>1.15E-2</v>
      </c>
      <c r="S12" s="45">
        <f>LEFT((ICICI_rates!$B$3),5)*100</f>
        <v>1.6</v>
      </c>
      <c r="T12" s="45">
        <f>(NBC_rates!$C$28)*100</f>
        <v>1</v>
      </c>
      <c r="U12" s="46">
        <f>(Manulife_rates!$C$7)*100</f>
        <v>1.5</v>
      </c>
      <c r="V12" s="44">
        <f>(HSBC_rates!$C$5)*100</f>
        <v>1.1499999999999999</v>
      </c>
      <c r="W12" s="44">
        <f>(CT_rates!$B$2)*100</f>
        <v>1.5</v>
      </c>
      <c r="X12" s="46">
        <f>(Meridian_rates!$A$2)*100</f>
        <v>2.85</v>
      </c>
      <c r="Y12" s="9">
        <f>(EQ_rates!$B$2)*100</f>
        <v>2.2999999999999998</v>
      </c>
    </row>
    <row r="13" spans="1:28" x14ac:dyDescent="0.25">
      <c r="A13" s="44" t="s">
        <v>408</v>
      </c>
      <c r="B13" s="44">
        <f>INDEX(CIBC_rates!$B$2:$E$3,MATCH(VALUE(LEFT(A13,FIND(" ",A13)-1)),CIBC_rates!$E$2:$E$3,1),2)*100</f>
        <v>1</v>
      </c>
      <c r="C13" s="45">
        <f>INDEX(CIBC_rates!$B$4:$E$5,MATCH(VALUE(LEFT(A13,FIND(" ",A13)-1)),CIBC_rates!$E$4:$E$5,1),2)*100</f>
        <v>0.1</v>
      </c>
      <c r="D13" s="45">
        <f>INDEX(CIBC_rates!$B$6:$E$6,MATCH(VALUE(LEFT(A13,FIND(" ",A13)-1)),CIBC_rates!$E$6:$E$6,1),2)*100</f>
        <v>0.05</v>
      </c>
      <c r="E13" s="45">
        <f>INDEX(TD_rates!$B$4:$E$9,MATCH(VALUE(LEFT(A13,FIND(" ",A13)-1)),TD_rates!$E$4:$E$9,1),2)*100</f>
        <v>0.05</v>
      </c>
      <c r="F13" s="44">
        <f>INDEX(TD_rates!$B$11:$E$16,MATCH(VALUE(LEFT(A13,FIND(" ",A13)-1)),TD_rates!$E$11:$E$16,1),2)*100</f>
        <v>0.5</v>
      </c>
      <c r="G13" s="44">
        <f>INDEX(TD_rates!$B$18:$E$23,MATCH(VALUE(LEFT(A13,FIND(" ",A13)-1)),TD_rates!$E$18:$E$23,1),2)*100</f>
        <v>1.05</v>
      </c>
      <c r="H13" s="44">
        <f>INDEX(BMO_rates!$B$2:$E$4,MATCH(VALUE(LEFT(A13,FIND(" ",A13)-1)),BMO_rates!$E$2:$E$4,1),2)*100</f>
        <v>1.6</v>
      </c>
      <c r="I13" s="46">
        <f>INDEX(BMO_rates!$B$5:$E$6,MATCH(VALUE(LEFT(A13,FIND(" ",A13)-1)),BMO_rates!$E$5:$E$6,1),2)*100</f>
        <v>0.8</v>
      </c>
      <c r="J13" s="44">
        <f>INDEX(BMO_rates!$B$7:$E$8,MATCH(VALUE(LEFT(A13,FIND(" ",A13)-1)),BMO_rates!$E$7:$E$8,1),2)*100</f>
        <v>0.05</v>
      </c>
      <c r="K13" s="44" t="str">
        <f>(BNS_Rates!$D$36)*100 &amp; " + " &amp; (BNS_Rates!$E$35)*100 &amp; ", "&amp; (BNS_Rates!$E$34)*100 &amp; ", "&amp; (BNS_Rates!$E$33)*100 &amp; ", "&amp; (BNS_Rates!$E$32)*100</f>
        <v>1 + 0.6, 0.7, 0.85, 1</v>
      </c>
      <c r="L13" s="46">
        <f>INDEX(BNS_Rates!$B$28:$G$29,MATCH(VALUE(LEFT(A13,FIND(" ",A13)-1)),BNS_Rates!$G$28:$G$29,1),2)*100</f>
        <v>0.05</v>
      </c>
      <c r="M13" s="46">
        <f>INDEX(BNS_Rates!$B$25:$G$27,MATCH(VALUE(LEFT(A13,FIND(" ",A13)-1)),BNS_Rates!$G$25:$G$27,1),2)*100</f>
        <v>1</v>
      </c>
      <c r="N13" s="44" t="str">
        <f>INDEX(RBC_Rates!$B$158:$E$158,MATCH(VALUE(LEFT(A13,FIND(" ",A13)-1)),RBC_Rates!$E$158,1),2)</f>
        <v>1.000</v>
      </c>
      <c r="O13" s="44" t="str">
        <f>INDEX(RBC_Rates!$B$150:$E$157,MATCH(VALUE(LEFT(A13,FIND(" ",A13)-1)),RBC_Rates!$E$150:$E$157,1),2)</f>
        <v>0.050 P</v>
      </c>
      <c r="P13" s="45" t="str">
        <f>INDEX(RBC_Rates!$B$146:$E$149,MATCH(VALUE(LEFT(A13,FIND(" ",A13)-1)),RBC_Rates!$E$146:$E$149,1),2)</f>
        <v>0.010 P</v>
      </c>
      <c r="Q13" s="61">
        <f t="shared" ref="Q13:Q21" si="0">$Q$11</f>
        <v>1.1499999999999999</v>
      </c>
      <c r="R13" s="46">
        <f>Simplii_rates!$C$11</f>
        <v>1.15E-2</v>
      </c>
      <c r="S13" s="45">
        <f>LEFT((ICICI_rates!$B$3),5)*100</f>
        <v>1.6</v>
      </c>
      <c r="T13" s="45">
        <f>(NBC_rates!$C$28)*100</f>
        <v>1</v>
      </c>
      <c r="U13" s="46">
        <f>(Manulife_rates!$C$7)*100</f>
        <v>1.5</v>
      </c>
      <c r="V13" s="44">
        <f>(HSBC_rates!$C$5)*100</f>
        <v>1.1499999999999999</v>
      </c>
      <c r="W13" s="44">
        <f>(CT_rates!$B$2)*100</f>
        <v>1.5</v>
      </c>
      <c r="X13" s="46">
        <f>(Meridian_rates!$A$2)*100</f>
        <v>2.85</v>
      </c>
      <c r="Y13" s="9">
        <f>(EQ_rates!$B$2)*100</f>
        <v>2.2999999999999998</v>
      </c>
    </row>
    <row r="14" spans="1:28" x14ac:dyDescent="0.25">
      <c r="A14" s="44" t="s">
        <v>409</v>
      </c>
      <c r="B14" s="44">
        <f>INDEX(CIBC_rates!$B$2:$E$3,MATCH(VALUE(LEFT(A14,FIND(" ",A14)-1)),CIBC_rates!$E$2:$E$3,1),2)*100</f>
        <v>1</v>
      </c>
      <c r="C14" s="45">
        <f>INDEX(CIBC_rates!$B$4:$E$5,MATCH(VALUE(LEFT(A14,FIND(" ",A14)-1)),CIBC_rates!$E$4:$E$5,1),2)*100</f>
        <v>0.1</v>
      </c>
      <c r="D14" s="45">
        <f>INDEX(CIBC_rates!$B$6:$E$6,MATCH(VALUE(LEFT(A14,FIND(" ",A14)-1)),CIBC_rates!$E$6:$E$6,1),2)*100</f>
        <v>0.05</v>
      </c>
      <c r="E14" s="45">
        <f>INDEX(TD_rates!$B$4:$E$9,MATCH(VALUE(LEFT(A14,FIND(" ",A14)-1)),TD_rates!$E$4:$E$9,1),2)*100</f>
        <v>0.05</v>
      </c>
      <c r="F14" s="44">
        <f>INDEX(TD_rates!$B$11:$E$16,MATCH(VALUE(LEFT(A14,FIND(" ",A14)-1)),TD_rates!$E$11:$E$16,1),2)*100</f>
        <v>0.5</v>
      </c>
      <c r="G14" s="44">
        <f>INDEX(TD_rates!$B$18:$E$23,MATCH(VALUE(LEFT(A14,FIND(" ",A14)-1)),TD_rates!$E$18:$E$23,1),2)*100</f>
        <v>1.05</v>
      </c>
      <c r="H14" s="44">
        <f>INDEX(BMO_rates!$B$2:$E$4,MATCH(VALUE(LEFT(A14,FIND(" ",A14)-1)),BMO_rates!$E$2:$E$4,1),2)*100</f>
        <v>1.6</v>
      </c>
      <c r="I14" s="46">
        <f>INDEX(BMO_rates!$B$5:$E$6,MATCH(VALUE(LEFT(A14,FIND(" ",A14)-1)),BMO_rates!$E$5:$E$6,1),2)*100</f>
        <v>0.8</v>
      </c>
      <c r="J14" s="44">
        <f>INDEX(BMO_rates!$B$7:$E$8,MATCH(VALUE(LEFT(A14,FIND(" ",A14)-1)),BMO_rates!$E$7:$E$8,1),2)*100</f>
        <v>0.05</v>
      </c>
      <c r="K14" s="44" t="str">
        <f>(BNS_Rates!$D$36)*100 &amp; " + " &amp; (BNS_Rates!$E$35)*100 &amp; ", "&amp; (BNS_Rates!$E$34)*100 &amp; ", "&amp; (BNS_Rates!$E$33)*100 &amp; ", "&amp; (BNS_Rates!$E$32)*100</f>
        <v>1 + 0.6, 0.7, 0.85, 1</v>
      </c>
      <c r="L14" s="46">
        <f>INDEX(BNS_Rates!$B$28:$G$29,MATCH(VALUE(LEFT(A14,FIND(" ",A14)-1)),BNS_Rates!$G$28:$G$29,1),2)*100</f>
        <v>0.05</v>
      </c>
      <c r="M14" s="46">
        <f>INDEX(BNS_Rates!$B$25:$G$27,MATCH(VALUE(LEFT(A14,FIND(" ",A14)-1)),BNS_Rates!$G$25:$G$27,1),2)*100</f>
        <v>1</v>
      </c>
      <c r="N14" s="44" t="str">
        <f>INDEX(RBC_Rates!$B$158:$E$158,MATCH(VALUE(LEFT(A14,FIND(" ",A14)-1)),RBC_Rates!$E$158,1),2)</f>
        <v>1.000</v>
      </c>
      <c r="O14" s="44" t="str">
        <f>INDEX(RBC_Rates!$B$150:$E$157,MATCH(VALUE(LEFT(A14,FIND(" ",A14)-1)),RBC_Rates!$E$150:$E$157,1),2)</f>
        <v>0.025 P</v>
      </c>
      <c r="P14" s="45" t="str">
        <f>INDEX(RBC_Rates!$B$146:$E$149,MATCH(VALUE(LEFT(A14,FIND(" ",A14)-1)),RBC_Rates!$E$146:$E$149,1),2)</f>
        <v>0.010 P</v>
      </c>
      <c r="Q14" s="61">
        <f t="shared" si="0"/>
        <v>1.1499999999999999</v>
      </c>
      <c r="R14" s="46">
        <f>Simplii_rates!$C$11</f>
        <v>1.15E-2</v>
      </c>
      <c r="S14" s="45">
        <f>LEFT((ICICI_rates!$B$3),5)*100</f>
        <v>1.6</v>
      </c>
      <c r="T14" s="45">
        <f>(NBC_rates!$C$28)*100</f>
        <v>1</v>
      </c>
      <c r="U14" s="46">
        <f>(Manulife_rates!$C$7)*100</f>
        <v>1.5</v>
      </c>
      <c r="V14" s="44">
        <f>(HSBC_rates!$C$5)*100</f>
        <v>1.1499999999999999</v>
      </c>
      <c r="W14" s="44">
        <f>(CT_rates!$B$2)*100</f>
        <v>1.5</v>
      </c>
      <c r="X14" s="46">
        <f>(Meridian_rates!$A$2)*100</f>
        <v>2.85</v>
      </c>
      <c r="Y14" s="9">
        <f>(EQ_rates!$B$2)*100</f>
        <v>2.2999999999999998</v>
      </c>
    </row>
    <row r="15" spans="1:28" x14ac:dyDescent="0.25">
      <c r="A15" s="44" t="s">
        <v>410</v>
      </c>
      <c r="B15" s="44">
        <f>INDEX(CIBC_rates!$B$2:$E$3,MATCH(VALUE(LEFT(A15,FIND(" ",A15)-1)),CIBC_rates!$E$2:$E$3,1),2)*100</f>
        <v>1</v>
      </c>
      <c r="C15" s="45">
        <f>INDEX(CIBC_rates!$B$4:$E$5,MATCH(VALUE(LEFT(A15,FIND(" ",A15)-1)),CIBC_rates!$E$4:$E$5,1),2)*100</f>
        <v>0.1</v>
      </c>
      <c r="D15" s="45">
        <f>INDEX(CIBC_rates!$B$6:$E$6,MATCH(VALUE(LEFT(A15,FIND(" ",A15)-1)),CIBC_rates!$E$6:$E$6,1),2)*100</f>
        <v>0.05</v>
      </c>
      <c r="E15" s="45">
        <f>INDEX(TD_rates!$B$4:$E$9,MATCH(VALUE(LEFT(A15,FIND(" ",A15)-1)),TD_rates!$E$4:$E$9,1),2)*100</f>
        <v>0.05</v>
      </c>
      <c r="F15" s="44">
        <f>INDEX(TD_rates!$B$11:$E$16,MATCH(VALUE(LEFT(A15,FIND(" ",A15)-1)),TD_rates!$E$11:$E$16,1),2)*100</f>
        <v>0.5</v>
      </c>
      <c r="G15" s="44">
        <f>INDEX(TD_rates!$B$18:$E$23,MATCH(VALUE(LEFT(A15,FIND(" ",A15)-1)),TD_rates!$E$18:$E$23,1),2)*100</f>
        <v>1.05</v>
      </c>
      <c r="H15" s="44">
        <f>INDEX(BMO_rates!$B$2:$E$4,MATCH(VALUE(LEFT(A15,FIND(" ",A15)-1)),BMO_rates!$E$2:$E$4,1),2)*100</f>
        <v>1.6</v>
      </c>
      <c r="I15" s="46">
        <f>INDEX(BMO_rates!$B$5:$E$6,MATCH(VALUE(LEFT(A15,FIND(" ",A15)-1)),BMO_rates!$E$5:$E$6,1),2)*100</f>
        <v>0.8</v>
      </c>
      <c r="J15" s="44">
        <f>INDEX(BMO_rates!$B$7:$E$8,MATCH(VALUE(LEFT(A15,FIND(" ",A15)-1)),BMO_rates!$E$7:$E$8,1),2)*100</f>
        <v>0.05</v>
      </c>
      <c r="K15" s="44" t="str">
        <f>(BNS_Rates!$D$36)*100 &amp; " + " &amp; (BNS_Rates!$E$35)*100 &amp; ", "&amp; (BNS_Rates!$E$34)*100 &amp; ", "&amp; (BNS_Rates!$E$33)*100 &amp; ", "&amp; (BNS_Rates!$E$32)*100</f>
        <v>1 + 0.6, 0.7, 0.85, 1</v>
      </c>
      <c r="L15" s="46">
        <f>INDEX(BNS_Rates!$B$28:$G$29,MATCH(VALUE(LEFT(A15,FIND(" ",A15)-1)),BNS_Rates!$G$28:$G$29,1),2)*100</f>
        <v>0.05</v>
      </c>
      <c r="M15" s="46">
        <f>INDEX(BNS_Rates!$B$25:$G$27,MATCH(VALUE(LEFT(A15,FIND(" ",A15)-1)),BNS_Rates!$G$25:$G$27,1),2)*100</f>
        <v>1</v>
      </c>
      <c r="N15" s="44" t="str">
        <f>INDEX(RBC_Rates!$B$158:$E$158,MATCH(VALUE(LEFT(A15,FIND(" ",A15)-1)),RBC_Rates!$E$158,1),2)</f>
        <v>1.000</v>
      </c>
      <c r="O15" s="44" t="str">
        <f>INDEX(RBC_Rates!$B$150:$E$157,MATCH(VALUE(LEFT(A15,FIND(" ",A15)-1)),RBC_Rates!$E$150:$E$157,1),2)</f>
        <v>0.010</v>
      </c>
      <c r="P15" s="45" t="str">
        <f>INDEX(RBC_Rates!$B$146:$E$149,MATCH(VALUE(LEFT(A15,FIND(" ",A15)-1)),RBC_Rates!$E$146:$E$149,1),2)</f>
        <v>0.010 P</v>
      </c>
      <c r="Q15" s="61">
        <f t="shared" si="0"/>
        <v>1.1499999999999999</v>
      </c>
      <c r="R15" s="46">
        <f>Simplii_rates!$C$11</f>
        <v>1.15E-2</v>
      </c>
      <c r="S15" s="45">
        <f>LEFT((ICICI_rates!$B$3),5)*100</f>
        <v>1.6</v>
      </c>
      <c r="T15" s="45">
        <f>(NBC_rates!$C$28)*100</f>
        <v>1</v>
      </c>
      <c r="U15" s="46">
        <f>(Manulife_rates!$C$7)*100</f>
        <v>1.5</v>
      </c>
      <c r="V15" s="44">
        <f>(HSBC_rates!$C$5)*100</f>
        <v>1.1499999999999999</v>
      </c>
      <c r="W15" s="44">
        <f>(CT_rates!$B$2)*100</f>
        <v>1.5</v>
      </c>
      <c r="X15" s="46">
        <f>(Meridian_rates!$A$2)*100</f>
        <v>2.85</v>
      </c>
      <c r="Y15" s="9">
        <f>(EQ_rates!$B$2)*100</f>
        <v>2.2999999999999998</v>
      </c>
    </row>
    <row r="16" spans="1:28" x14ac:dyDescent="0.25">
      <c r="A16" s="44" t="s">
        <v>411</v>
      </c>
      <c r="B16" s="44">
        <f>INDEX(CIBC_rates!$B$2:$E$3,MATCH(VALUE(LEFT(A16,FIND(" ",A16)-1)),CIBC_rates!$E$2:$E$3,1),2)*100</f>
        <v>1</v>
      </c>
      <c r="C16" s="45">
        <f>INDEX(CIBC_rates!$B$4:$E$5,MATCH(VALUE(LEFT(A16,FIND(" ",A16)-1)),CIBC_rates!$E$4:$E$5,1),2)*100</f>
        <v>0.1</v>
      </c>
      <c r="D16" s="45">
        <f>INDEX(CIBC_rates!$B$6:$E$6,MATCH(VALUE(LEFT(A16,FIND(" ",A16)-1)),CIBC_rates!$E$6:$E$6,1),2)*100</f>
        <v>0.05</v>
      </c>
      <c r="E16" s="45">
        <f>INDEX(TD_rates!$B$4:$E$9,MATCH(VALUE(LEFT(A16,FIND(" ",A16)-1)),TD_rates!$E$4:$E$9,1),2)*100</f>
        <v>0.05</v>
      </c>
      <c r="F16" s="44">
        <f>INDEX(TD_rates!$B$11:$E$16,MATCH(VALUE(LEFT(A16,FIND(" ",A16)-1)),TD_rates!$E$11:$E$16,1),2)*100</f>
        <v>0.5</v>
      </c>
      <c r="G16" s="44">
        <f>INDEX(TD_rates!$B$18:$E$23,MATCH(VALUE(LEFT(A16,FIND(" ",A16)-1)),TD_rates!$E$18:$E$23,1),2)*100</f>
        <v>1.05</v>
      </c>
      <c r="H16" s="44">
        <f>INDEX(BMO_rates!$B$2:$E$4,MATCH(VALUE(LEFT(A16,FIND(" ",A16)-1)),BMO_rates!$E$2:$E$4,1),2)*100</f>
        <v>1.6</v>
      </c>
      <c r="I16" s="46">
        <f>INDEX(BMO_rates!$B$5:$E$6,MATCH(VALUE(LEFT(A16,FIND(" ",A16)-1)),BMO_rates!$E$5:$E$6,1),2)*100</f>
        <v>0.8</v>
      </c>
      <c r="J16" s="44">
        <f>INDEX(BMO_rates!$B$7:$E$8,MATCH(VALUE(LEFT(A16,FIND(" ",A16)-1)),BMO_rates!$E$7:$E$8,1),2)*100</f>
        <v>0.05</v>
      </c>
      <c r="K16" s="44" t="str">
        <f>(BNS_Rates!$D$36)*100 &amp; " + " &amp; (BNS_Rates!$E$35)*100 &amp; ", "&amp; (BNS_Rates!$E$34)*100 &amp; ", "&amp; (BNS_Rates!$E$33)*100 &amp; ", "&amp; (BNS_Rates!$E$32)*100</f>
        <v>1 + 0.6, 0.7, 0.85, 1</v>
      </c>
      <c r="L16" s="46">
        <f>INDEX(BNS_Rates!$B$28:$G$29,MATCH(VALUE(LEFT(A16,FIND(" ",A16)-1)),BNS_Rates!$G$28:$G$29,1),2)*100</f>
        <v>0.05</v>
      </c>
      <c r="M16" s="46">
        <f>INDEX(BNS_Rates!$B$25:$G$27,MATCH(VALUE(LEFT(A16,FIND(" ",A16)-1)),BNS_Rates!$G$25:$G$27,1),2)*100</f>
        <v>1</v>
      </c>
      <c r="N16" s="44" t="str">
        <f>INDEX(RBC_Rates!$B$158:$E$158,MATCH(VALUE(LEFT(A16,FIND(" ",A16)-1)),RBC_Rates!$E$158,1),2)</f>
        <v>1.000</v>
      </c>
      <c r="O16" s="44" t="str">
        <f>INDEX(RBC_Rates!$B$150:$E$157,MATCH(VALUE(LEFT(A16,FIND(" ",A16)-1)),RBC_Rates!$E$150:$E$157,1),2)</f>
        <v>0.010</v>
      </c>
      <c r="P16" s="45" t="str">
        <f>INDEX(RBC_Rates!$B$146:$E$149,MATCH(VALUE(LEFT(A16,FIND(" ",A16)-1)),RBC_Rates!$E$146:$E$149,1),2)</f>
        <v>0.010 P</v>
      </c>
      <c r="Q16" s="61">
        <f t="shared" si="0"/>
        <v>1.1499999999999999</v>
      </c>
      <c r="R16" s="46">
        <f>Simplii_rates!$C$11</f>
        <v>1.15E-2</v>
      </c>
      <c r="S16" s="45">
        <f>LEFT((ICICI_rates!$B$3),5)*100</f>
        <v>1.6</v>
      </c>
      <c r="T16" s="45">
        <f>(NBC_rates!$C$28)*100</f>
        <v>1</v>
      </c>
      <c r="U16" s="46">
        <f>(Manulife_rates!$C$7)*100</f>
        <v>1.5</v>
      </c>
      <c r="V16" s="44">
        <f>(HSBC_rates!$C$5)*100</f>
        <v>1.1499999999999999</v>
      </c>
      <c r="W16" s="44">
        <f>(CT_rates!$B$2)*100</f>
        <v>1.5</v>
      </c>
      <c r="X16" s="46">
        <f>(Meridian_rates!$A$2)*100</f>
        <v>2.85</v>
      </c>
      <c r="Y16" s="9">
        <f>(EQ_rates!$B$2)*100</f>
        <v>2.2999999999999998</v>
      </c>
    </row>
    <row r="17" spans="1:26" x14ac:dyDescent="0.25">
      <c r="A17" s="44" t="s">
        <v>38</v>
      </c>
      <c r="B17" s="44">
        <f>INDEX(CIBC_rates!$B$2:$E$3,MATCH(VALUE(LEFT(A17,FIND(" ",A17)-1)),CIBC_rates!$E$2:$E$3,1),2)*100</f>
        <v>1</v>
      </c>
      <c r="C17" s="45">
        <f>INDEX(CIBC_rates!$B$4:$E$5,MATCH(VALUE(LEFT(A17,FIND(" ",A17)-1)),CIBC_rates!$E$4:$E$5,1),2)*100</f>
        <v>0.1</v>
      </c>
      <c r="D17" s="45">
        <f>INDEX(CIBC_rates!$B$6:$E$6,MATCH(VALUE(LEFT(A17,FIND(" ",A17)-1)),CIBC_rates!$E$6:$E$6,1),2)*100</f>
        <v>0.05</v>
      </c>
      <c r="E17" s="45">
        <f>INDEX(TD_rates!$B$4:$E$9,MATCH(VALUE(LEFT(A17,FIND(" ",A17)-1)),TD_rates!$E$4:$E$9,1),2)*100</f>
        <v>0.05</v>
      </c>
      <c r="F17" s="44">
        <f>INDEX(TD_rates!$B$11:$E$16,MATCH(VALUE(LEFT(A17,FIND(" ",A17)-1)),TD_rates!$E$11:$E$16,1),2)*100</f>
        <v>0.5</v>
      </c>
      <c r="G17" s="44">
        <f>INDEX(TD_rates!$B$18:$E$23,MATCH(VALUE(LEFT(A17,FIND(" ",A17)-1)),TD_rates!$E$18:$E$23,1),2)*100</f>
        <v>1.05</v>
      </c>
      <c r="H17" s="44">
        <f>INDEX(BMO_rates!$B$2:$E$4,MATCH(VALUE(LEFT(A17,FIND(" ",A17)-1)),BMO_rates!$E$2:$E$4,1),2)*100</f>
        <v>1.6</v>
      </c>
      <c r="I17" s="46">
        <f>INDEX(BMO_rates!$B$5:$E$6,MATCH(VALUE(LEFT(A17,FIND(" ",A17)-1)),BMO_rates!$E$5:$E$6,1),2)*100</f>
        <v>0.8</v>
      </c>
      <c r="J17" s="44">
        <f>INDEX(BMO_rates!$B$7:$E$8,MATCH(VALUE(LEFT(A17,FIND(" ",A17)-1)),BMO_rates!$E$7:$E$8,1),2)*100</f>
        <v>0.05</v>
      </c>
      <c r="K17" s="44" t="str">
        <f>(BNS_Rates!$D$36)*100 &amp; " + " &amp; (BNS_Rates!$E$35)*100 &amp; ", "&amp; (BNS_Rates!$E$34)*100 &amp; ", "&amp; (BNS_Rates!$E$33)*100 &amp; ", "&amp; (BNS_Rates!$E$32)*100</f>
        <v>1 + 0.6, 0.7, 0.85, 1</v>
      </c>
      <c r="L17" s="46">
        <f>INDEX(BNS_Rates!$B$28:$G$29,MATCH(VALUE(LEFT(A17,FIND(" ",A17)-1)),BNS_Rates!$G$28:$G$29,1),2)*100</f>
        <v>0.05</v>
      </c>
      <c r="M17" s="46">
        <f>INDEX(BNS_Rates!$B$25:$G$27,MATCH(VALUE(LEFT(A17,FIND(" ",A17)-1)),BNS_Rates!$G$25:$G$27,1),2)*100</f>
        <v>1</v>
      </c>
      <c r="N17" s="44" t="str">
        <f>INDEX(RBC_Rates!$B$158:$E$158,MATCH(VALUE(LEFT(A17,FIND(" ",A17)-1)),RBC_Rates!$E$158,1),2)</f>
        <v>1.000</v>
      </c>
      <c r="O17" s="44" t="str">
        <f>INDEX(RBC_Rates!$B$150:$E$157,MATCH(VALUE(LEFT(A17,FIND(" ",A17)-1)),RBC_Rates!$E$150:$E$157,1),2)</f>
        <v>0.005</v>
      </c>
      <c r="P17" s="45" t="str">
        <f>INDEX(RBC_Rates!$B$146:$E$149,MATCH(VALUE(LEFT(A17,FIND(" ",A17)-1)),RBC_Rates!$E$146:$E$149,1),2)</f>
        <v>0.010 P</v>
      </c>
      <c r="Q17" s="61">
        <f t="shared" si="0"/>
        <v>1.1499999999999999</v>
      </c>
      <c r="R17" s="46">
        <f>Simplii_rates!$C$11</f>
        <v>1.15E-2</v>
      </c>
      <c r="S17" s="45">
        <f>LEFT((ICICI_rates!$B$3),5)*100</f>
        <v>1.6</v>
      </c>
      <c r="T17" s="45">
        <f>(NBC_rates!$C$28)*100</f>
        <v>1</v>
      </c>
      <c r="U17" s="46">
        <f>(Manulife_rates!$C$7)*100</f>
        <v>1.5</v>
      </c>
      <c r="V17" s="44">
        <f>(HSBC_rates!$C$5)*100</f>
        <v>1.1499999999999999</v>
      </c>
      <c r="W17" s="44">
        <f>(CT_rates!$B$2)*100</f>
        <v>1.5</v>
      </c>
      <c r="X17" s="46">
        <f>(Meridian_rates!$A$2)*100</f>
        <v>2.85</v>
      </c>
      <c r="Y17" s="9">
        <f>(EQ_rates!$B$2)*100</f>
        <v>2.2999999999999998</v>
      </c>
    </row>
    <row r="18" spans="1:26" x14ac:dyDescent="0.25">
      <c r="A18" s="44" t="s">
        <v>39</v>
      </c>
      <c r="B18" s="44">
        <f>INDEX(CIBC_rates!$B$2:$E$3,MATCH(VALUE(LEFT(A18,FIND(" ",A18)-1)),CIBC_rates!$E$2:$E$3,1),2)*100</f>
        <v>1</v>
      </c>
      <c r="C18" s="45">
        <f>INDEX(CIBC_rates!$B$4:$E$5,MATCH(VALUE(LEFT(A18,FIND(" ",A18)-1)),CIBC_rates!$E$4:$E$5,1),2)*100</f>
        <v>0.1</v>
      </c>
      <c r="D18" s="45">
        <f>INDEX(CIBC_rates!$B$6:$E$6,MATCH(VALUE(LEFT(A18,FIND(" ",A18)-1)),CIBC_rates!$E$6:$E$6,1),2)*100</f>
        <v>0.05</v>
      </c>
      <c r="E18" s="45">
        <f>INDEX(TD_rates!$B$4:$E$9,MATCH(VALUE(LEFT(A18,FIND(" ",A18)-1)),TD_rates!$E$4:$E$9,1),2)*100</f>
        <v>0.05</v>
      </c>
      <c r="F18" s="44">
        <f>INDEX(TD_rates!$B$11:$E$16,MATCH(VALUE(LEFT(A18,FIND(" ",A18)-1)),TD_rates!$E$11:$E$16,1),2)*100</f>
        <v>0.5</v>
      </c>
      <c r="G18" s="44">
        <f>INDEX(TD_rates!$B$18:$E$23,MATCH(VALUE(LEFT(A18,FIND(" ",A18)-1)),TD_rates!$E$18:$E$23,1),2)*100</f>
        <v>0</v>
      </c>
      <c r="H18" s="44">
        <f>INDEX(BMO_rates!$B$2:$E$4,MATCH(VALUE(LEFT(A18,FIND(" ",A18)-1)),BMO_rates!$E$2:$E$4,1),2)*100</f>
        <v>1.6</v>
      </c>
      <c r="I18" s="46">
        <f>INDEX(BMO_rates!$B$5:$E$6,MATCH(VALUE(LEFT(A18,FIND(" ",A18)-1)),BMO_rates!$E$5:$E$6,1),2)*100</f>
        <v>0.8</v>
      </c>
      <c r="J18" s="44">
        <f>INDEX(BMO_rates!$B$7:$E$8,MATCH(VALUE(LEFT(A18,FIND(" ",A18)-1)),BMO_rates!$E$7:$E$8,1),2)*100</f>
        <v>0.05</v>
      </c>
      <c r="K18" s="44" t="str">
        <f>(BNS_Rates!$D$36)*100 &amp; " + " &amp; (BNS_Rates!$E$35)*100 &amp; ", "&amp; (BNS_Rates!$E$34)*100 &amp; ", "&amp; (BNS_Rates!$E$33)*100 &amp; ", "&amp; (BNS_Rates!$E$32)*100</f>
        <v>1 + 0.6, 0.7, 0.85, 1</v>
      </c>
      <c r="L18" s="46">
        <f>INDEX(BNS_Rates!$B$28:$G$29,MATCH(VALUE(LEFT(A18,FIND(" ",A18)-1)),BNS_Rates!$G$28:$G$29,1),2)*100</f>
        <v>0.05</v>
      </c>
      <c r="M18" s="46">
        <f>INDEX(BNS_Rates!$B$25:$G$27,MATCH(VALUE(LEFT(A18,FIND(" ",A18)-1)),BNS_Rates!$G$25:$G$27,1),2)*100</f>
        <v>1</v>
      </c>
      <c r="N18" s="44" t="str">
        <f>INDEX(RBC_Rates!$B$158:$E$158,MATCH(VALUE(LEFT(A18,FIND(" ",A18)-1)),RBC_Rates!$E$158,1),2)</f>
        <v>1.000</v>
      </c>
      <c r="O18" s="44" t="str">
        <f>INDEX(RBC_Rates!$B$150:$E$157,MATCH(VALUE(LEFT(A18,FIND(" ",A18)-1)),RBC_Rates!$E$150:$E$157,1),2)</f>
        <v>0.001</v>
      </c>
      <c r="P18" s="45" t="str">
        <f>INDEX(RBC_Rates!$B$146:$E$149,MATCH(VALUE(LEFT(A18,FIND(" ",A18)-1)),RBC_Rates!$E$146:$E$149,1),2)</f>
        <v>0.010 P</v>
      </c>
      <c r="Q18" s="61">
        <f t="shared" si="0"/>
        <v>1.1499999999999999</v>
      </c>
      <c r="R18" s="46">
        <f>Simplii_rates!$C$11</f>
        <v>1.15E-2</v>
      </c>
      <c r="S18" s="45">
        <f>LEFT((ICICI_rates!$B$3),5)*100</f>
        <v>1.6</v>
      </c>
      <c r="T18" s="45">
        <f>(NBC_rates!$C$28)*100</f>
        <v>1</v>
      </c>
      <c r="U18" s="46">
        <f>(Manulife_rates!$C$7)*100</f>
        <v>1.5</v>
      </c>
      <c r="V18" s="44">
        <f>(HSBC_rates!$C$5)*100</f>
        <v>1.1499999999999999</v>
      </c>
      <c r="W18" s="44">
        <f>(CT_rates!$B$2)*100</f>
        <v>1.5</v>
      </c>
      <c r="X18" s="46">
        <f>(Meridian_rates!$A$2)*100</f>
        <v>2.85</v>
      </c>
      <c r="Y18" s="9">
        <f>(EQ_rates!$B$2)*100</f>
        <v>2.2999999999999998</v>
      </c>
    </row>
    <row r="19" spans="1:26" x14ac:dyDescent="0.25">
      <c r="A19" s="44" t="s">
        <v>40</v>
      </c>
      <c r="B19" s="44">
        <f>INDEX(CIBC_rates!$B$2:$E$3,MATCH(VALUE(LEFT(A19,FIND(" ",A19)-1)),CIBC_rates!$E$2:$E$3,1),2)*100</f>
        <v>1</v>
      </c>
      <c r="C19" s="45">
        <f>INDEX(CIBC_rates!$B$4:$E$5,MATCH(VALUE(LEFT(A19,FIND(" ",A19)-1)),CIBC_rates!$E$4:$E$5,1),2)*100</f>
        <v>0.1</v>
      </c>
      <c r="D19" s="45">
        <f>INDEX(CIBC_rates!$B$6:$E$6,MATCH(VALUE(LEFT(A19,FIND(" ",A19)-1)),CIBC_rates!$E$6:$E$6,1),2)*100</f>
        <v>0.05</v>
      </c>
      <c r="E19" s="45">
        <f>INDEX(TD_rates!$B$4:$E$9,MATCH(VALUE(LEFT(A19,FIND(" ",A19)-1)),TD_rates!$E$4:$E$9,1),2)*100</f>
        <v>0.05</v>
      </c>
      <c r="F19" s="44">
        <f>INDEX(TD_rates!$B$11:$E$16,MATCH(VALUE(LEFT(A19,FIND(" ",A19)-1)),TD_rates!$E$11:$E$16,1),2)*100</f>
        <v>0</v>
      </c>
      <c r="G19" s="44">
        <f>INDEX(TD_rates!$B$18:$E$23,MATCH(VALUE(LEFT(A19,FIND(" ",A19)-1)),TD_rates!$E$18:$E$23,1),2)*100</f>
        <v>0</v>
      </c>
      <c r="H19" s="44">
        <f>INDEX(BMO_rates!$B$2:$E$4,MATCH(VALUE(LEFT(A19,FIND(" ",A19)-1)),BMO_rates!$E$2:$E$4,1),2)*100</f>
        <v>1.6</v>
      </c>
      <c r="I19" s="46">
        <f>INDEX(BMO_rates!$B$5:$E$6,MATCH(VALUE(LEFT(A19,FIND(" ",A19)-1)),BMO_rates!$E$5:$E$6,1),2)*100</f>
        <v>0.8</v>
      </c>
      <c r="J19" s="44">
        <f>INDEX(BMO_rates!$B$7:$E$8,MATCH(VALUE(LEFT(A19,FIND(" ",A19)-1)),BMO_rates!$E$7:$E$8,1),2)*100</f>
        <v>0.05</v>
      </c>
      <c r="K19" s="44" t="str">
        <f>(BNS_Rates!$D$36)*100 &amp; " + " &amp; (BNS_Rates!$E$35)*100 &amp; ", "&amp; (BNS_Rates!$E$34)*100 &amp; ", "&amp; (BNS_Rates!$E$33)*100 &amp; ", "&amp; (BNS_Rates!$E$32)*100</f>
        <v>1 + 0.6, 0.7, 0.85, 1</v>
      </c>
      <c r="L19" s="46">
        <f>INDEX(BNS_Rates!$B$28:$G$29,MATCH(VALUE(LEFT(A19,FIND(" ",A19)-1)),BNS_Rates!$G$28:$G$29,1),2)*100</f>
        <v>0.05</v>
      </c>
      <c r="M19" s="46">
        <f>INDEX(BNS_Rates!$B$25:$G$27,MATCH(VALUE(LEFT(A19,FIND(" ",A19)-1)),BNS_Rates!$G$25:$G$27,1),2)*100</f>
        <v>0.05</v>
      </c>
      <c r="N19" s="44" t="str">
        <f>INDEX(RBC_Rates!$B$158:$E$158,MATCH(VALUE(LEFT(A19,FIND(" ",A19)-1)),RBC_Rates!$E$158,1),2)</f>
        <v>1.000</v>
      </c>
      <c r="O19" s="44" t="str">
        <f>INDEX(RBC_Rates!$B$150:$E$157,MATCH(VALUE(LEFT(A19,FIND(" ",A19)-1)),RBC_Rates!$E$150:$E$157,1),2)</f>
        <v>0.000</v>
      </c>
      <c r="P19" s="45" t="str">
        <f>INDEX(RBC_Rates!$B$146:$E$149,MATCH(VALUE(LEFT(A19,FIND(" ",A19)-1)),RBC_Rates!$E$146:$E$149,1),2)</f>
        <v>0.010 P</v>
      </c>
      <c r="Q19" s="61">
        <f t="shared" si="0"/>
        <v>1.1499999999999999</v>
      </c>
      <c r="R19" s="46">
        <f>Simplii_rates!$C$11</f>
        <v>1.15E-2</v>
      </c>
      <c r="S19" s="45">
        <f>LEFT((ICICI_rates!$B$3),5)*100</f>
        <v>1.6</v>
      </c>
      <c r="T19" s="45">
        <f>(NBC_rates!$C$28)*100</f>
        <v>1</v>
      </c>
      <c r="U19" s="46">
        <f>(Manulife_rates!$C$7)*100</f>
        <v>1.5</v>
      </c>
      <c r="V19" s="44">
        <f>(HSBC_rates!$C$5)*100</f>
        <v>1.1499999999999999</v>
      </c>
      <c r="W19" s="44">
        <f>(CT_rates!$B$2)*100</f>
        <v>1.5</v>
      </c>
      <c r="X19" s="46">
        <f>(Meridian_rates!$A$2)*100</f>
        <v>2.85</v>
      </c>
      <c r="Y19" s="9">
        <f>(EQ_rates!$B$2)*100</f>
        <v>2.2999999999999998</v>
      </c>
    </row>
    <row r="20" spans="1:26" x14ac:dyDescent="0.25">
      <c r="A20" s="44" t="s">
        <v>41</v>
      </c>
      <c r="B20" s="44">
        <f>INDEX(CIBC_rates!$B$2:$E$3,MATCH(VALUE(LEFT(A20,FIND(" ",A20)-1)),CIBC_rates!$E$2:$E$3,1),2)*100</f>
        <v>1</v>
      </c>
      <c r="C20" s="45">
        <f>INDEX(CIBC_rates!$B$4:$E$5,MATCH(VALUE(LEFT(A20,FIND(" ",A20)-1)),CIBC_rates!$E$4:$E$5,1),2)*100</f>
        <v>0.05</v>
      </c>
      <c r="D20" s="45">
        <f>INDEX(CIBC_rates!$B$6:$E$6,MATCH(VALUE(LEFT(A20,FIND(" ",A20)-1)),CIBC_rates!$E$6:$E$6,1),2)*100</f>
        <v>0.05</v>
      </c>
      <c r="E20" s="45">
        <f>INDEX(TD_rates!$B$4:$E$9,MATCH(VALUE(LEFT(A20,FIND(" ",A20)-1)),TD_rates!$E$4:$E$9,1),2)*100</f>
        <v>0.05</v>
      </c>
      <c r="F20" s="44">
        <f>INDEX(TD_rates!$B$11:$E$16,MATCH(VALUE(LEFT(A20,FIND(" ",A20)-1)),TD_rates!$E$11:$E$16,1),2)*100</f>
        <v>0</v>
      </c>
      <c r="G20" s="44">
        <f>INDEX(TD_rates!$B$18:$E$23,MATCH(VALUE(LEFT(A20,FIND(" ",A20)-1)),TD_rates!$E$18:$E$23,1),2)*100</f>
        <v>0</v>
      </c>
      <c r="H20" s="44">
        <f>INDEX(BMO_rates!$B$2:$E$4,MATCH(VALUE(LEFT(A20,FIND(" ",A20)-1)),BMO_rates!$E$2:$E$4,1),2)*100</f>
        <v>1.6</v>
      </c>
      <c r="I20" s="46">
        <f>INDEX(BMO_rates!$B$5:$E$6,MATCH(VALUE(LEFT(A20,FIND(" ",A20)-1)),BMO_rates!$E$5:$E$6,1),2)*100</f>
        <v>0.8</v>
      </c>
      <c r="J20" s="44">
        <f>INDEX(BMO_rates!$B$7:$E$8,MATCH(VALUE(LEFT(A20,FIND(" ",A20)-1)),BMO_rates!$E$7:$E$8,1),2)*100</f>
        <v>0.05</v>
      </c>
      <c r="K20" s="44" t="str">
        <f>(BNS_Rates!$D$36)*100 &amp; " + " &amp; (BNS_Rates!$E$35)*100 &amp; ", "&amp; (BNS_Rates!$E$34)*100 &amp; ", "&amp; (BNS_Rates!$E$33)*100 &amp; ", "&amp; (BNS_Rates!$E$32)*100</f>
        <v>1 + 0.6, 0.7, 0.85, 1</v>
      </c>
      <c r="L20" s="46">
        <f>INDEX(BNS_Rates!$B$28:$G$29,MATCH(VALUE(LEFT(A20,FIND(" ",A20)-1)),BNS_Rates!$G$28:$G$29,1),2)*100</f>
        <v>0.05</v>
      </c>
      <c r="M20" s="46">
        <f>INDEX(BNS_Rates!$B$25:$G$27,MATCH(VALUE(LEFT(A20,FIND(" ",A20)-1)),BNS_Rates!$G$25:$G$27,1),2)*100</f>
        <v>0.05</v>
      </c>
      <c r="N20" s="44" t="str">
        <f>INDEX(RBC_Rates!$B$158:$E$158,MATCH(VALUE(LEFT(A20,FIND(" ",A20)-1)),RBC_Rates!$E$158,1),2)</f>
        <v>1.000</v>
      </c>
      <c r="O20" s="44" t="str">
        <f>INDEX(RBC_Rates!$B$150:$E$157,MATCH(VALUE(LEFT(A20,FIND(" ",A20)-1)),RBC_Rates!$E$150:$E$157,1),2)</f>
        <v>0.000</v>
      </c>
      <c r="P20" s="45" t="str">
        <f>INDEX(RBC_Rates!$B$146:$E$149,MATCH(VALUE(LEFT(A20,FIND(" ",A20)-1)),RBC_Rates!$E$146:$E$149,1),2)</f>
        <v>0.010</v>
      </c>
      <c r="Q20" s="61">
        <f t="shared" si="0"/>
        <v>1.1499999999999999</v>
      </c>
      <c r="R20" s="46">
        <f>Simplii_rates!$C$11</f>
        <v>1.15E-2</v>
      </c>
      <c r="S20" s="45">
        <f>LEFT((ICICI_rates!$B$3),5)*100</f>
        <v>1.6</v>
      </c>
      <c r="T20" s="45">
        <f>(NBC_rates!$C$28)*100</f>
        <v>1</v>
      </c>
      <c r="U20" s="46">
        <f>(Manulife_rates!$C$7)*100</f>
        <v>1.5</v>
      </c>
      <c r="V20" s="44">
        <f>(HSBC_rates!$C$5)*100</f>
        <v>1.1499999999999999</v>
      </c>
      <c r="W20" s="44">
        <f>(CT_rates!$B$2)*100</f>
        <v>1.5</v>
      </c>
      <c r="X20" s="46">
        <f>(Meridian_rates!$A$2)*100</f>
        <v>2.85</v>
      </c>
      <c r="Y20" s="9">
        <f>(EQ_rates!$B$2)*100</f>
        <v>2.2999999999999998</v>
      </c>
    </row>
    <row r="21" spans="1:26" x14ac:dyDescent="0.25">
      <c r="A21" s="44" t="s">
        <v>42</v>
      </c>
      <c r="B21" s="44">
        <f>INDEX(CIBC_rates!$B$2:$E$3,MATCH(VALUE(LEFT(A21,FIND(" ",A21)-1)),CIBC_rates!$E$2:$E$3,1),2)*100</f>
        <v>1</v>
      </c>
      <c r="C21" s="45">
        <f>INDEX(CIBC_rates!$B$4:$E$5,MATCH(VALUE(LEFT(A21,FIND(" ",A21)-1)),CIBC_rates!$E$4:$E$5,1),2)*100</f>
        <v>0.05</v>
      </c>
      <c r="D21" s="45">
        <f>INDEX(CIBC_rates!$B$6:$E$6,MATCH(VALUE(LEFT(A21,FIND(" ",A21)-1)),CIBC_rates!$E$6:$E$6,1),2)*100</f>
        <v>0.05</v>
      </c>
      <c r="E21" s="45">
        <f>INDEX(TD_rates!$B$4:$E$9,MATCH(VALUE(LEFT(A21,FIND(" ",A21)-1)),TD_rates!$E$4:$E$9,1),2)*100</f>
        <v>0.05</v>
      </c>
      <c r="F21" s="44">
        <f>INDEX(TD_rates!$B$11:$E$16,MATCH(VALUE(LEFT(A21,FIND(" ",A21)-1)),TD_rates!$E$11:$E$16,1),2)*100</f>
        <v>0</v>
      </c>
      <c r="G21" s="44">
        <f>INDEX(TD_rates!$B$18:$E$23,MATCH(VALUE(LEFT(A21,FIND(" ",A21)-1)),TD_rates!$E$18:$E$23,1),2)*100</f>
        <v>0</v>
      </c>
      <c r="H21" s="44">
        <f>INDEX(BMO_rates!$B$2:$E$4,MATCH(VALUE(LEFT(A21,FIND(" ",A21)-1)),BMO_rates!$E$2:$E$4,1),2)*100</f>
        <v>1.6</v>
      </c>
      <c r="I21" s="46">
        <f>INDEX(BMO_rates!$B$5:$E$6,MATCH(VALUE(LEFT(A21,FIND(" ",A21)-1)),BMO_rates!$E$5:$E$6,1),2)*100</f>
        <v>0.8</v>
      </c>
      <c r="J21" s="44">
        <f>INDEX(BMO_rates!$B$7:$E$8,MATCH(VALUE(LEFT(A21,FIND(" ",A21)-1)),BMO_rates!$E$7:$E$8,1),2)*100</f>
        <v>0.05</v>
      </c>
      <c r="K21" s="44" t="str">
        <f>(BNS_Rates!$D$36)*100 &amp; " + " &amp; (BNS_Rates!$E$35)*100 &amp; ", "&amp; (BNS_Rates!$E$34)*100 &amp; ", "&amp; (BNS_Rates!$E$33)*100 &amp; ", "&amp; (BNS_Rates!$E$32)*100</f>
        <v>1 + 0.6, 0.7, 0.85, 1</v>
      </c>
      <c r="L21" s="46">
        <f>INDEX(BNS_Rates!$B$28:$G$29,MATCH(VALUE(LEFT(A21,FIND(" ",A21)-1)),BNS_Rates!$G$28:$G$29,1),2)*100</f>
        <v>0.05</v>
      </c>
      <c r="M21" s="46">
        <f>INDEX(BNS_Rates!$B$25:$G$27,MATCH(VALUE(LEFT(A21,FIND(" ",A21)-1)),BNS_Rates!$G$25:$G$27,1),2)*100</f>
        <v>0.05</v>
      </c>
      <c r="N21" s="44" t="str">
        <f>INDEX(RBC_Rates!$B$158:$E$158,MATCH(VALUE(LEFT(A21,FIND(" ",A21)-1)),RBC_Rates!$E$158,1),2)</f>
        <v>1.000</v>
      </c>
      <c r="O21" s="44" t="str">
        <f>INDEX(RBC_Rates!$B$150:$E$157,MATCH(VALUE(LEFT(A21,FIND(" ",A21)-1)),RBC_Rates!$E$150:$E$157,1),2)</f>
        <v>0.000</v>
      </c>
      <c r="P21" s="45" t="str">
        <f>INDEX(RBC_Rates!$B$146:$E$149,MATCH(VALUE(LEFT(A21,FIND(" ",A21)-1)),RBC_Rates!$E$146:$E$149,1),2)</f>
        <v>0.005</v>
      </c>
      <c r="Q21" s="61">
        <f t="shared" si="0"/>
        <v>1.1499999999999999</v>
      </c>
      <c r="R21" s="46">
        <f>Simplii_rates!$C$11</f>
        <v>1.15E-2</v>
      </c>
      <c r="S21" s="45">
        <f>LEFT((ICICI_rates!$B$3),5)*100</f>
        <v>1.6</v>
      </c>
      <c r="T21" s="45">
        <f>(NBC_rates!$C$28)*100</f>
        <v>1</v>
      </c>
      <c r="U21" s="46">
        <f>(Manulife_rates!$C$7)*100</f>
        <v>1.5</v>
      </c>
      <c r="V21" s="44">
        <f>(HSBC_rates!$C$5)*100</f>
        <v>1.1499999999999999</v>
      </c>
      <c r="W21" s="44">
        <f>(CT_rates!$B$2)*100</f>
        <v>1.5</v>
      </c>
      <c r="X21" s="46">
        <f>(Meridian_rates!$A$2)*100</f>
        <v>2.85</v>
      </c>
      <c r="Y21" s="9">
        <f>(EQ_rates!$B$2)*100</f>
        <v>2.2999999999999998</v>
      </c>
    </row>
    <row r="22" spans="1:26" x14ac:dyDescent="0.25">
      <c r="A22" s="10"/>
      <c r="B22" s="10"/>
      <c r="C22" s="5"/>
      <c r="D22" s="5"/>
      <c r="E22" s="5"/>
      <c r="F22" s="10"/>
      <c r="G22" s="10"/>
      <c r="H22" s="10"/>
      <c r="I22" s="10"/>
      <c r="J22" s="3"/>
      <c r="K22" s="3"/>
      <c r="L22" s="3"/>
      <c r="M22" s="3"/>
      <c r="N22" s="3"/>
      <c r="O22" s="3"/>
      <c r="P22" s="5"/>
      <c r="Q22" s="10"/>
      <c r="R22" s="10"/>
      <c r="S22" s="5"/>
      <c r="T22" s="10"/>
      <c r="U22" s="10"/>
      <c r="V22" s="10"/>
      <c r="W22" s="10"/>
      <c r="X22" s="10"/>
      <c r="Y22" s="10"/>
      <c r="Z22" s="3"/>
    </row>
    <row r="23" spans="1:26" hidden="1" x14ac:dyDescent="0.25">
      <c r="A23" s="11" t="s">
        <v>30</v>
      </c>
      <c r="B23" s="12">
        <v>43299</v>
      </c>
      <c r="C23" s="13">
        <v>42202</v>
      </c>
      <c r="D23" s="13">
        <v>42202</v>
      </c>
      <c r="E23" s="13">
        <v>42202</v>
      </c>
      <c r="F23" s="12">
        <v>42688</v>
      </c>
      <c r="G23" s="12">
        <v>43298</v>
      </c>
      <c r="H23" s="12">
        <v>43125</v>
      </c>
      <c r="I23" s="12">
        <v>43125</v>
      </c>
      <c r="J23" s="12">
        <v>42207</v>
      </c>
      <c r="K23" s="12">
        <v>43294</v>
      </c>
      <c r="L23" s="12">
        <v>42920</v>
      </c>
      <c r="M23" s="12">
        <v>42986</v>
      </c>
      <c r="N23" s="12">
        <v>43118</v>
      </c>
      <c r="O23" s="12">
        <v>42205</v>
      </c>
      <c r="P23" s="13">
        <v>42205</v>
      </c>
      <c r="Q23" s="12">
        <v>43123</v>
      </c>
      <c r="R23" s="12">
        <v>43130</v>
      </c>
      <c r="S23" s="13">
        <v>42039</v>
      </c>
      <c r="T23" s="12">
        <v>43129</v>
      </c>
      <c r="U23" s="42">
        <v>43304</v>
      </c>
      <c r="V23" s="12">
        <v>43181</v>
      </c>
      <c r="W23" s="12">
        <v>43040</v>
      </c>
      <c r="X23" s="12">
        <v>42207</v>
      </c>
      <c r="Y23" s="14">
        <v>42921</v>
      </c>
      <c r="Z23" s="12">
        <v>42859</v>
      </c>
    </row>
    <row r="24" spans="1:26" hidden="1" x14ac:dyDescent="0.25">
      <c r="A24" s="15" t="s">
        <v>31</v>
      </c>
      <c r="B24" s="16">
        <v>40140</v>
      </c>
      <c r="C24" s="17">
        <v>37775</v>
      </c>
      <c r="D24" s="17">
        <v>36982</v>
      </c>
      <c r="E24" s="16">
        <v>36039</v>
      </c>
      <c r="F24" s="16">
        <v>40385</v>
      </c>
      <c r="G24" s="16">
        <v>40385</v>
      </c>
      <c r="H24" s="16">
        <v>42095</v>
      </c>
      <c r="I24" s="16">
        <v>39790</v>
      </c>
      <c r="J24" s="16">
        <v>37043</v>
      </c>
      <c r="K24" s="12">
        <v>42940</v>
      </c>
      <c r="L24" s="16">
        <v>37196</v>
      </c>
      <c r="M24" s="16">
        <v>41989</v>
      </c>
      <c r="N24" s="16">
        <v>39173</v>
      </c>
      <c r="O24" s="16" t="s">
        <v>32</v>
      </c>
      <c r="P24" s="16"/>
      <c r="Q24" s="12">
        <v>35521</v>
      </c>
      <c r="R24" s="16">
        <v>38902</v>
      </c>
      <c r="S24" s="16">
        <v>38322</v>
      </c>
      <c r="T24" s="16" t="s">
        <v>32</v>
      </c>
      <c r="U24" s="13">
        <v>41367</v>
      </c>
      <c r="V24" s="16">
        <v>38169</v>
      </c>
      <c r="W24" s="16">
        <v>38808</v>
      </c>
      <c r="X24" s="13">
        <v>36708</v>
      </c>
      <c r="Y24" s="12">
        <v>39022</v>
      </c>
      <c r="Z24" s="12">
        <v>42235</v>
      </c>
    </row>
    <row r="27" spans="1:26" x14ac:dyDescent="0.25">
      <c r="B27" s="18"/>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C24"/>
  <sheetViews>
    <sheetView tabSelected="1" zoomScale="85" zoomScaleNormal="85" workbookViewId="0">
      <selection activeCell="K12" sqref="K12"/>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85546875" style="43" customWidth="1"/>
    <col min="17" max="17" width="10.140625" bestFit="1" customWidth="1"/>
    <col min="18" max="18" width="12.42578125" customWidth="1"/>
    <col min="19" max="19" width="9.42578125" bestFit="1" customWidth="1"/>
  </cols>
  <sheetData>
    <row r="1" spans="1:29" ht="25.5" x14ac:dyDescent="0.35">
      <c r="A1" s="48"/>
      <c r="B1" s="48"/>
      <c r="C1" s="48"/>
      <c r="D1" s="48"/>
      <c r="E1" s="48"/>
      <c r="F1" s="48"/>
      <c r="G1" s="48"/>
      <c r="H1" s="48"/>
      <c r="I1" s="48"/>
      <c r="J1" s="48"/>
      <c r="K1" s="48"/>
      <c r="L1" s="48"/>
      <c r="M1" s="48"/>
      <c r="N1" s="48"/>
      <c r="O1" s="48"/>
      <c r="P1" s="48"/>
      <c r="Q1" s="48"/>
      <c r="R1" s="48"/>
      <c r="Z1" s="3"/>
      <c r="AA1" s="3"/>
      <c r="AB1" s="3"/>
      <c r="AC1" s="3"/>
    </row>
    <row r="2" spans="1:29" ht="25.5" x14ac:dyDescent="0.35">
      <c r="A2" s="3"/>
      <c r="B2" s="74" t="s">
        <v>33</v>
      </c>
      <c r="C2" s="4"/>
      <c r="D2" s="4"/>
      <c r="E2" s="4"/>
      <c r="F2" s="4"/>
      <c r="G2" s="4"/>
      <c r="H2" s="4"/>
      <c r="I2" s="4"/>
      <c r="J2" s="4"/>
      <c r="K2" s="4"/>
      <c r="L2" s="4"/>
      <c r="M2" s="4"/>
      <c r="N2" s="4"/>
      <c r="O2" s="4"/>
      <c r="P2" s="4"/>
      <c r="Q2" s="4"/>
      <c r="R2" s="4"/>
      <c r="Z2" s="4"/>
      <c r="AA2" s="4"/>
      <c r="AB2" s="3"/>
      <c r="AC2" s="3"/>
    </row>
    <row r="3" spans="1:29" x14ac:dyDescent="0.25">
      <c r="A3" s="3"/>
      <c r="B3" s="3"/>
      <c r="C3" s="3"/>
      <c r="D3" s="3"/>
      <c r="E3" s="3"/>
      <c r="F3" s="3"/>
      <c r="G3" s="3"/>
      <c r="H3" s="3"/>
      <c r="I3" s="3"/>
      <c r="J3" s="3"/>
      <c r="K3" s="3"/>
      <c r="L3" s="3"/>
      <c r="M3" s="3"/>
      <c r="N3" s="3"/>
      <c r="O3" s="3"/>
      <c r="P3" s="3"/>
      <c r="Q3" s="3"/>
      <c r="R3" s="3"/>
      <c r="Z3" s="3"/>
      <c r="AA3" s="3"/>
      <c r="AB3" s="3"/>
      <c r="AC3" s="3"/>
    </row>
    <row r="4" spans="1:29" x14ac:dyDescent="0.25">
      <c r="A4" s="3"/>
      <c r="B4" s="3"/>
      <c r="C4" s="3"/>
      <c r="D4" s="3"/>
      <c r="E4" s="3"/>
      <c r="F4" s="3"/>
      <c r="G4" s="3"/>
      <c r="H4" s="3"/>
      <c r="I4" s="3"/>
      <c r="J4" s="3"/>
      <c r="K4" s="3"/>
      <c r="L4" s="3"/>
      <c r="M4" s="3"/>
      <c r="N4" s="3"/>
      <c r="O4" s="3"/>
      <c r="P4" s="3"/>
      <c r="Q4" s="3"/>
      <c r="R4" s="3"/>
      <c r="Z4" s="3"/>
      <c r="AA4" s="3"/>
      <c r="AB4" s="3"/>
      <c r="AC4" s="3"/>
    </row>
    <row r="5" spans="1:29" x14ac:dyDescent="0.25">
      <c r="A5" s="3"/>
      <c r="B5" s="3"/>
      <c r="C5" s="3"/>
      <c r="D5" s="3"/>
      <c r="E5" s="3"/>
      <c r="F5" s="3"/>
      <c r="G5" s="3"/>
      <c r="H5" s="3"/>
      <c r="I5" s="3"/>
      <c r="J5" s="3"/>
      <c r="K5" s="3"/>
      <c r="L5" s="3"/>
      <c r="M5" s="3"/>
      <c r="N5" s="3"/>
      <c r="O5" s="3"/>
      <c r="P5" s="3"/>
      <c r="Q5" s="3"/>
      <c r="R5" s="3"/>
      <c r="Z5" s="3"/>
      <c r="AA5" s="3"/>
      <c r="AB5" s="3"/>
      <c r="AC5" s="3"/>
    </row>
    <row r="6" spans="1:29" x14ac:dyDescent="0.25">
      <c r="A6" s="3"/>
      <c r="B6" s="3"/>
      <c r="C6" s="3"/>
      <c r="D6" s="3"/>
      <c r="E6" s="3"/>
      <c r="F6" s="3"/>
      <c r="G6" s="3"/>
      <c r="H6" s="3"/>
      <c r="I6" s="3"/>
      <c r="J6" s="3"/>
      <c r="K6" s="3"/>
      <c r="L6" s="3"/>
      <c r="M6" s="3"/>
      <c r="N6" s="3"/>
      <c r="O6" s="3"/>
      <c r="P6" s="3"/>
      <c r="Q6" s="3"/>
      <c r="R6" s="3"/>
      <c r="Z6" s="3"/>
      <c r="AA6" s="3"/>
      <c r="AB6" s="3"/>
      <c r="AC6" s="3"/>
    </row>
    <row r="7" spans="1:29" hidden="1" x14ac:dyDescent="0.25">
      <c r="A7" s="47" t="s">
        <v>34</v>
      </c>
      <c r="B7" s="6"/>
      <c r="C7" s="3"/>
      <c r="D7" s="3"/>
      <c r="E7" s="3"/>
      <c r="F7" s="3"/>
      <c r="G7" s="3"/>
      <c r="H7" s="3"/>
      <c r="I7" s="3"/>
      <c r="J7" s="3"/>
      <c r="K7" s="3"/>
      <c r="L7" s="3"/>
      <c r="M7" s="3"/>
      <c r="N7" s="3"/>
      <c r="O7" s="3"/>
      <c r="P7" s="3"/>
      <c r="Q7" s="3"/>
      <c r="R7" s="3"/>
      <c r="Z7" s="3"/>
      <c r="AA7" s="3"/>
      <c r="AB7" s="3"/>
      <c r="AC7" s="3"/>
    </row>
    <row r="8" spans="1:29" x14ac:dyDescent="0.25">
      <c r="A8" s="3"/>
      <c r="B8" s="3"/>
      <c r="C8" s="3"/>
      <c r="D8" s="3"/>
      <c r="E8" s="3"/>
      <c r="F8" s="3"/>
      <c r="G8" s="3"/>
      <c r="H8" s="3"/>
      <c r="I8" s="7"/>
      <c r="J8" s="7"/>
      <c r="K8" s="7"/>
      <c r="L8" s="7"/>
      <c r="M8" s="7"/>
      <c r="N8" s="7"/>
      <c r="O8" s="3"/>
      <c r="P8" s="3"/>
      <c r="Q8" s="3"/>
      <c r="R8" s="3"/>
      <c r="Z8" s="3"/>
      <c r="AA8" s="3"/>
      <c r="AB8" s="3"/>
      <c r="AC8" s="3"/>
    </row>
    <row r="9" spans="1:29" x14ac:dyDescent="0.25">
      <c r="A9" s="50"/>
      <c r="B9" s="50" t="s">
        <v>1</v>
      </c>
      <c r="C9" s="50" t="s">
        <v>1</v>
      </c>
      <c r="D9" s="50" t="s">
        <v>2</v>
      </c>
      <c r="E9" s="50" t="s">
        <v>2</v>
      </c>
      <c r="F9" s="50" t="s">
        <v>6</v>
      </c>
      <c r="G9" s="50" t="s">
        <v>6</v>
      </c>
      <c r="H9" s="50" t="s">
        <v>6</v>
      </c>
      <c r="I9" s="50" t="s">
        <v>3</v>
      </c>
      <c r="J9" s="50" t="s">
        <v>5</v>
      </c>
      <c r="K9" s="50" t="s">
        <v>5</v>
      </c>
      <c r="L9" s="50" t="s">
        <v>303</v>
      </c>
      <c r="M9" s="50" t="s">
        <v>392</v>
      </c>
      <c r="N9" s="50" t="s">
        <v>393</v>
      </c>
      <c r="O9" s="50" t="s">
        <v>393</v>
      </c>
      <c r="P9" s="50" t="s">
        <v>10</v>
      </c>
      <c r="Q9" s="50" t="s">
        <v>47</v>
      </c>
      <c r="R9" s="60" t="s">
        <v>13</v>
      </c>
    </row>
    <row r="10" spans="1:29" ht="64.5" x14ac:dyDescent="0.25">
      <c r="A10" s="53"/>
      <c r="B10" s="53" t="s">
        <v>394</v>
      </c>
      <c r="C10" s="53" t="s">
        <v>36</v>
      </c>
      <c r="D10" s="53" t="s">
        <v>395</v>
      </c>
      <c r="E10" s="53" t="s">
        <v>396</v>
      </c>
      <c r="F10" s="53" t="s">
        <v>397</v>
      </c>
      <c r="G10" s="53" t="s">
        <v>394</v>
      </c>
      <c r="H10" s="53" t="s">
        <v>398</v>
      </c>
      <c r="I10" s="53" t="s">
        <v>399</v>
      </c>
      <c r="J10" s="53" t="s">
        <v>398</v>
      </c>
      <c r="K10" s="53" t="s">
        <v>400</v>
      </c>
      <c r="L10" s="53" t="s">
        <v>401</v>
      </c>
      <c r="M10" s="53" t="s">
        <v>402</v>
      </c>
      <c r="N10" s="53" t="s">
        <v>403</v>
      </c>
      <c r="O10" s="53" t="s">
        <v>398</v>
      </c>
      <c r="P10" s="53" t="s">
        <v>502</v>
      </c>
      <c r="Q10" s="53" t="s">
        <v>404</v>
      </c>
      <c r="R10" s="53" t="s">
        <v>405</v>
      </c>
    </row>
    <row r="11" spans="1:29" x14ac:dyDescent="0.25">
      <c r="A11" s="44" t="s">
        <v>486</v>
      </c>
      <c r="B11" s="46">
        <f>INDEX(CIBC_rates!$B$8:$E$12,MATCH(VALUE(LEFT(A11,FIND(" ",A11)-1)),CIBC_rates!$E$8:$E$12,1),2)*100</f>
        <v>0.25</v>
      </c>
      <c r="C11" s="46">
        <f>(CIBC_rates!$C$22)*100</f>
        <v>1.7000000000000002</v>
      </c>
      <c r="D11" s="46">
        <f>INDEX(TD_rates!$B$30:$E$35,MATCH(VALUE(LEFT(A11,FIND(" ",A11)-1)),TD_rates!$E$30:$E$35,1),2)*100</f>
        <v>0.1</v>
      </c>
      <c r="E11" s="46">
        <f>(TD_rates!$F$41)*100</f>
        <v>1.7000000000000002</v>
      </c>
      <c r="F11" s="46" t="str">
        <f>(RBC_Rates!$C$124)</f>
        <v>0.250</v>
      </c>
      <c r="G11" s="46" t="str">
        <f>(RBC_Rates!$C$123)</f>
        <v>0.000</v>
      </c>
      <c r="H11" s="46" t="s">
        <v>32</v>
      </c>
      <c r="I11" s="46">
        <f>INDEX(BMO_rates!$B$9:$E$10,MATCH(VALUE(LEFT(A11,FIND(" ",A11)-1)),BMO_rates!$E$9:$E$10,1),2)*100</f>
        <v>0.05</v>
      </c>
      <c r="J11" s="61">
        <f>BNS_Rates!$D$45</f>
        <v>1.7999999999999999E-2</v>
      </c>
      <c r="K11" s="46">
        <f>INDEX(BNS_Rates!$B$17:$G$22,MATCH(VALUE(LEFT(A11,FIND(" ",A11)-1)),BNS_Rates!$G$17:$G$22,1),2)*100</f>
        <v>0.15</v>
      </c>
      <c r="L11" s="79">
        <v>0.6</v>
      </c>
      <c r="M11" s="46">
        <f>LEFT((ICICI_rates!$B$6),5)*100</f>
        <v>0.3</v>
      </c>
      <c r="N11" s="46">
        <f>(Manulife_rates!$C$13)*100</f>
        <v>0.5</v>
      </c>
      <c r="O11" s="61">
        <f>(Manulife_ISA_USD[ISA USD])*100</f>
        <v>1.7000000000000002</v>
      </c>
      <c r="P11" s="61">
        <f>(HSBC_rates!$C$11)*100</f>
        <v>0.3</v>
      </c>
      <c r="Q11" s="46">
        <f>(Altamira_rates!$D$11)*100</f>
        <v>1.6500000000000001</v>
      </c>
      <c r="R11" s="46">
        <f>(BNS_Rates!$D$40)*100</f>
        <v>0.25</v>
      </c>
    </row>
    <row r="12" spans="1:29" s="43" customFormat="1" x14ac:dyDescent="0.25">
      <c r="A12" s="44" t="s">
        <v>408</v>
      </c>
      <c r="B12" s="46">
        <f>INDEX(CIBC_rates!$B$8:$E$12,MATCH(VALUE(LEFT(A12,FIND(" ",A12)-1)),CIBC_rates!$E$8:$E$12,1),2)*100</f>
        <v>0.25</v>
      </c>
      <c r="C12" s="46">
        <f>(CIBC_rates!$C$22)*100</f>
        <v>1.7000000000000002</v>
      </c>
      <c r="D12" s="46">
        <f>INDEX(TD_rates!$B$30:$E$35,MATCH(VALUE(LEFT(A12,FIND(" ",A12)-1)),TD_rates!$E$30:$E$35,1),2)*100</f>
        <v>0.1</v>
      </c>
      <c r="E12" s="46">
        <f>(TD_rates!$F$41)*100</f>
        <v>1.7000000000000002</v>
      </c>
      <c r="F12" s="46" t="str">
        <f>(RBC_Rates!$C$124)</f>
        <v>0.250</v>
      </c>
      <c r="G12" s="46" t="str">
        <f>(RBC_Rates!$C$123)</f>
        <v>0.000</v>
      </c>
      <c r="H12" s="46">
        <f>(RBC_Rates!$D$162)</f>
        <v>1.7000000000000001E-2</v>
      </c>
      <c r="I12" s="46">
        <f>INDEX(BMO_rates!$B$9:$E$10,MATCH(VALUE(LEFT(A12,FIND(" ",A12)-1)),BMO_rates!$E$9:$E$10,1),2)*100</f>
        <v>0.05</v>
      </c>
      <c r="J12" s="61">
        <f>BNS_Rates!$D$45</f>
        <v>1.7999999999999999E-2</v>
      </c>
      <c r="K12" s="46">
        <f>INDEX(BNS_Rates!$B$17:$G$22,MATCH(VALUE(LEFT(A12,FIND(" ",A12)-1)),BNS_Rates!$G$17:$G$22,1),2)*100</f>
        <v>0.15</v>
      </c>
      <c r="L12" s="79">
        <v>0.6</v>
      </c>
      <c r="M12" s="46">
        <f>LEFT((ICICI_rates!$B$6),5)*100</f>
        <v>0.3</v>
      </c>
      <c r="N12" s="46">
        <f>(Manulife_rates!$C$13)*100</f>
        <v>0.5</v>
      </c>
      <c r="O12" s="61">
        <f>(Manulife_ISA_USD[ISA USD])*100</f>
        <v>1.7000000000000002</v>
      </c>
      <c r="P12" s="61">
        <f>(HSBC_rates!$C$11)*100</f>
        <v>0.3</v>
      </c>
      <c r="Q12" s="46">
        <f>(Altamira_rates!$D$11)*100</f>
        <v>1.6500000000000001</v>
      </c>
      <c r="R12" s="46">
        <f>(BNS_Rates!$D$40)*100</f>
        <v>0.25</v>
      </c>
    </row>
    <row r="13" spans="1:29" x14ac:dyDescent="0.25">
      <c r="A13" s="44" t="s">
        <v>409</v>
      </c>
      <c r="B13" s="46">
        <f>INDEX(CIBC_rates!$B$8:$E$12,MATCH(VALUE(LEFT(A13,FIND(" ",A13)-1)),CIBC_rates!$E$8:$E$12,1),2)*100</f>
        <v>0.25</v>
      </c>
      <c r="C13" s="46">
        <f>(CIBC_rates!$C$22)*100</f>
        <v>1.7000000000000002</v>
      </c>
      <c r="D13" s="46">
        <f>INDEX(TD_rates!$B$30:$E$35,MATCH(VALUE(LEFT(A13,FIND(" ",A13)-1)),TD_rates!$E$30:$E$35,1),2)*100</f>
        <v>0.1</v>
      </c>
      <c r="E13" s="46">
        <f>(TD_rates!$F$41)*100</f>
        <v>1.7000000000000002</v>
      </c>
      <c r="F13" s="46" t="str">
        <f>(RBC_Rates!$C$124)</f>
        <v>0.250</v>
      </c>
      <c r="G13" s="46" t="str">
        <f>(RBC_Rates!$C$123)</f>
        <v>0.000</v>
      </c>
      <c r="H13" s="46">
        <f>(RBC_Rates!$D$162)</f>
        <v>1.7000000000000001E-2</v>
      </c>
      <c r="I13" s="46">
        <f>INDEX(BMO_rates!$B$9:$E$10,MATCH(VALUE(LEFT(A13,FIND(" ",A13)-1)),BMO_rates!$E$9:$E$10,1),2)*100</f>
        <v>0.05</v>
      </c>
      <c r="J13" s="61">
        <f>BNS_Rates!$D$44</f>
        <v>1.6500000000000001E-2</v>
      </c>
      <c r="K13" s="46">
        <f>INDEX(BNS_Rates!$B$17:$G$22,MATCH(VALUE(LEFT(A13,FIND(" ",A13)-1)),BNS_Rates!$G$17:$G$22,1),2)*100</f>
        <v>0.15</v>
      </c>
      <c r="L13" s="79">
        <v>0.6</v>
      </c>
      <c r="M13" s="46">
        <f>LEFT((ICICI_rates!$B$6),5)*100</f>
        <v>0.3</v>
      </c>
      <c r="N13" s="46">
        <f>(Manulife_rates!$C$13)*100</f>
        <v>0.5</v>
      </c>
      <c r="O13" s="61">
        <f>(Manulife_ISA_USD[ISA USD])*100</f>
        <v>1.7000000000000002</v>
      </c>
      <c r="P13" s="61">
        <f>(HSBC_rates!$C$10)*100</f>
        <v>0.25</v>
      </c>
      <c r="Q13" s="46">
        <f>(Altamira_rates!$D$11)*100</f>
        <v>1.6500000000000001</v>
      </c>
      <c r="R13" s="46">
        <f>(BNS_Rates!$D$40)*100</f>
        <v>0.25</v>
      </c>
    </row>
    <row r="14" spans="1:29" s="43" customFormat="1" x14ac:dyDescent="0.25">
      <c r="A14" s="44" t="s">
        <v>410</v>
      </c>
      <c r="B14" s="46">
        <f>INDEX(CIBC_rates!$B$8:$E$12,MATCH(VALUE(LEFT(A14,FIND(" ",A14)-1)),CIBC_rates!$E$8:$E$12,1),2)*100</f>
        <v>0.25</v>
      </c>
      <c r="C14" s="46">
        <f>(CIBC_rates!$C$22)*100</f>
        <v>1.7000000000000002</v>
      </c>
      <c r="D14" s="46">
        <f>INDEX(TD_rates!$B$30:$E$35,MATCH(VALUE(LEFT(A14,FIND(" ",A14)-1)),TD_rates!$E$30:$E$35,1),2)*100</f>
        <v>0.1</v>
      </c>
      <c r="E14" s="46">
        <f>(TD_rates!$F$41)*100</f>
        <v>1.7000000000000002</v>
      </c>
      <c r="F14" s="46" t="str">
        <f>(RBC_Rates!$C$124)</f>
        <v>0.250</v>
      </c>
      <c r="G14" s="46" t="str">
        <f>(RBC_Rates!$C$123)</f>
        <v>0.000</v>
      </c>
      <c r="H14" s="46">
        <f>(RBC_Rates!$D$162)</f>
        <v>1.7000000000000001E-2</v>
      </c>
      <c r="I14" s="46">
        <f>INDEX(BMO_rates!$B$9:$E$10,MATCH(VALUE(LEFT(A14,FIND(" ",A14)-1)),BMO_rates!$E$9:$E$10,1),2)*100</f>
        <v>0.05</v>
      </c>
      <c r="J14" s="61">
        <f>BNS_Rates!$D$44</f>
        <v>1.6500000000000001E-2</v>
      </c>
      <c r="K14" s="46">
        <f>INDEX(BNS_Rates!$B$17:$G$22,MATCH(VALUE(LEFT(A14,FIND(" ",A14)-1)),BNS_Rates!$G$17:$G$22,1),2)*100</f>
        <v>0.1</v>
      </c>
      <c r="L14" s="79">
        <v>0.6</v>
      </c>
      <c r="M14" s="46">
        <f>LEFT((ICICI_rates!$B$6),5)*100</f>
        <v>0.3</v>
      </c>
      <c r="N14" s="46">
        <f>(Manulife_rates!$C$13)*100</f>
        <v>0.5</v>
      </c>
      <c r="O14" s="61">
        <f>(Manulife_ISA_USD[ISA USD])*100</f>
        <v>1.7000000000000002</v>
      </c>
      <c r="P14" s="61">
        <f>(HSBC_rates!$C$10)*100</f>
        <v>0.25</v>
      </c>
      <c r="Q14" s="46">
        <f>(Altamira_rates!$D$11)*100</f>
        <v>1.6500000000000001</v>
      </c>
      <c r="R14" s="46">
        <f>(BNS_Rates!$D$40)*100</f>
        <v>0.25</v>
      </c>
      <c r="S14"/>
      <c r="T14"/>
      <c r="U14"/>
      <c r="V14"/>
      <c r="W14"/>
      <c r="X14"/>
      <c r="Y14"/>
    </row>
    <row r="15" spans="1:29" x14ac:dyDescent="0.25">
      <c r="A15" s="44" t="s">
        <v>411</v>
      </c>
      <c r="B15" s="46">
        <f>INDEX(CIBC_rates!$B$8:$E$12,MATCH(VALUE(LEFT(A15,FIND(" ",A15)-1)),CIBC_rates!$E$8:$E$12,1),2)*100</f>
        <v>0.25</v>
      </c>
      <c r="C15" s="46">
        <f>(CIBC_rates!$C$22)*100</f>
        <v>1.7000000000000002</v>
      </c>
      <c r="D15" s="46">
        <f>INDEX(TD_rates!$B$30:$E$35,MATCH(VALUE(LEFT(A15,FIND(" ",A15)-1)),TD_rates!$E$30:$E$35,1),2)*100</f>
        <v>0.1</v>
      </c>
      <c r="E15" s="46">
        <f>(TD_rates!$F$41)*100</f>
        <v>1.7000000000000002</v>
      </c>
      <c r="F15" s="46" t="str">
        <f>(RBC_Rates!$C$124)</f>
        <v>0.250</v>
      </c>
      <c r="G15" s="46" t="str">
        <f>(RBC_Rates!$C$123)</f>
        <v>0.000</v>
      </c>
      <c r="H15" s="46">
        <f>(RBC_Rates!$D$162)</f>
        <v>1.7000000000000001E-2</v>
      </c>
      <c r="I15" s="46">
        <f>INDEX(BMO_rates!$B$9:$E$10,MATCH(VALUE(LEFT(A15,FIND(" ",A15)-1)),BMO_rates!$E$9:$E$10,1),2)*100</f>
        <v>0.05</v>
      </c>
      <c r="J15" s="61">
        <f>BNS_Rates!$D$44</f>
        <v>1.6500000000000001E-2</v>
      </c>
      <c r="K15" s="46">
        <f>INDEX(BNS_Rates!$B$17:$G$22,MATCH(VALUE(LEFT(A15,FIND(" ",A15)-1)),BNS_Rates!$G$17:$G$22,1),2)*100</f>
        <v>0.1</v>
      </c>
      <c r="L15" s="79">
        <v>0.6</v>
      </c>
      <c r="M15" s="46">
        <f>LEFT((ICICI_rates!$B$6),5)*100</f>
        <v>0.3</v>
      </c>
      <c r="N15" s="46">
        <f>(Manulife_rates!$C$13)*100</f>
        <v>0.5</v>
      </c>
      <c r="O15" s="61">
        <f>(Manulife_ISA_USD[ISA USD])*100</f>
        <v>1.7000000000000002</v>
      </c>
      <c r="P15" s="61">
        <f>(HSBC_rates!$C$9)*100</f>
        <v>0.2</v>
      </c>
      <c r="Q15" s="46">
        <f>(Altamira_rates!$D$11)*100</f>
        <v>1.6500000000000001</v>
      </c>
      <c r="R15" s="46">
        <f>(BNS_Rates!$D$40)*100</f>
        <v>0.25</v>
      </c>
    </row>
    <row r="16" spans="1:29" x14ac:dyDescent="0.25">
      <c r="A16" s="44" t="s">
        <v>38</v>
      </c>
      <c r="B16" s="46">
        <f>INDEX(CIBC_rates!$B$8:$E$12,MATCH(VALUE(LEFT(A16,FIND(" ",A16)-1)),CIBC_rates!$E$8:$E$12,1),2)*100</f>
        <v>0.25</v>
      </c>
      <c r="C16" s="46">
        <f>(CIBC_rates!$C$22)*100</f>
        <v>1.7000000000000002</v>
      </c>
      <c r="D16" s="46">
        <f>INDEX(TD_rates!$B$30:$E$35,MATCH(VALUE(LEFT(A16,FIND(" ",A16)-1)),TD_rates!$E$30:$E$35,1),2)*100</f>
        <v>0.05</v>
      </c>
      <c r="E16" s="46">
        <f>(TD_rates!$F$41)*100</f>
        <v>1.7000000000000002</v>
      </c>
      <c r="F16" s="46" t="str">
        <f>(RBC_Rates!$C$124)</f>
        <v>0.250</v>
      </c>
      <c r="G16" s="46" t="str">
        <f>(RBC_Rates!$C$123)</f>
        <v>0.000</v>
      </c>
      <c r="H16" s="46">
        <f>(RBC_Rates!$D$162)</f>
        <v>1.7000000000000001E-2</v>
      </c>
      <c r="I16" s="46">
        <f>INDEX(BMO_rates!$B$9:$E$10,MATCH(VALUE(LEFT(A16,FIND(" ",A16)-1)),BMO_rates!$E$9:$E$10,1),2)*100</f>
        <v>0.05</v>
      </c>
      <c r="J16" s="61">
        <f>BNS_Rates!$D$44</f>
        <v>1.6500000000000001E-2</v>
      </c>
      <c r="K16" s="46">
        <f>INDEX(BNS_Rates!$B$17:$G$22,MATCH(VALUE(LEFT(A16,FIND(" ",A16)-1)),BNS_Rates!$G$17:$G$22,1),2)*100</f>
        <v>0.05</v>
      </c>
      <c r="L16" s="79">
        <v>0.6</v>
      </c>
      <c r="M16" s="46">
        <f>LEFT((ICICI_rates!$B$6),5)*100</f>
        <v>0.3</v>
      </c>
      <c r="N16" s="46">
        <f>(Manulife_rates!$C$13)*100</f>
        <v>0.5</v>
      </c>
      <c r="O16" s="61">
        <f>(Manulife_ISA_USD[ISA USD])*100</f>
        <v>1.7000000000000002</v>
      </c>
      <c r="P16" s="61">
        <f>(HSBC_rates!$C$8)*100</f>
        <v>0.1</v>
      </c>
      <c r="Q16" s="46">
        <f>(Altamira_rates!$D$11)*100</f>
        <v>1.6500000000000001</v>
      </c>
      <c r="R16" s="46">
        <f>(BNS_Rates!$D$40)*100</f>
        <v>0.25</v>
      </c>
    </row>
    <row r="17" spans="1:18" x14ac:dyDescent="0.25">
      <c r="A17" s="44" t="s">
        <v>39</v>
      </c>
      <c r="B17" s="46">
        <f>INDEX(CIBC_rates!$B$8:$E$12,MATCH(VALUE(LEFT(A17,FIND(" ",A17)-1)),CIBC_rates!$E$8:$E$12,1),2)*100</f>
        <v>0.25</v>
      </c>
      <c r="C17" s="46">
        <f>(CIBC_rates!$C$22)*100</f>
        <v>1.7000000000000002</v>
      </c>
      <c r="D17" s="46">
        <f>INDEX(TD_rates!$B$30:$E$35,MATCH(VALUE(LEFT(A17,FIND(" ",A17)-1)),TD_rates!$E$30:$E$35,1),2)*100</f>
        <v>2.5000000000000001E-2</v>
      </c>
      <c r="E17" s="46">
        <f>(TD_rates!$F$41)*100</f>
        <v>1.7000000000000002</v>
      </c>
      <c r="F17" s="46" t="str">
        <f>(RBC_Rates!$C$124)</f>
        <v>0.250</v>
      </c>
      <c r="G17" s="46" t="str">
        <f>(RBC_Rates!$C$123)</f>
        <v>0.000</v>
      </c>
      <c r="H17" s="46">
        <f>(RBC_Rates!$D$162)</f>
        <v>1.7000000000000001E-2</v>
      </c>
      <c r="I17" s="46">
        <f>INDEX(BMO_rates!$B$9:$E$10,MATCH(VALUE(LEFT(A17,FIND(" ",A17)-1)),BMO_rates!$E$9:$E$10,1),2)*100</f>
        <v>0.05</v>
      </c>
      <c r="J17" s="61">
        <f>BNS_Rates!$D$44</f>
        <v>1.6500000000000001E-2</v>
      </c>
      <c r="K17" s="46">
        <f>INDEX(BNS_Rates!$B$17:$G$22,MATCH(VALUE(LEFT(A17,FIND(" ",A17)-1)),BNS_Rates!$G$17:$G$22,1),2)*100</f>
        <v>2.5000000000000001E-2</v>
      </c>
      <c r="L17" s="79">
        <v>0.6</v>
      </c>
      <c r="M17" s="46">
        <f>LEFT((ICICI_rates!$B$6),5)*100</f>
        <v>0.3</v>
      </c>
      <c r="N17" s="46">
        <f>(Manulife_rates!$C$13)*100</f>
        <v>0.5</v>
      </c>
      <c r="O17" s="61">
        <f>(Manulife_ISA_USD[ISA USD])*100</f>
        <v>1.7000000000000002</v>
      </c>
      <c r="P17" s="61">
        <f>(HSBC_rates!$C$8)*100</f>
        <v>0.1</v>
      </c>
      <c r="Q17" s="46">
        <f>(Altamira_rates!$D$11)*100</f>
        <v>1.6500000000000001</v>
      </c>
      <c r="R17" s="46">
        <f>(BNS_Rates!$D$40)*100</f>
        <v>0.25</v>
      </c>
    </row>
    <row r="18" spans="1:18" x14ac:dyDescent="0.25">
      <c r="A18" s="44" t="s">
        <v>40</v>
      </c>
      <c r="B18" s="46">
        <f>INDEX(CIBC_rates!$B$8:$E$12,MATCH(VALUE(LEFT(A18,FIND(" ",A18)-1)),CIBC_rates!$E$8:$E$12,1),2)*100</f>
        <v>0.25</v>
      </c>
      <c r="C18" s="46">
        <f>(CIBC_rates!$C$22)*100</f>
        <v>1.7000000000000002</v>
      </c>
      <c r="D18" s="46">
        <f>INDEX(TD_rates!$B$30:$E$35,MATCH(VALUE(LEFT(A18,FIND(" ",A18)-1)),TD_rates!$E$30:$E$35,1),2)*100</f>
        <v>0.01</v>
      </c>
      <c r="E18" s="46">
        <f>(TD_rates!$F$41)*100</f>
        <v>1.7000000000000002</v>
      </c>
      <c r="F18" s="46" t="str">
        <f>(RBC_Rates!$C$124)</f>
        <v>0.250</v>
      </c>
      <c r="G18" s="46" t="str">
        <f>(RBC_Rates!$C$123)</f>
        <v>0.000</v>
      </c>
      <c r="H18" s="46">
        <f>(RBC_Rates!$D$162)</f>
        <v>1.7000000000000001E-2</v>
      </c>
      <c r="I18" s="46">
        <f>INDEX(BMO_rates!$B$9:$E$10,MATCH(VALUE(LEFT(A18,FIND(" ",A18)-1)),BMO_rates!$E$9:$E$10,1),2)*100</f>
        <v>0.05</v>
      </c>
      <c r="J18" s="61">
        <f>BNS_Rates!$D$44</f>
        <v>1.6500000000000001E-2</v>
      </c>
      <c r="K18" s="46">
        <f>INDEX(BNS_Rates!$B$17:$G$22,MATCH(VALUE(LEFT(A18,FIND(" ",A18)-1)),BNS_Rates!$G$17:$G$22,1),2)*100</f>
        <v>0.01</v>
      </c>
      <c r="L18" s="79">
        <v>0.6</v>
      </c>
      <c r="M18" s="46">
        <f>LEFT((ICICI_rates!$B$6),5)*100</f>
        <v>0.3</v>
      </c>
      <c r="N18" s="46">
        <f>(Manulife_rates!$C$13)*100</f>
        <v>0.5</v>
      </c>
      <c r="O18" s="61">
        <f>(Manulife_ISA_USD[ISA USD])*100</f>
        <v>1.7000000000000002</v>
      </c>
      <c r="P18" s="61">
        <f>(HSBC_rates!$C$8)*100</f>
        <v>0.1</v>
      </c>
      <c r="Q18" s="46">
        <f>(Altamira_rates!$D$11)*100</f>
        <v>1.6500000000000001</v>
      </c>
      <c r="R18" s="46">
        <f>(BNS_Rates!$D$40)*100</f>
        <v>0.25</v>
      </c>
    </row>
    <row r="19" spans="1:18" x14ac:dyDescent="0.25">
      <c r="A19" s="44" t="s">
        <v>41</v>
      </c>
      <c r="B19" s="46">
        <f>INDEX(CIBC_rates!$B$8:$E$12,MATCH(VALUE(LEFT(A19,FIND(" ",A19)-1)),CIBC_rates!$E$8:$E$12,1),2)*100</f>
        <v>0.25</v>
      </c>
      <c r="C19" s="46">
        <f>(CIBC_rates!$C$22)*100</f>
        <v>1.7000000000000002</v>
      </c>
      <c r="D19" s="46">
        <f>INDEX(TD_rates!$B$30:$E$35,MATCH(VALUE(LEFT(A19,FIND(" ",A19)-1)),TD_rates!$E$30:$E$35,1),2)*100</f>
        <v>0.01</v>
      </c>
      <c r="E19" s="46">
        <f>(TD_rates!$F$41)*100</f>
        <v>1.7000000000000002</v>
      </c>
      <c r="F19" s="46" t="str">
        <f>(RBC_Rates!$C$124)</f>
        <v>0.250</v>
      </c>
      <c r="G19" s="46" t="str">
        <f>(RBC_Rates!$C$123)</f>
        <v>0.000</v>
      </c>
      <c r="H19" s="46">
        <f>(RBC_Rates!$D$162)</f>
        <v>1.7000000000000001E-2</v>
      </c>
      <c r="I19" s="46">
        <f>INDEX(BMO_rates!$B$9:$E$10,MATCH(VALUE(LEFT(A19,FIND(" ",A19)-1)),BMO_rates!$E$9:$E$10,1),2)*100</f>
        <v>0.05</v>
      </c>
      <c r="J19" s="61">
        <f>BNS_Rates!$D$44</f>
        <v>1.6500000000000001E-2</v>
      </c>
      <c r="K19" s="46">
        <f>INDEX(BNS_Rates!$B$17:$G$22,MATCH(VALUE(LEFT(A19,FIND(" ",A19)-1)),BNS_Rates!$G$17:$G$22,1),2)*100</f>
        <v>0.01</v>
      </c>
      <c r="L19" s="79">
        <v>0.6</v>
      </c>
      <c r="M19" s="46">
        <f>LEFT((ICICI_rates!$B$6),5)*100</f>
        <v>0.3</v>
      </c>
      <c r="N19" s="46">
        <f>(Manulife_rates!$C$13)*100</f>
        <v>0.5</v>
      </c>
      <c r="O19" s="61">
        <f>(Manulife_ISA_USD[ISA USD])*100</f>
        <v>1.7000000000000002</v>
      </c>
      <c r="P19" s="61">
        <f>(HSBC_rates!$C$8)*100</f>
        <v>0.1</v>
      </c>
      <c r="Q19" s="46">
        <f>(Altamira_rates!$D$11)*100</f>
        <v>1.6500000000000001</v>
      </c>
      <c r="R19" s="46">
        <f>(BNS_Rates!$D$40)*100</f>
        <v>0.25</v>
      </c>
    </row>
    <row r="20" spans="1:18" s="43" customFormat="1" x14ac:dyDescent="0.25">
      <c r="A20" s="44" t="s">
        <v>484</v>
      </c>
      <c r="B20" s="46">
        <f>INDEX(CIBC_rates!$B$8:$E$12,MATCH(VALUE(LEFT(A20,FIND(" ",A20)-1)),CIBC_rates!$E$8:$E$12,1),2)*100</f>
        <v>0.25</v>
      </c>
      <c r="C20" s="46">
        <f>(CIBC_rates!$C$22)*100</f>
        <v>1.7000000000000002</v>
      </c>
      <c r="D20" s="46">
        <f>INDEX(TD_rates!$B$30:$E$35,MATCH(VALUE(LEFT(A20,FIND(" ",A20)-1)),TD_rates!$E$30:$E$35,1),2)*100</f>
        <v>0</v>
      </c>
      <c r="E20" s="46">
        <f>(TD_rates!$F$41)*100</f>
        <v>1.7000000000000002</v>
      </c>
      <c r="F20" s="46" t="str">
        <f>(RBC_Rates!$C$124)</f>
        <v>0.250</v>
      </c>
      <c r="G20" s="46" t="str">
        <f>(RBC_Rates!$C$123)</f>
        <v>0.000</v>
      </c>
      <c r="H20" s="46">
        <f>(RBC_Rates!$D$162)</f>
        <v>1.7000000000000001E-2</v>
      </c>
      <c r="I20" s="46">
        <f>INDEX(BMO_rates!$B$9:$E$10,MATCH(VALUE(LEFT(A20,FIND(" ",A20)-1)),BMO_rates!$E$9:$E$10,1),2)*100</f>
        <v>0.05</v>
      </c>
      <c r="J20" s="61">
        <f>BNS_Rates!$D$44</f>
        <v>1.6500000000000001E-2</v>
      </c>
      <c r="K20" s="46">
        <f>INDEX(BNS_Rates!$B$17:$G$22,MATCH(VALUE(LEFT(A20,FIND(" ",A20)-1)),BNS_Rates!$G$17:$G$22,1),2)*100</f>
        <v>0</v>
      </c>
      <c r="L20" s="79">
        <v>0.6</v>
      </c>
      <c r="M20" s="46">
        <f>LEFT((ICICI_rates!$B$6),5)*100</f>
        <v>0.3</v>
      </c>
      <c r="N20" s="46">
        <f>(Manulife_rates!$C$13)*100</f>
        <v>0.5</v>
      </c>
      <c r="O20" s="61">
        <f>(Manulife_ISA_USD[ISA USD])*100</f>
        <v>1.7000000000000002</v>
      </c>
      <c r="P20" s="61">
        <f>(HSBC_rates!$C$8)*100</f>
        <v>0.1</v>
      </c>
      <c r="Q20" s="46">
        <f>(Altamira_rates!$D$11)*100</f>
        <v>1.6500000000000001</v>
      </c>
      <c r="R20" s="46">
        <f>(BNS_Rates!$D$40)*100</f>
        <v>0.25</v>
      </c>
    </row>
    <row r="21" spans="1:18" x14ac:dyDescent="0.25">
      <c r="A21" s="44" t="s">
        <v>485</v>
      </c>
      <c r="B21" s="46">
        <f>INDEX(CIBC_rates!$B$8:$E$12,MATCH(VALUE(LEFT(A21,FIND(" ",A21)-1)),CIBC_rates!$E$8:$E$12,1),2)*100</f>
        <v>0.25</v>
      </c>
      <c r="C21" s="46">
        <f>(CIBC_rates!$C$22)*100</f>
        <v>1.7000000000000002</v>
      </c>
      <c r="D21" s="46">
        <f>INDEX(TD_rates!$B$30:$E$35,MATCH(VALUE(LEFT(A21,FIND(" ",A21)-1)),TD_rates!$E$30:$E$35,1),2)*100</f>
        <v>0</v>
      </c>
      <c r="E21" s="46">
        <f>(TD_rates!$F$41)*100</f>
        <v>1.7000000000000002</v>
      </c>
      <c r="F21" s="46" t="str">
        <f>(RBC_Rates!$C$124)</f>
        <v>0.250</v>
      </c>
      <c r="G21" s="46" t="str">
        <f>(RBC_Rates!$C$123)</f>
        <v>0.000</v>
      </c>
      <c r="H21" s="46" t="s">
        <v>32</v>
      </c>
      <c r="I21" s="46">
        <f>INDEX(BMO_rates!$B$9:$E$10,MATCH(VALUE(LEFT(A21,FIND(" ",A21)-1)),BMO_rates!$E$9:$E$10,1),2)*100</f>
        <v>0.05</v>
      </c>
      <c r="J21" s="61">
        <f>BNS_Rates!$D$44</f>
        <v>1.6500000000000001E-2</v>
      </c>
      <c r="K21" s="46">
        <f>INDEX(BNS_Rates!$B$17:$G$22,MATCH(VALUE(LEFT(A21,FIND(" ",A21)-1)),BNS_Rates!$G$17:$G$22,1),2)*100</f>
        <v>0</v>
      </c>
      <c r="L21" s="79">
        <v>0.6</v>
      </c>
      <c r="M21" s="46">
        <f>LEFT((ICICI_rates!$B$6),5)*100</f>
        <v>0.3</v>
      </c>
      <c r="N21" s="46">
        <f>(Manulife_rates!$C$13)*100</f>
        <v>0.5</v>
      </c>
      <c r="O21" s="61">
        <f>(Manulife_ISA_USD[ISA USD])*100</f>
        <v>1.7000000000000002</v>
      </c>
      <c r="P21" s="61">
        <f>(HSBC_rates!$C$8)*100</f>
        <v>0.1</v>
      </c>
      <c r="Q21" s="46">
        <f>(Altamira_rates!$D$11)*100</f>
        <v>1.6500000000000001</v>
      </c>
      <c r="R21" s="46">
        <f>(BNS_Rates!$D$40)*100</f>
        <v>0.25</v>
      </c>
    </row>
    <row r="22" spans="1:18" x14ac:dyDescent="0.25">
      <c r="A22" s="55"/>
      <c r="B22" s="56"/>
      <c r="C22" s="57"/>
      <c r="D22" s="58"/>
      <c r="E22" s="58"/>
      <c r="F22" s="58"/>
      <c r="G22" s="58"/>
      <c r="H22" s="57"/>
      <c r="I22" s="59"/>
      <c r="J22" s="65"/>
      <c r="K22" s="58"/>
      <c r="L22" s="57"/>
      <c r="M22" s="56"/>
      <c r="N22" s="57"/>
      <c r="O22" s="57"/>
      <c r="P22" s="57"/>
      <c r="Q22" s="57"/>
      <c r="R22" s="55"/>
    </row>
    <row r="23" spans="1:18" hidden="1" x14ac:dyDescent="0.25">
      <c r="A23" s="11" t="s">
        <v>30</v>
      </c>
      <c r="B23" s="12">
        <v>43625</v>
      </c>
      <c r="C23" s="12">
        <v>43626</v>
      </c>
      <c r="D23" s="12">
        <v>43627</v>
      </c>
      <c r="E23" s="12">
        <v>43628</v>
      </c>
      <c r="F23" s="12">
        <v>43629</v>
      </c>
      <c r="G23" s="12">
        <v>43630</v>
      </c>
      <c r="H23" s="12">
        <v>43631</v>
      </c>
      <c r="I23" s="12">
        <v>43632</v>
      </c>
      <c r="J23" s="12">
        <v>43633</v>
      </c>
      <c r="K23" s="12">
        <v>43634</v>
      </c>
      <c r="L23" s="12">
        <v>43635</v>
      </c>
      <c r="M23" s="12">
        <v>43636</v>
      </c>
      <c r="N23" s="12">
        <v>43637</v>
      </c>
      <c r="O23" s="12">
        <v>43638</v>
      </c>
      <c r="P23" s="12"/>
      <c r="Q23" s="12">
        <v>43639</v>
      </c>
      <c r="R23" s="12">
        <v>43640</v>
      </c>
    </row>
    <row r="24" spans="1:18" x14ac:dyDescent="0.25">
      <c r="A24" s="15" t="s">
        <v>43</v>
      </c>
      <c r="B24" s="44" t="s">
        <v>44</v>
      </c>
      <c r="C24" s="44" t="s">
        <v>45</v>
      </c>
      <c r="D24" s="44" t="s">
        <v>44</v>
      </c>
      <c r="E24" s="44" t="s">
        <v>45</v>
      </c>
      <c r="F24" s="44" t="s">
        <v>44</v>
      </c>
      <c r="G24" s="44" t="s">
        <v>44</v>
      </c>
      <c r="H24" s="44" t="s">
        <v>45</v>
      </c>
      <c r="I24" s="44" t="s">
        <v>44</v>
      </c>
      <c r="J24" s="44" t="s">
        <v>45</v>
      </c>
      <c r="K24" s="44" t="s">
        <v>44</v>
      </c>
      <c r="L24" s="44" t="s">
        <v>44</v>
      </c>
      <c r="M24" s="44" t="s">
        <v>44</v>
      </c>
      <c r="N24" s="44" t="s">
        <v>44</v>
      </c>
      <c r="O24" s="44" t="s">
        <v>45</v>
      </c>
      <c r="P24" s="44"/>
      <c r="Q24" s="44" t="s">
        <v>45</v>
      </c>
      <c r="R24" s="44" t="s">
        <v>45</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0" sqref="J10"/>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3" bestFit="1" customWidth="1"/>
    <col min="9" max="9" width="10" bestFit="1" customWidth="1"/>
    <col min="10" max="10" width="12.5703125" bestFit="1" customWidth="1"/>
    <col min="11" max="12" width="10" bestFit="1" customWidth="1"/>
    <col min="13" max="13" width="11" bestFit="1" customWidth="1"/>
    <col min="14" max="14" width="12" customWidth="1"/>
  </cols>
  <sheetData>
    <row r="1" spans="1:14" ht="25.5" x14ac:dyDescent="0.35">
      <c r="A1" s="48"/>
      <c r="B1" s="48"/>
      <c r="C1" s="48"/>
      <c r="D1" s="48"/>
      <c r="E1" s="48"/>
      <c r="F1" s="48"/>
      <c r="G1" s="48"/>
      <c r="H1" s="48"/>
      <c r="I1" s="48"/>
      <c r="J1" s="48"/>
      <c r="K1" s="48"/>
      <c r="L1" s="3"/>
      <c r="M1" s="3"/>
      <c r="N1" s="3"/>
    </row>
    <row r="2" spans="1:14" ht="25.5" x14ac:dyDescent="0.35">
      <c r="A2" s="66"/>
      <c r="B2" s="76" t="s">
        <v>46</v>
      </c>
      <c r="C2" s="66"/>
      <c r="D2" s="66"/>
      <c r="E2" s="66"/>
      <c r="F2" s="66"/>
      <c r="G2" s="66"/>
      <c r="H2" s="66"/>
      <c r="I2" s="66"/>
      <c r="J2" s="66"/>
      <c r="K2" s="66"/>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7" t="s">
        <v>490</v>
      </c>
      <c r="B7" s="6"/>
      <c r="C7" s="3"/>
      <c r="D7" s="3"/>
      <c r="E7" s="3"/>
      <c r="F7" s="3"/>
      <c r="G7" s="3"/>
      <c r="H7" s="3"/>
      <c r="I7" s="3"/>
      <c r="J7" s="3"/>
      <c r="K7" s="3"/>
      <c r="L7" s="3"/>
      <c r="M7" s="3"/>
      <c r="N7" s="3"/>
    </row>
    <row r="8" spans="1:14" x14ac:dyDescent="0.25">
      <c r="A8" s="10"/>
      <c r="B8" s="10"/>
      <c r="C8" s="10"/>
      <c r="D8" s="10"/>
      <c r="E8" s="10"/>
      <c r="F8" s="10"/>
      <c r="G8" s="10"/>
      <c r="H8" s="10"/>
      <c r="I8" s="10"/>
      <c r="J8" s="10"/>
      <c r="K8" s="10"/>
      <c r="L8" s="10"/>
      <c r="M8" s="10"/>
      <c r="N8" s="10"/>
    </row>
    <row r="9" spans="1:14" x14ac:dyDescent="0.25">
      <c r="A9" s="50"/>
      <c r="B9" s="50" t="s">
        <v>1</v>
      </c>
      <c r="C9" s="50" t="s">
        <v>1</v>
      </c>
      <c r="D9" s="50" t="s">
        <v>2</v>
      </c>
      <c r="E9" s="50" t="s">
        <v>2</v>
      </c>
      <c r="F9" s="50" t="s">
        <v>2</v>
      </c>
      <c r="G9" s="50" t="s">
        <v>2</v>
      </c>
      <c r="H9" s="50" t="s">
        <v>5</v>
      </c>
      <c r="I9" s="50" t="s">
        <v>6</v>
      </c>
      <c r="J9" s="50" t="s">
        <v>47</v>
      </c>
      <c r="K9" s="50" t="s">
        <v>9</v>
      </c>
      <c r="L9" s="50" t="s">
        <v>12</v>
      </c>
      <c r="M9" s="73" t="s">
        <v>48</v>
      </c>
      <c r="N9" s="50" t="s">
        <v>13</v>
      </c>
    </row>
    <row r="10" spans="1:14" ht="51.75" x14ac:dyDescent="0.25">
      <c r="A10" s="53"/>
      <c r="B10" s="53" t="s">
        <v>441</v>
      </c>
      <c r="C10" s="53" t="s">
        <v>49</v>
      </c>
      <c r="D10" s="53" t="s">
        <v>50</v>
      </c>
      <c r="E10" s="53" t="s">
        <v>424</v>
      </c>
      <c r="F10" s="53" t="s">
        <v>425</v>
      </c>
      <c r="G10" s="53" t="s">
        <v>426</v>
      </c>
      <c r="H10" s="53" t="s">
        <v>430</v>
      </c>
      <c r="I10" s="53" t="s">
        <v>50</v>
      </c>
      <c r="J10" s="53" t="s">
        <v>510</v>
      </c>
      <c r="K10" s="53" t="s">
        <v>50</v>
      </c>
      <c r="L10" s="53" t="s">
        <v>51</v>
      </c>
      <c r="M10" s="53" t="s">
        <v>52</v>
      </c>
      <c r="N10" s="53" t="s">
        <v>27</v>
      </c>
    </row>
    <row r="11" spans="1:14" x14ac:dyDescent="0.25">
      <c r="A11" s="8" t="s">
        <v>486</v>
      </c>
      <c r="B11" s="46">
        <f>(CIBC_rates!$B$25)*100</f>
        <v>1.6</v>
      </c>
      <c r="C11" s="46">
        <f>(CIBC_rates!$C$21)*100</f>
        <v>1.6</v>
      </c>
      <c r="D11" s="46">
        <f>(TD_rates!$F$40)*100</f>
        <v>1.6</v>
      </c>
      <c r="E11" s="46">
        <f>(TD_rates!$F$42)*100</f>
        <v>1.6</v>
      </c>
      <c r="F11" s="46">
        <f>(TD_rates!$F$43)*100</f>
        <v>1.6</v>
      </c>
      <c r="G11" s="46">
        <f>(TD_rates!$F$44)*100</f>
        <v>1.6</v>
      </c>
      <c r="H11" s="61">
        <v>1.75</v>
      </c>
      <c r="I11" s="46" t="s">
        <v>32</v>
      </c>
      <c r="J11" s="46">
        <f>(Altamira_rates!$D$4)*100</f>
        <v>1.6</v>
      </c>
      <c r="K11" s="46">
        <f>(Manulife_ISA_CAD[ISA CAD])*100</f>
        <v>1.6</v>
      </c>
      <c r="L11" s="77">
        <f>(B2B_rates!$D$2)*100</f>
        <v>1.6</v>
      </c>
      <c r="M11" s="46">
        <f>(HomeTrust_rates!$B$13)*100</f>
        <v>1.6</v>
      </c>
      <c r="N11" s="46">
        <f>(BNS_Rates!$C$40)*100</f>
        <v>0.25</v>
      </c>
    </row>
    <row r="12" spans="1:14" s="43" customFormat="1" x14ac:dyDescent="0.25">
      <c r="A12" s="44" t="s">
        <v>408</v>
      </c>
      <c r="B12" s="46">
        <f>(CIBC_rates!$B$25)*100</f>
        <v>1.6</v>
      </c>
      <c r="C12" s="46">
        <f>(CIBC_rates!$C$21)*100</f>
        <v>1.6</v>
      </c>
      <c r="D12" s="46">
        <f>(TD_rates!$F$40)*100</f>
        <v>1.6</v>
      </c>
      <c r="E12" s="46">
        <f>(TD_rates!$F$42)*100</f>
        <v>1.6</v>
      </c>
      <c r="F12" s="46">
        <f>(TD_rates!$F$43)*100</f>
        <v>1.6</v>
      </c>
      <c r="G12" s="46">
        <f>(TD_rates!$F$44)*100</f>
        <v>1.6</v>
      </c>
      <c r="H12" s="61">
        <v>1.75</v>
      </c>
      <c r="I12" s="46">
        <f>(RBC_Rates!$C$162)*100</f>
        <v>1.6</v>
      </c>
      <c r="J12" s="46">
        <f>(Altamira_rates!$D$4)*100</f>
        <v>1.6</v>
      </c>
      <c r="K12" s="46">
        <f>(Manulife_ISA_CAD[ISA CAD])*100</f>
        <v>1.6</v>
      </c>
      <c r="L12" s="77">
        <f>(B2B_rates!$D$2)*100</f>
        <v>1.6</v>
      </c>
      <c r="M12" s="46">
        <f>(HomeTrust_rates!$B$13)*100</f>
        <v>1.6</v>
      </c>
      <c r="N12" s="46">
        <f>(BNS_Rates!$C$40)*100</f>
        <v>0.25</v>
      </c>
    </row>
    <row r="13" spans="1:14" x14ac:dyDescent="0.25">
      <c r="A13" s="44" t="s">
        <v>409</v>
      </c>
      <c r="B13" s="46">
        <f>(CIBC_rates!$B$25)*100</f>
        <v>1.6</v>
      </c>
      <c r="C13" s="46">
        <f>(CIBC_rates!$C$21)*100</f>
        <v>1.6</v>
      </c>
      <c r="D13" s="46">
        <f>(TD_rates!$F$40)*100</f>
        <v>1.6</v>
      </c>
      <c r="E13" s="46">
        <f>(TD_rates!$F$42)*100</f>
        <v>1.6</v>
      </c>
      <c r="F13" s="46">
        <f>(TD_rates!$F$43)*100</f>
        <v>1.6</v>
      </c>
      <c r="G13" s="46">
        <f>(TD_rates!$F$44)*100</f>
        <v>1.6</v>
      </c>
      <c r="H13" s="61">
        <v>1.6</v>
      </c>
      <c r="I13" s="46">
        <f>(RBC_Rates!$C$162)*100</f>
        <v>1.6</v>
      </c>
      <c r="J13" s="46">
        <f>(Altamira_rates!$D$4)*100</f>
        <v>1.6</v>
      </c>
      <c r="K13" s="46">
        <f>(Manulife_ISA_CAD[ISA CAD])*100</f>
        <v>1.6</v>
      </c>
      <c r="L13" s="77">
        <f>(B2B_rates!$D$2)*100</f>
        <v>1.6</v>
      </c>
      <c r="M13" s="46">
        <f>(HomeTrust_rates!$B$13)*100</f>
        <v>1.6</v>
      </c>
      <c r="N13" s="46">
        <f>(BNS_Rates!$C$40)*100</f>
        <v>0.25</v>
      </c>
    </row>
    <row r="14" spans="1:14" x14ac:dyDescent="0.25">
      <c r="A14" s="44" t="s">
        <v>410</v>
      </c>
      <c r="B14" s="46">
        <f>(CIBC_rates!$B$25)*100</f>
        <v>1.6</v>
      </c>
      <c r="C14" s="46">
        <f>(CIBC_rates!$C$21)*100</f>
        <v>1.6</v>
      </c>
      <c r="D14" s="46">
        <f>(TD_rates!$F$40)*100</f>
        <v>1.6</v>
      </c>
      <c r="E14" s="46">
        <f>(TD_rates!$F$42)*100</f>
        <v>1.6</v>
      </c>
      <c r="F14" s="46">
        <f>(TD_rates!$F$43)*100</f>
        <v>1.6</v>
      </c>
      <c r="G14" s="46">
        <f>(TD_rates!$F$44)*100</f>
        <v>1.6</v>
      </c>
      <c r="H14" s="61">
        <v>1.6</v>
      </c>
      <c r="I14" s="46">
        <f>(RBC_Rates!$C$162)*100</f>
        <v>1.6</v>
      </c>
      <c r="J14" s="46">
        <f>(Altamira_rates!$D$4)*100</f>
        <v>1.6</v>
      </c>
      <c r="K14" s="46">
        <f>(Manulife_ISA_CAD[ISA CAD])*100</f>
        <v>1.6</v>
      </c>
      <c r="L14" s="77">
        <f>(B2B_rates!$D$2)*100</f>
        <v>1.6</v>
      </c>
      <c r="M14" s="46">
        <f>(HomeTrust_rates!$B$13)*100</f>
        <v>1.6</v>
      </c>
      <c r="N14" s="46">
        <f>(BNS_Rates!$C$40)*100</f>
        <v>0.25</v>
      </c>
    </row>
    <row r="15" spans="1:14" x14ac:dyDescent="0.25">
      <c r="A15" s="44" t="s">
        <v>411</v>
      </c>
      <c r="B15" s="46">
        <f>(CIBC_rates!$B$25)*100</f>
        <v>1.6</v>
      </c>
      <c r="C15" s="46">
        <f>(CIBC_rates!$C$21)*100</f>
        <v>1.6</v>
      </c>
      <c r="D15" s="46">
        <f>(TD_rates!$F$40)*100</f>
        <v>1.6</v>
      </c>
      <c r="E15" s="46">
        <f>(TD_rates!$F$42)*100</f>
        <v>1.6</v>
      </c>
      <c r="F15" s="46">
        <f>(TD_rates!$F$43)*100</f>
        <v>1.6</v>
      </c>
      <c r="G15" s="46">
        <f>(TD_rates!$F$44)*100</f>
        <v>1.6</v>
      </c>
      <c r="H15" s="61">
        <v>1.6</v>
      </c>
      <c r="I15" s="46">
        <f>(RBC_Rates!$C$162)*100</f>
        <v>1.6</v>
      </c>
      <c r="J15" s="46">
        <f>(Altamira_rates!$D$4)*100</f>
        <v>1.6</v>
      </c>
      <c r="K15" s="46">
        <f>(Manulife_ISA_CAD[ISA CAD])*100</f>
        <v>1.6</v>
      </c>
      <c r="L15" s="77">
        <f>(B2B_rates!$D$2)*100</f>
        <v>1.6</v>
      </c>
      <c r="M15" s="46">
        <f>(HomeTrust_rates!$B$13)*100</f>
        <v>1.6</v>
      </c>
      <c r="N15" s="46">
        <f>(BNS_Rates!$C$40)*100</f>
        <v>0.25</v>
      </c>
    </row>
    <row r="16" spans="1:14" x14ac:dyDescent="0.25">
      <c r="A16" s="44" t="s">
        <v>38</v>
      </c>
      <c r="B16" s="46">
        <f>(CIBC_rates!$B$25)*100</f>
        <v>1.6</v>
      </c>
      <c r="C16" s="46">
        <f>(CIBC_rates!$C$21)*100</f>
        <v>1.6</v>
      </c>
      <c r="D16" s="46">
        <f>(TD_rates!$F$40)*100</f>
        <v>1.6</v>
      </c>
      <c r="E16" s="46">
        <f>(TD_rates!$F$42)*100</f>
        <v>1.6</v>
      </c>
      <c r="F16" s="46">
        <f>(TD_rates!$F$43)*100</f>
        <v>1.6</v>
      </c>
      <c r="G16" s="46">
        <f>(TD_rates!$F$44)*100</f>
        <v>1.6</v>
      </c>
      <c r="H16" s="61">
        <v>1.6</v>
      </c>
      <c r="I16" s="46">
        <f>(RBC_Rates!$C$162)*100</f>
        <v>1.6</v>
      </c>
      <c r="J16" s="46">
        <f>(Altamira_rates!$D$4)*100</f>
        <v>1.6</v>
      </c>
      <c r="K16" s="46">
        <f>(Manulife_ISA_CAD[ISA CAD])*100</f>
        <v>1.6</v>
      </c>
      <c r="L16" s="77">
        <f>(B2B_rates!$D$2)*100</f>
        <v>1.6</v>
      </c>
      <c r="M16" s="46">
        <f>(HomeTrust_rates!$B$13)*100</f>
        <v>1.6</v>
      </c>
      <c r="N16" s="46">
        <f>(BNS_Rates!$C$40)*100</f>
        <v>0.25</v>
      </c>
    </row>
    <row r="17" spans="1:14" x14ac:dyDescent="0.25">
      <c r="A17" s="44" t="s">
        <v>39</v>
      </c>
      <c r="B17" s="46">
        <f>(CIBC_rates!$B$25)*100</f>
        <v>1.6</v>
      </c>
      <c r="C17" s="46">
        <f>(CIBC_rates!$C$21)*100</f>
        <v>1.6</v>
      </c>
      <c r="D17" s="46">
        <f>(TD_rates!$F$40)*100</f>
        <v>1.6</v>
      </c>
      <c r="E17" s="46">
        <f>(TD_rates!$F$42)*100</f>
        <v>1.6</v>
      </c>
      <c r="F17" s="46">
        <f>(TD_rates!$F$43)*100</f>
        <v>1.6</v>
      </c>
      <c r="G17" s="46">
        <f>(TD_rates!$F$44)*100</f>
        <v>1.6</v>
      </c>
      <c r="H17" s="61">
        <v>1.6</v>
      </c>
      <c r="I17" s="46">
        <f>(RBC_Rates!$C$162)*100</f>
        <v>1.6</v>
      </c>
      <c r="J17" s="46">
        <f>(Altamira_rates!$D$4)*100</f>
        <v>1.6</v>
      </c>
      <c r="K17" s="46">
        <f>(Manulife_ISA_CAD[ISA CAD])*100</f>
        <v>1.6</v>
      </c>
      <c r="L17" s="77">
        <f>(B2B_rates!$D$2)*100</f>
        <v>1.6</v>
      </c>
      <c r="M17" s="46">
        <f>(HomeTrust_rates!$B$13)*100</f>
        <v>1.6</v>
      </c>
      <c r="N17" s="46">
        <f>(BNS_Rates!$C$40)*100</f>
        <v>0.25</v>
      </c>
    </row>
    <row r="18" spans="1:14" x14ac:dyDescent="0.25">
      <c r="A18" s="44" t="s">
        <v>40</v>
      </c>
      <c r="B18" s="46">
        <f>(CIBC_rates!$B$25)*100</f>
        <v>1.6</v>
      </c>
      <c r="C18" s="46">
        <f>(CIBC_rates!$C$21)*100</f>
        <v>1.6</v>
      </c>
      <c r="D18" s="46">
        <f>(TD_rates!$F$40)*100</f>
        <v>1.6</v>
      </c>
      <c r="E18" s="46">
        <f>(TD_rates!$F$42)*100</f>
        <v>1.6</v>
      </c>
      <c r="F18" s="46">
        <f>(TD_rates!$F$43)*100</f>
        <v>1.6</v>
      </c>
      <c r="G18" s="46">
        <f>(TD_rates!$F$44)*100</f>
        <v>1.6</v>
      </c>
      <c r="H18" s="61">
        <v>1.6</v>
      </c>
      <c r="I18" s="46">
        <f>(RBC_Rates!$C$162)*100</f>
        <v>1.6</v>
      </c>
      <c r="J18" s="46">
        <f>(Altamira_rates!$D$4)*100</f>
        <v>1.6</v>
      </c>
      <c r="K18" s="46">
        <f>(Manulife_ISA_CAD[ISA CAD])*100</f>
        <v>1.6</v>
      </c>
      <c r="L18" s="77">
        <f>(B2B_rates!$D$2)*100</f>
        <v>1.6</v>
      </c>
      <c r="M18" s="46">
        <f>(HomeTrust_rates!$B$13)*100</f>
        <v>1.6</v>
      </c>
      <c r="N18" s="46">
        <f>(BNS_Rates!$C$40)*100</f>
        <v>0.25</v>
      </c>
    </row>
    <row r="19" spans="1:14" x14ac:dyDescent="0.25">
      <c r="A19" s="44" t="s">
        <v>41</v>
      </c>
      <c r="B19" s="46">
        <f>(CIBC_rates!$B$25)*100</f>
        <v>1.6</v>
      </c>
      <c r="C19" s="46">
        <f>(CIBC_rates!$C$21)*100</f>
        <v>1.6</v>
      </c>
      <c r="D19" s="46">
        <f>(TD_rates!$F$40)*100</f>
        <v>1.6</v>
      </c>
      <c r="E19" s="46">
        <f>(TD_rates!$F$42)*100</f>
        <v>1.6</v>
      </c>
      <c r="F19" s="46">
        <f>(TD_rates!$F$43)*100</f>
        <v>1.6</v>
      </c>
      <c r="G19" s="46">
        <f>(TD_rates!$F$44)*100</f>
        <v>1.6</v>
      </c>
      <c r="H19" s="61">
        <v>1.6</v>
      </c>
      <c r="I19" s="46">
        <f>(RBC_Rates!$C$162)*100</f>
        <v>1.6</v>
      </c>
      <c r="J19" s="46">
        <f>(Altamira_rates!$D$4)*100</f>
        <v>1.6</v>
      </c>
      <c r="K19" s="46">
        <f>(Manulife_ISA_CAD[ISA CAD])*100</f>
        <v>1.6</v>
      </c>
      <c r="L19" s="77">
        <f>(B2B_rates!$D$2)*100</f>
        <v>1.6</v>
      </c>
      <c r="M19" s="46">
        <f>(HomeTrust_rates!$B$13)*100</f>
        <v>1.6</v>
      </c>
      <c r="N19" s="46">
        <f>(BNS_Rates!$C$40)*100</f>
        <v>0.25</v>
      </c>
    </row>
    <row r="20" spans="1:14" s="43" customFormat="1" x14ac:dyDescent="0.25">
      <c r="A20" s="44" t="s">
        <v>484</v>
      </c>
      <c r="B20" s="46">
        <f>(CIBC_rates!$B$25)*100</f>
        <v>1.6</v>
      </c>
      <c r="C20" s="46">
        <f>(CIBC_rates!$C$21)*100</f>
        <v>1.6</v>
      </c>
      <c r="D20" s="46">
        <f>(TD_rates!$F$40)*100</f>
        <v>1.6</v>
      </c>
      <c r="E20" s="46">
        <f>(TD_rates!$F$42)*100</f>
        <v>1.6</v>
      </c>
      <c r="F20" s="46">
        <f>(TD_rates!$F$43)*100</f>
        <v>1.6</v>
      </c>
      <c r="G20" s="46">
        <f>(TD_rates!$F$44)*100</f>
        <v>1.6</v>
      </c>
      <c r="H20" s="61">
        <v>1.6</v>
      </c>
      <c r="I20" s="46">
        <f>(RBC_Rates!$C$162)*100</f>
        <v>1.6</v>
      </c>
      <c r="J20" s="46">
        <f>(Altamira_rates!$D$4)*100</f>
        <v>1.6</v>
      </c>
      <c r="K20" s="46">
        <f>(Manulife_ISA_CAD[ISA CAD])*100</f>
        <v>1.6</v>
      </c>
      <c r="L20" s="77">
        <f>(B2B_rates!$D$2)*100</f>
        <v>1.6</v>
      </c>
      <c r="M20" s="46">
        <f>(HomeTrust_rates!$B$13)*100</f>
        <v>1.6</v>
      </c>
      <c r="N20" s="46">
        <f>(BNS_Rates!$C$40)*100</f>
        <v>0.25</v>
      </c>
    </row>
    <row r="21" spans="1:14" x14ac:dyDescent="0.25">
      <c r="A21" s="44" t="s">
        <v>485</v>
      </c>
      <c r="B21" s="46">
        <f>(CIBC_rates!$B$25)*100</f>
        <v>1.6</v>
      </c>
      <c r="C21" s="46">
        <f>(CIBC_rates!$C$21)*100</f>
        <v>1.6</v>
      </c>
      <c r="D21" s="46">
        <f>(TD_rates!$F$40)*100</f>
        <v>1.6</v>
      </c>
      <c r="E21" s="46">
        <f>(TD_rates!$F$42)*100</f>
        <v>1.6</v>
      </c>
      <c r="F21" s="46">
        <f>(TD_rates!$F$43)*100</f>
        <v>1.6</v>
      </c>
      <c r="G21" s="46">
        <f>(TD_rates!$F$44)*100</f>
        <v>1.6</v>
      </c>
      <c r="H21" s="61">
        <v>1.6</v>
      </c>
      <c r="I21" s="46" t="s">
        <v>32</v>
      </c>
      <c r="J21" s="46" t="s">
        <v>32</v>
      </c>
      <c r="K21" s="46">
        <f>(Manulife_ISA_CAD[ISA CAD])*100</f>
        <v>1.6</v>
      </c>
      <c r="L21" s="77">
        <f>(B2B_rates!$D$2)*100</f>
        <v>1.6</v>
      </c>
      <c r="M21" s="46" t="s">
        <v>32</v>
      </c>
      <c r="N21" s="46">
        <f>(BNS_Rates!$C$40)*100</f>
        <v>0.25</v>
      </c>
    </row>
    <row r="22" spans="1:14" x14ac:dyDescent="0.25">
      <c r="A22" s="10"/>
      <c r="B22" s="10"/>
      <c r="C22" s="10"/>
      <c r="D22" s="10"/>
      <c r="E22" s="10"/>
      <c r="F22" s="10"/>
      <c r="G22" s="10"/>
      <c r="H22" s="10"/>
      <c r="I22" s="10"/>
      <c r="J22" s="10"/>
      <c r="K22" s="10"/>
      <c r="L22" s="10"/>
      <c r="M22" s="23"/>
    </row>
    <row r="23" spans="1:14" hidden="1" x14ac:dyDescent="0.25">
      <c r="A23" s="11" t="s">
        <v>30</v>
      </c>
      <c r="B23" s="12">
        <v>43294</v>
      </c>
      <c r="C23" s="12">
        <v>43294</v>
      </c>
      <c r="D23" s="12">
        <v>43298</v>
      </c>
      <c r="E23" s="42">
        <v>43458</v>
      </c>
      <c r="F23" s="42">
        <v>43458</v>
      </c>
      <c r="G23" s="42">
        <v>43458</v>
      </c>
      <c r="H23" s="42">
        <v>43123</v>
      </c>
      <c r="I23" s="42">
        <v>43293</v>
      </c>
      <c r="J23" s="42">
        <v>43294</v>
      </c>
      <c r="K23" s="42">
        <v>43300</v>
      </c>
      <c r="L23" s="42">
        <v>43130</v>
      </c>
      <c r="M23" s="42">
        <v>43410</v>
      </c>
    </row>
    <row r="24" spans="1:14" hidden="1" x14ac:dyDescent="0.25">
      <c r="A24" s="15" t="s">
        <v>31</v>
      </c>
      <c r="B24" s="12">
        <v>41911</v>
      </c>
      <c r="C24" s="16">
        <v>39944</v>
      </c>
      <c r="D24" s="13">
        <v>40849</v>
      </c>
      <c r="E24" s="42"/>
      <c r="F24" s="42"/>
      <c r="G24" s="42"/>
      <c r="H24" s="42">
        <v>38961</v>
      </c>
      <c r="I24" s="42"/>
      <c r="J24" s="78"/>
      <c r="K24" s="16"/>
      <c r="L24" s="12"/>
      <c r="M24" s="1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7" customWidth="1"/>
    <col min="2" max="2" width="74.28515625" style="28" customWidth="1"/>
    <col min="3" max="3" width="23.140625" style="29" customWidth="1"/>
    <col min="4" max="4" width="24.140625" style="29" customWidth="1"/>
    <col min="5" max="16384" width="9.140625" style="29"/>
  </cols>
  <sheetData>
    <row r="1" spans="1:4" customFormat="1" ht="73.5" customHeight="1" x14ac:dyDescent="0.25">
      <c r="A1" s="83" t="s">
        <v>263</v>
      </c>
      <c r="B1" s="84"/>
      <c r="C1" s="84"/>
      <c r="D1" s="84"/>
    </row>
    <row r="2" spans="1:4" customFormat="1" ht="3" customHeight="1" x14ac:dyDescent="0.25">
      <c r="A2" s="30"/>
      <c r="B2" s="31"/>
      <c r="C2" s="31"/>
      <c r="D2" s="31"/>
    </row>
    <row r="3" spans="1:4" s="24" customFormat="1" ht="15.75" x14ac:dyDescent="0.25">
      <c r="A3" s="24" t="s">
        <v>256</v>
      </c>
      <c r="B3" s="25" t="s">
        <v>258</v>
      </c>
      <c r="C3" s="24" t="s">
        <v>257</v>
      </c>
      <c r="D3" s="24" t="s">
        <v>259</v>
      </c>
    </row>
    <row r="4" spans="1:4" s="24" customFormat="1" ht="15.75" x14ac:dyDescent="0.25">
      <c r="A4" s="26"/>
      <c r="B4" s="25"/>
    </row>
    <row r="5" spans="1:4" ht="75" x14ac:dyDescent="0.25">
      <c r="A5" s="27">
        <v>43364</v>
      </c>
      <c r="B5" s="28" t="s">
        <v>262</v>
      </c>
      <c r="C5" s="29" t="s">
        <v>260</v>
      </c>
      <c r="D5" s="29" t="s">
        <v>261</v>
      </c>
    </row>
    <row r="6" spans="1:4" x14ac:dyDescent="0.25">
      <c r="A6" s="27">
        <v>43626</v>
      </c>
      <c r="B6" s="28" t="s">
        <v>421</v>
      </c>
      <c r="C6" s="29" t="s">
        <v>422</v>
      </c>
      <c r="D6" s="29" t="s">
        <v>423</v>
      </c>
    </row>
    <row r="7" spans="1:4" ht="45" x14ac:dyDescent="0.25">
      <c r="A7" s="27">
        <v>43656</v>
      </c>
      <c r="B7" s="28" t="s">
        <v>501</v>
      </c>
      <c r="C7" s="29" t="s">
        <v>422</v>
      </c>
      <c r="D7" s="29" t="s">
        <v>423</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 sqref="B2:C2"/>
    </sheetView>
  </sheetViews>
  <sheetFormatPr defaultRowHeight="15" x14ac:dyDescent="0.25"/>
  <cols>
    <col min="1" max="1" width="41" bestFit="1" customWidth="1"/>
    <col min="2" max="2" width="18.140625" style="43" bestFit="1" customWidth="1"/>
    <col min="3" max="3" width="12.7109375" style="43" bestFit="1" customWidth="1"/>
    <col min="4" max="4" width="18.28515625" bestFit="1" customWidth="1"/>
    <col min="5" max="5" width="12.5703125" bestFit="1" customWidth="1"/>
    <col min="7" max="7" width="12.5703125" bestFit="1" customWidth="1"/>
  </cols>
  <sheetData>
    <row r="1" spans="1:5" x14ac:dyDescent="0.25">
      <c r="B1" t="s">
        <v>172</v>
      </c>
      <c r="C1" t="s">
        <v>173</v>
      </c>
      <c r="E1" s="40" t="s">
        <v>290</v>
      </c>
    </row>
    <row r="2" spans="1:5" x14ac:dyDescent="0.25">
      <c r="A2" t="s">
        <v>174</v>
      </c>
      <c r="B2" s="19" t="s">
        <v>275</v>
      </c>
      <c r="C2" s="19">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9" t="s">
        <v>276</v>
      </c>
      <c r="C3" s="19">
        <v>0.01</v>
      </c>
      <c r="E3">
        <f>IF(OR(CIBC_Savings_Accounts[[#This Row],[Data.Daily Closing Balance]]="All Balances",MID(CIBC_Savings_Accounts[[#This Row],[Data.Daily Closing Balance]],9,5)="up to"),0,VALUE(TRIM(MID(CIBC_rates!$B3,10,FIND(" ",CIBC_rates!$B3,10)-10))))</f>
        <v>5000</v>
      </c>
    </row>
    <row r="4" spans="1:5" x14ac:dyDescent="0.25">
      <c r="A4" t="s">
        <v>175</v>
      </c>
      <c r="B4" s="19" t="s">
        <v>279</v>
      </c>
      <c r="C4" s="19">
        <v>5.0000000000000001E-4</v>
      </c>
      <c r="E4">
        <f>IF(OR(CIBC_Savings_Accounts[[#This Row],[Data.Daily Closing Balance]]="All Balances",MID(CIBC_Savings_Accounts[[#This Row],[Data.Daily Closing Balance]],9,5)="up to"),0,VALUE(TRIM(MID(CIBC_rates!$B4,10,FIND(" ",CIBC_rates!$B4,10)-10))))</f>
        <v>0</v>
      </c>
    </row>
    <row r="5" spans="1:5" x14ac:dyDescent="0.25">
      <c r="B5" s="19" t="s">
        <v>277</v>
      </c>
      <c r="C5" s="19">
        <v>1E-3</v>
      </c>
      <c r="E5">
        <f>IF(OR(CIBC_Savings_Accounts[[#This Row],[Data.Daily Closing Balance]]="All Balances",MID(CIBC_Savings_Accounts[[#This Row],[Data.Daily Closing Balance]],9,5)="up to"),0,VALUE(TRIM(MID(CIBC_rates!$B5,10,FIND(" ",CIBC_rates!$B5,10)-10))))</f>
        <v>3000</v>
      </c>
    </row>
    <row r="6" spans="1:5" x14ac:dyDescent="0.25">
      <c r="A6" t="s">
        <v>176</v>
      </c>
      <c r="B6" s="19" t="s">
        <v>151</v>
      </c>
      <c r="C6" s="19">
        <v>5.0000000000000001E-4</v>
      </c>
      <c r="E6">
        <f>IF(OR(CIBC_Savings_Accounts[[#This Row],[Data.Daily Closing Balance]]="All Balances",MID(CIBC_Savings_Accounts[[#This Row],[Data.Daily Closing Balance]],9,5)="up to"),0,VALUE(TRIM(MID(CIBC_rates!$B6,10,FIND(" ",CIBC_rates!$B6,10)-10))))</f>
        <v>0</v>
      </c>
    </row>
    <row r="7" spans="1:5" x14ac:dyDescent="0.25">
      <c r="A7" t="s">
        <v>177</v>
      </c>
      <c r="B7" s="19" t="s">
        <v>151</v>
      </c>
      <c r="C7" s="19">
        <v>1.5E-3</v>
      </c>
      <c r="E7">
        <f>IF(OR(CIBC_Savings_Accounts[[#This Row],[Data.Daily Closing Balance]]="All Balances",MID(CIBC_Savings_Accounts[[#This Row],[Data.Daily Closing Balance]],9,5)="up to"),0,VALUE(TRIM(MID(CIBC_rates!$B7,10,FIND(" ",CIBC_rates!$B7,10)-10))))</f>
        <v>0</v>
      </c>
    </row>
    <row r="8" spans="1:5" x14ac:dyDescent="0.25">
      <c r="A8" t="s">
        <v>35</v>
      </c>
      <c r="B8" s="19" t="s">
        <v>279</v>
      </c>
      <c r="C8" s="19">
        <v>2.5000000000000001E-3</v>
      </c>
      <c r="E8">
        <f>IF(OR(CIBC_Savings_Accounts[[#This Row],[Data.Daily Closing Balance]]="All Balances",MID(CIBC_Savings_Accounts[[#This Row],[Data.Daily Closing Balance]],9,5)="up to"),0,VALUE(TRIM(MID(CIBC_rates!$B8,10,FIND(" ",CIBC_rates!$B8,10)-10))))</f>
        <v>0</v>
      </c>
    </row>
    <row r="9" spans="1:5" x14ac:dyDescent="0.25">
      <c r="B9" s="19" t="s">
        <v>280</v>
      </c>
      <c r="C9" s="19">
        <v>2.5000000000000001E-3</v>
      </c>
      <c r="E9">
        <f>IF(OR(CIBC_Savings_Accounts[[#This Row],[Data.Daily Closing Balance]]="All Balances",MID(CIBC_Savings_Accounts[[#This Row],[Data.Daily Closing Balance]],9,5)="up to"),0,VALUE(TRIM(MID(CIBC_rates!$B9,10,FIND(" ",CIBC_rates!$B9,10)-10))))</f>
        <v>3000</v>
      </c>
    </row>
    <row r="10" spans="1:5" x14ac:dyDescent="0.25">
      <c r="B10" s="19" t="s">
        <v>281</v>
      </c>
      <c r="C10" s="19">
        <v>2.5000000000000001E-3</v>
      </c>
      <c r="E10">
        <f>IF(OR(CIBC_Savings_Accounts[[#This Row],[Data.Daily Closing Balance]]="All Balances",MID(CIBC_Savings_Accounts[[#This Row],[Data.Daily Closing Balance]],9,5)="up to"),0,VALUE(TRIM(MID(CIBC_rates!$B10,10,FIND(" ",CIBC_rates!$B10,10)-10))))</f>
        <v>10000</v>
      </c>
    </row>
    <row r="11" spans="1:5" x14ac:dyDescent="0.25">
      <c r="B11" s="19" t="s">
        <v>282</v>
      </c>
      <c r="C11" s="19">
        <v>2.5000000000000001E-3</v>
      </c>
      <c r="E11">
        <f>IF(OR(CIBC_Savings_Accounts[[#This Row],[Data.Daily Closing Balance]]="All Balances",MID(CIBC_Savings_Accounts[[#This Row],[Data.Daily Closing Balance]],9,5)="up to"),0,VALUE(TRIM(MID(CIBC_rates!$B11,10,FIND(" ",CIBC_rates!$B11,10)-10))))</f>
        <v>25000</v>
      </c>
    </row>
    <row r="12" spans="1:5" x14ac:dyDescent="0.25">
      <c r="B12" s="19" t="s">
        <v>278</v>
      </c>
      <c r="C12" s="19">
        <v>2.5000000000000001E-3</v>
      </c>
      <c r="E12">
        <f>IF(OR(CIBC_Savings_Accounts[[#This Row],[Data.Daily Closing Balance]]="All Balances",MID(CIBC_Savings_Accounts[[#This Row],[Data.Daily Closing Balance]],9,5)="up to"),0,VALUE(TRIM(MID(CIBC_rates!$B12,10,FIND(" ",CIBC_rates!$B12,10)-10))))</f>
        <v>60000</v>
      </c>
    </row>
    <row r="13" spans="1:5" x14ac:dyDescent="0.25">
      <c r="B13" s="19"/>
      <c r="C13" s="19"/>
    </row>
    <row r="20" spans="1:5" x14ac:dyDescent="0.25">
      <c r="A20" s="43" t="s">
        <v>412</v>
      </c>
      <c r="B20" t="s">
        <v>431</v>
      </c>
      <c r="C20" t="s">
        <v>432</v>
      </c>
    </row>
    <row r="21" spans="1:5" x14ac:dyDescent="0.25">
      <c r="B21" s="19" t="s">
        <v>413</v>
      </c>
      <c r="C21">
        <v>1.6E-2</v>
      </c>
      <c r="E21">
        <v>0</v>
      </c>
    </row>
    <row r="22" spans="1:5" x14ac:dyDescent="0.25">
      <c r="B22" s="19" t="s">
        <v>414</v>
      </c>
      <c r="C22">
        <v>1.7000000000000001E-2</v>
      </c>
      <c r="E22">
        <v>0</v>
      </c>
    </row>
    <row r="24" spans="1:5" x14ac:dyDescent="0.25">
      <c r="A24" t="s">
        <v>441</v>
      </c>
      <c r="B24" t="s">
        <v>429</v>
      </c>
      <c r="C24"/>
    </row>
    <row r="25" spans="1:5" x14ac:dyDescent="0.25">
      <c r="B25" s="43">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election activeCell="B5" sqref="B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178</v>
      </c>
      <c r="C2" t="s">
        <v>59</v>
      </c>
      <c r="E2" s="40" t="s">
        <v>290</v>
      </c>
    </row>
    <row r="3" spans="1:5" x14ac:dyDescent="0.25">
      <c r="A3" t="s">
        <v>488</v>
      </c>
      <c r="B3" s="19" t="s">
        <v>179</v>
      </c>
    </row>
    <row r="4" spans="1:5" x14ac:dyDescent="0.25">
      <c r="B4" s="19" t="s">
        <v>180</v>
      </c>
      <c r="C4">
        <v>5.0000000000000001E-4</v>
      </c>
      <c r="E4">
        <f>VALUE(LEFT(TD_Savings_Accounts[[#This Row],[Account Balance]],FIND(" ",TD_Savings_Accounts[[#This Row],[Account Balance]])))</f>
        <v>0</v>
      </c>
    </row>
    <row r="5" spans="1:5" x14ac:dyDescent="0.25">
      <c r="B5" s="19" t="s">
        <v>181</v>
      </c>
      <c r="C5">
        <v>5.0000000000000001E-4</v>
      </c>
      <c r="E5">
        <f>VALUE(LEFT(TD_Savings_Accounts[[#This Row],[Account Balance]],FIND(" ",TD_Savings_Accounts[[#This Row],[Account Balance]])))</f>
        <v>1000</v>
      </c>
    </row>
    <row r="6" spans="1:5" x14ac:dyDescent="0.25">
      <c r="B6" s="19" t="s">
        <v>182</v>
      </c>
      <c r="C6">
        <v>5.0000000000000001E-4</v>
      </c>
      <c r="E6">
        <f>VALUE(LEFT(TD_Savings_Accounts[[#This Row],[Account Balance]],FIND(" ",TD_Savings_Accounts[[#This Row],[Account Balance]])))</f>
        <v>5000</v>
      </c>
    </row>
    <row r="7" spans="1:5" x14ac:dyDescent="0.25">
      <c r="B7" s="19" t="s">
        <v>183</v>
      </c>
      <c r="C7">
        <v>5.0000000000000001E-4</v>
      </c>
      <c r="E7">
        <f>VALUE(LEFT(TD_Savings_Accounts[[#This Row],[Account Balance]],FIND(" ",TD_Savings_Accounts[[#This Row],[Account Balance]])))</f>
        <v>10000</v>
      </c>
    </row>
    <row r="8" spans="1:5" x14ac:dyDescent="0.25">
      <c r="B8" s="19" t="s">
        <v>184</v>
      </c>
      <c r="C8">
        <v>5.0000000000000001E-4</v>
      </c>
      <c r="E8">
        <f>VALUE(LEFT(TD_Savings_Accounts[[#This Row],[Account Balance]],FIND(" ",TD_Savings_Accounts[[#This Row],[Account Balance]])))</f>
        <v>25000</v>
      </c>
    </row>
    <row r="9" spans="1:5" x14ac:dyDescent="0.25">
      <c r="B9" s="19" t="s">
        <v>185</v>
      </c>
      <c r="C9">
        <v>5.0000000000000001E-4</v>
      </c>
      <c r="E9">
        <f>VALUE(LEFT(TD_Savings_Accounts[[#This Row],[Account Balance]],FIND(" ",TD_Savings_Accounts[[#This Row],[Account Balance]])))</f>
        <v>60000</v>
      </c>
    </row>
    <row r="10" spans="1:5" x14ac:dyDescent="0.25">
      <c r="B10" s="19" t="s">
        <v>186</v>
      </c>
    </row>
    <row r="11" spans="1:5" x14ac:dyDescent="0.25">
      <c r="B11" s="19" t="s">
        <v>187</v>
      </c>
      <c r="C11">
        <v>0</v>
      </c>
      <c r="E11">
        <f>VALUE(LEFT(TD_Savings_Accounts[[#This Row],[Account Balance]],FIND(" ",TD_Savings_Accounts[[#This Row],[Account Balance]])))</f>
        <v>0</v>
      </c>
    </row>
    <row r="12" spans="1:5" x14ac:dyDescent="0.25">
      <c r="B12" s="19" t="s">
        <v>433</v>
      </c>
      <c r="C12">
        <v>5.0000000000000001E-3</v>
      </c>
      <c r="E12">
        <f>VALUE(LEFT(TD_Savings_Accounts[[#This Row],[Account Balance]],FIND(" ",TD_Savings_Accounts[[#This Row],[Account Balance]])))</f>
        <v>5000</v>
      </c>
    </row>
    <row r="13" spans="1:5" x14ac:dyDescent="0.25">
      <c r="B13" s="19" t="s">
        <v>434</v>
      </c>
      <c r="C13">
        <v>5.0000000000000001E-3</v>
      </c>
      <c r="E13">
        <f>VALUE(LEFT(TD_Savings_Accounts[[#This Row],[Account Balance]],FIND(" ",TD_Savings_Accounts[[#This Row],[Account Balance]])))</f>
        <v>50000</v>
      </c>
    </row>
    <row r="14" spans="1:5" x14ac:dyDescent="0.25">
      <c r="B14" s="19" t="s">
        <v>435</v>
      </c>
      <c r="C14">
        <v>5.0000000000000001E-3</v>
      </c>
      <c r="E14" t="e">
        <f>VALUE(LEFT(TD_Savings_Accounts[[#This Row],[Account Balance]],FIND(" ",TD_Savings_Accounts[[#This Row],[Account Balance]])))</f>
        <v>#VALUE!</v>
      </c>
    </row>
    <row r="15" spans="1:5" x14ac:dyDescent="0.25">
      <c r="B15" s="19" t="s">
        <v>436</v>
      </c>
      <c r="C15">
        <v>5.0000000000000001E-3</v>
      </c>
      <c r="E15">
        <f>VALUE(LEFT(TD_Savings_Accounts[[#This Row],[Account Balance]],FIND(" ",TD_Savings_Accounts[[#This Row],[Account Balance]])))</f>
        <v>250000</v>
      </c>
    </row>
    <row r="16" spans="1:5" x14ac:dyDescent="0.25">
      <c r="B16" s="19" t="s">
        <v>437</v>
      </c>
      <c r="C16">
        <v>5.0000000000000001E-3</v>
      </c>
      <c r="E16">
        <f>VALUE(LEFT(TD_Savings_Accounts[[#This Row],[Account Balance]],FIND(" ",TD_Savings_Accounts[[#This Row],[Account Balance]])))</f>
        <v>1000000.01</v>
      </c>
    </row>
    <row r="17" spans="1:5" x14ac:dyDescent="0.25">
      <c r="B17" s="19" t="s">
        <v>188</v>
      </c>
    </row>
    <row r="18" spans="1:5" x14ac:dyDescent="0.25">
      <c r="B18" s="19" t="s">
        <v>438</v>
      </c>
      <c r="C18">
        <v>0</v>
      </c>
      <c r="E18">
        <f>VALUE(LEFT(TD_Savings_Accounts[[#This Row],[Account Balance]],FIND(" ",TD_Savings_Accounts[[#This Row],[Account Balance]])))</f>
        <v>0</v>
      </c>
    </row>
    <row r="19" spans="1:5" x14ac:dyDescent="0.25">
      <c r="B19" s="19" t="s">
        <v>439</v>
      </c>
      <c r="C19">
        <v>1.0500000000000001E-2</v>
      </c>
      <c r="E19">
        <f>VALUE(LEFT(TD_Savings_Accounts[[#This Row],[Account Balance]],FIND(" ",TD_Savings_Accounts[[#This Row],[Account Balance]])))</f>
        <v>10000</v>
      </c>
    </row>
    <row r="20" spans="1:5" x14ac:dyDescent="0.25">
      <c r="B20" s="19" t="s">
        <v>434</v>
      </c>
      <c r="C20">
        <v>1.0500000000000001E-2</v>
      </c>
      <c r="E20">
        <f>VALUE(LEFT(TD_Savings_Accounts[[#This Row],[Account Balance]],FIND(" ",TD_Savings_Accounts[[#This Row],[Account Balance]])))</f>
        <v>50000</v>
      </c>
    </row>
    <row r="21" spans="1:5" x14ac:dyDescent="0.25">
      <c r="B21" s="19" t="s">
        <v>440</v>
      </c>
      <c r="C21">
        <v>1.0500000000000001E-2</v>
      </c>
      <c r="E21">
        <f>VALUE(LEFT(TD_Savings_Accounts[[#This Row],[Account Balance]],FIND(" ",TD_Savings_Accounts[[#This Row],[Account Balance]])))</f>
        <v>100000</v>
      </c>
    </row>
    <row r="22" spans="1:5" x14ac:dyDescent="0.25">
      <c r="B22" s="19" t="s">
        <v>436</v>
      </c>
      <c r="C22">
        <v>1.0500000000000001E-2</v>
      </c>
      <c r="E22">
        <f>VALUE(LEFT(TD_Savings_Accounts[[#This Row],[Account Balance]],FIND(" ",TD_Savings_Accounts[[#This Row],[Account Balance]])))</f>
        <v>250000</v>
      </c>
    </row>
    <row r="23" spans="1:5" x14ac:dyDescent="0.25">
      <c r="B23" s="19" t="s">
        <v>437</v>
      </c>
      <c r="C23">
        <v>1.0500000000000001E-2</v>
      </c>
      <c r="E23">
        <f>VALUE(LEFT(TD_Savings_Accounts[[#This Row],[Account Balance]],FIND(" ",TD_Savings_Accounts[[#This Row],[Account Balance]])))</f>
        <v>1000000.01</v>
      </c>
    </row>
    <row r="24" spans="1:5" x14ac:dyDescent="0.25">
      <c r="B24" s="19" t="s">
        <v>189</v>
      </c>
    </row>
    <row r="25" spans="1:5" x14ac:dyDescent="0.25">
      <c r="B25" s="19" t="s">
        <v>187</v>
      </c>
      <c r="C25">
        <v>5.0000000000000001E-4</v>
      </c>
      <c r="E25">
        <f>VALUE(LEFT(TD_Savings_Accounts[[#This Row],[Account Balance]],FIND(" ",TD_Savings_Accounts[[#This Row],[Account Balance]])))</f>
        <v>0</v>
      </c>
    </row>
    <row r="26" spans="1:5" x14ac:dyDescent="0.25">
      <c r="B26" s="19" t="s">
        <v>190</v>
      </c>
      <c r="C26">
        <v>1E-3</v>
      </c>
      <c r="E26">
        <f>VALUE(LEFT(TD_Savings_Accounts[[#This Row],[Account Balance]],FIND(" ",TD_Savings_Accounts[[#This Row],[Account Balance]])))</f>
        <v>5000</v>
      </c>
    </row>
    <row r="29" spans="1:5" x14ac:dyDescent="0.25">
      <c r="A29" t="s">
        <v>415</v>
      </c>
      <c r="B29" s="43" t="s">
        <v>178</v>
      </c>
      <c r="C29" s="43" t="s">
        <v>59</v>
      </c>
      <c r="D29" s="43"/>
      <c r="E29" s="40"/>
    </row>
    <row r="30" spans="1:5" x14ac:dyDescent="0.25">
      <c r="B30" s="19" t="s">
        <v>180</v>
      </c>
      <c r="C30" s="19">
        <v>0</v>
      </c>
      <c r="D30" s="43"/>
      <c r="E30" s="19">
        <f>VALUE(LEFT(TD_US_Daily_Interest[[#This Row],[Account Balance]],FIND(" ",TD_US_Daily_Interest[[#This Row],[Account Balance]])))</f>
        <v>0</v>
      </c>
    </row>
    <row r="31" spans="1:5" x14ac:dyDescent="0.25">
      <c r="B31" s="19" t="s">
        <v>181</v>
      </c>
      <c r="C31" s="19">
        <v>1E-4</v>
      </c>
      <c r="D31" s="43"/>
      <c r="E31" s="19">
        <f>VALUE(LEFT(TD_US_Daily_Interest[[#This Row],[Account Balance]],FIND(" ",TD_US_Daily_Interest[[#This Row],[Account Balance]])))</f>
        <v>1000</v>
      </c>
    </row>
    <row r="32" spans="1:5" x14ac:dyDescent="0.25">
      <c r="B32" s="19" t="s">
        <v>182</v>
      </c>
      <c r="C32" s="19">
        <v>2.5000000000000001E-4</v>
      </c>
      <c r="D32" s="43"/>
      <c r="E32" s="19">
        <f>VALUE(LEFT(TD_US_Daily_Interest[[#This Row],[Account Balance]],FIND(" ",TD_US_Daily_Interest[[#This Row],[Account Balance]])))</f>
        <v>5000</v>
      </c>
    </row>
    <row r="33" spans="1:6" x14ac:dyDescent="0.25">
      <c r="B33" s="19" t="s">
        <v>183</v>
      </c>
      <c r="C33" s="19">
        <v>5.0000000000000001E-4</v>
      </c>
      <c r="D33" s="43"/>
      <c r="E33" s="19">
        <f>VALUE(LEFT(TD_US_Daily_Interest[[#This Row],[Account Balance]],FIND(" ",TD_US_Daily_Interest[[#This Row],[Account Balance]])))</f>
        <v>10000</v>
      </c>
    </row>
    <row r="34" spans="1:6" x14ac:dyDescent="0.25">
      <c r="B34" s="19" t="s">
        <v>184</v>
      </c>
      <c r="C34" s="19">
        <v>1E-3</v>
      </c>
      <c r="D34" s="43"/>
      <c r="E34" s="19">
        <f>VALUE(LEFT(TD_US_Daily_Interest[[#This Row],[Account Balance]],FIND(" ",TD_US_Daily_Interest[[#This Row],[Account Balance]])))</f>
        <v>25000</v>
      </c>
    </row>
    <row r="35" spans="1:6" x14ac:dyDescent="0.25">
      <c r="B35" s="19" t="s">
        <v>185</v>
      </c>
      <c r="C35" s="19">
        <v>1E-3</v>
      </c>
      <c r="D35" s="43"/>
      <c r="E35" s="19">
        <f>VALUE(LEFT(TD_US_Daily_Interest[[#This Row],[Account Balance]],FIND(" ",TD_US_Daily_Interest[[#This Row],[Account Balance]])))</f>
        <v>60000</v>
      </c>
    </row>
    <row r="39" spans="1:6" x14ac:dyDescent="0.25">
      <c r="A39" t="s">
        <v>487</v>
      </c>
      <c r="B39" t="s">
        <v>245</v>
      </c>
      <c r="C39" t="s">
        <v>246</v>
      </c>
      <c r="D39" t="s">
        <v>247</v>
      </c>
      <c r="E39" t="s">
        <v>248</v>
      </c>
      <c r="F39" t="s">
        <v>249</v>
      </c>
    </row>
    <row r="40" spans="1:6" x14ac:dyDescent="0.25">
      <c r="B40" s="19" t="s">
        <v>250</v>
      </c>
      <c r="C40" s="19" t="s">
        <v>203</v>
      </c>
      <c r="D40">
        <v>1000</v>
      </c>
      <c r="E40" s="19" t="s">
        <v>251</v>
      </c>
      <c r="F40">
        <v>1.6E-2</v>
      </c>
    </row>
    <row r="41" spans="1:6" x14ac:dyDescent="0.25">
      <c r="B41" s="19" t="s">
        <v>252</v>
      </c>
      <c r="C41" s="19" t="s">
        <v>204</v>
      </c>
      <c r="D41">
        <v>1000</v>
      </c>
      <c r="E41" s="19" t="s">
        <v>251</v>
      </c>
      <c r="F41">
        <v>1.7000000000000001E-2</v>
      </c>
    </row>
    <row r="42" spans="1:6" x14ac:dyDescent="0.25">
      <c r="B42" s="19" t="s">
        <v>253</v>
      </c>
      <c r="C42" s="19" t="s">
        <v>203</v>
      </c>
      <c r="D42">
        <v>1000</v>
      </c>
      <c r="E42" s="19" t="s">
        <v>233</v>
      </c>
      <c r="F42">
        <v>1.6E-2</v>
      </c>
    </row>
    <row r="43" spans="1:6" x14ac:dyDescent="0.25">
      <c r="B43" s="19" t="s">
        <v>254</v>
      </c>
      <c r="C43" s="19" t="s">
        <v>203</v>
      </c>
      <c r="D43">
        <v>1000</v>
      </c>
      <c r="E43" s="19" t="s">
        <v>233</v>
      </c>
      <c r="F43">
        <v>1.6E-2</v>
      </c>
    </row>
    <row r="44" spans="1:6" x14ac:dyDescent="0.25">
      <c r="B44" s="19" t="s">
        <v>255</v>
      </c>
      <c r="C44" s="19" t="s">
        <v>203</v>
      </c>
      <c r="D44">
        <v>1000</v>
      </c>
      <c r="E44" s="19" t="s">
        <v>233</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47" workbookViewId="0">
      <selection activeCell="D162" sqref="D162"/>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9" x14ac:dyDescent="0.25">
      <c r="B1" t="s">
        <v>304</v>
      </c>
      <c r="C1" t="s">
        <v>61</v>
      </c>
      <c r="E1" s="40" t="s">
        <v>290</v>
      </c>
    </row>
    <row r="2" spans="1:9" x14ac:dyDescent="0.25">
      <c r="B2" s="19"/>
      <c r="C2" s="19"/>
      <c r="E2">
        <f>IF(LEFT(RBC_Personal_Accounts[[#This Row],[If Balance is]],1)&lt;&gt;"$",0,VALUE(LEFT(RBC_Personal_Accounts[[#This Row],[If Balance is]],FIND(" ",RBC_Personal_Accounts[[#This Row],[If Balance is]]))))</f>
        <v>0</v>
      </c>
      <c r="H2">
        <v>157</v>
      </c>
    </row>
    <row r="3" spans="1:9" x14ac:dyDescent="0.25">
      <c r="A3" t="s">
        <v>356</v>
      </c>
      <c r="B3" s="19" t="s">
        <v>80</v>
      </c>
      <c r="C3" s="19" t="s">
        <v>76</v>
      </c>
      <c r="E3">
        <f>IF(LEFT(RBC_Personal_Accounts[[#This Row],[If Balance is]],1)&lt;&gt;"$",0,VALUE(LEFT(RBC_Personal_Accounts[[#This Row],[If Balance is]],FIND(" ",RBC_Personal_Accounts[[#This Row],[If Balance is]]))))</f>
        <v>0</v>
      </c>
      <c r="H3">
        <v>156</v>
      </c>
    </row>
    <row r="4" spans="1:9" x14ac:dyDescent="0.25">
      <c r="B4" s="19" t="s">
        <v>79</v>
      </c>
      <c r="C4" s="19" t="s">
        <v>76</v>
      </c>
      <c r="E4">
        <f>IF(LEFT(RBC_Personal_Accounts[[#This Row],[If Balance is]],1)&lt;&gt;"$",0,VALUE(LEFT(RBC_Personal_Accounts[[#This Row],[If Balance is]],FIND(" ",RBC_Personal_Accounts[[#This Row],[If Balance is]]))))</f>
        <v>1000</v>
      </c>
      <c r="H4">
        <v>155</v>
      </c>
    </row>
    <row r="5" spans="1:9" x14ac:dyDescent="0.25">
      <c r="B5" s="19" t="s">
        <v>78</v>
      </c>
      <c r="C5" s="19" t="s">
        <v>76</v>
      </c>
      <c r="E5">
        <f>IF(LEFT(RBC_Personal_Accounts[[#This Row],[If Balance is]],1)&lt;&gt;"$",0,VALUE(LEFT(RBC_Personal_Accounts[[#This Row],[If Balance is]],FIND(" ",RBC_Personal_Accounts[[#This Row],[If Balance is]]))))</f>
        <v>3000</v>
      </c>
      <c r="H5">
        <v>154</v>
      </c>
    </row>
    <row r="6" spans="1:9" x14ac:dyDescent="0.25">
      <c r="B6" s="19" t="s">
        <v>323</v>
      </c>
      <c r="C6" s="19" t="s">
        <v>74</v>
      </c>
      <c r="E6">
        <f>IF(LEFT(RBC_Personal_Accounts[[#This Row],[If Balance is]],1)&lt;&gt;"$",0,VALUE(LEFT(RBC_Personal_Accounts[[#This Row],[If Balance is]],FIND(" ",RBC_Personal_Accounts[[#This Row],[If Balance is]]))))</f>
        <v>5000</v>
      </c>
      <c r="H6">
        <v>153</v>
      </c>
    </row>
    <row r="7" spans="1:9" x14ac:dyDescent="0.25">
      <c r="B7" s="19" t="s">
        <v>69</v>
      </c>
      <c r="C7" s="19" t="s">
        <v>74</v>
      </c>
      <c r="E7">
        <f>IF(LEFT(RBC_Personal_Accounts[[#This Row],[If Balance is]],1)&lt;&gt;"$",0,VALUE(LEFT(RBC_Personal_Accounts[[#This Row],[If Balance is]],FIND(" ",RBC_Personal_Accounts[[#This Row],[If Balance is]]))))</f>
        <v>25000</v>
      </c>
      <c r="H7">
        <v>152</v>
      </c>
    </row>
    <row r="8" spans="1:9" x14ac:dyDescent="0.25">
      <c r="B8" s="19" t="s">
        <v>321</v>
      </c>
      <c r="C8" s="19" t="s">
        <v>322</v>
      </c>
      <c r="E8">
        <f>IF(LEFT(RBC_Personal_Accounts[[#This Row],[If Balance is]],1)&lt;&gt;"$",0,VALUE(LEFT(RBC_Personal_Accounts[[#This Row],[If Balance is]],FIND(" ",RBC_Personal_Accounts[[#This Row],[If Balance is]]))))</f>
        <v>60000</v>
      </c>
      <c r="H8">
        <v>151</v>
      </c>
      <c r="I8" t="s">
        <v>356</v>
      </c>
    </row>
    <row r="9" spans="1:9" x14ac:dyDescent="0.25">
      <c r="A9" t="s">
        <v>355</v>
      </c>
      <c r="B9" s="19" t="s">
        <v>80</v>
      </c>
      <c r="C9" s="19" t="s">
        <v>76</v>
      </c>
      <c r="E9">
        <f>IF(LEFT(RBC_Personal_Accounts[[#This Row],[If Balance is]],1)&lt;&gt;"$",0,VALUE(LEFT(RBC_Personal_Accounts[[#This Row],[If Balance is]],FIND(" ",RBC_Personal_Accounts[[#This Row],[If Balance is]]))))</f>
        <v>0</v>
      </c>
      <c r="H9">
        <v>150</v>
      </c>
    </row>
    <row r="10" spans="1:9" x14ac:dyDescent="0.25">
      <c r="B10" s="19" t="s">
        <v>79</v>
      </c>
      <c r="C10" s="19" t="s">
        <v>76</v>
      </c>
      <c r="E10">
        <f>IF(LEFT(RBC_Personal_Accounts[[#This Row],[If Balance is]],1)&lt;&gt;"$",0,VALUE(LEFT(RBC_Personal_Accounts[[#This Row],[If Balance is]],FIND(" ",RBC_Personal_Accounts[[#This Row],[If Balance is]]))))</f>
        <v>1000</v>
      </c>
      <c r="H10">
        <v>149</v>
      </c>
    </row>
    <row r="11" spans="1:9" x14ac:dyDescent="0.25">
      <c r="B11" s="19" t="s">
        <v>78</v>
      </c>
      <c r="C11" s="19" t="s">
        <v>74</v>
      </c>
      <c r="E11">
        <f>IF(LEFT(RBC_Personal_Accounts[[#This Row],[If Balance is]],1)&lt;&gt;"$",0,VALUE(LEFT(RBC_Personal_Accounts[[#This Row],[If Balance is]],FIND(" ",RBC_Personal_Accounts[[#This Row],[If Balance is]]))))</f>
        <v>3000</v>
      </c>
      <c r="H11">
        <v>148</v>
      </c>
    </row>
    <row r="12" spans="1:9" x14ac:dyDescent="0.25">
      <c r="B12" s="19" t="s">
        <v>77</v>
      </c>
      <c r="C12" s="19" t="s">
        <v>322</v>
      </c>
      <c r="E12">
        <f>IF(LEFT(RBC_Personal_Accounts[[#This Row],[If Balance is]],1)&lt;&gt;"$",0,VALUE(LEFT(RBC_Personal_Accounts[[#This Row],[If Balance is]],FIND(" ",RBC_Personal_Accounts[[#This Row],[If Balance is]]))))</f>
        <v>5000</v>
      </c>
      <c r="H12">
        <v>147</v>
      </c>
      <c r="I12" t="s">
        <v>355</v>
      </c>
    </row>
    <row r="13" spans="1:9" x14ac:dyDescent="0.25">
      <c r="A13" t="s">
        <v>354</v>
      </c>
      <c r="B13" s="19" t="s">
        <v>80</v>
      </c>
      <c r="C13" s="19" t="s">
        <v>72</v>
      </c>
      <c r="E13">
        <f>IF(LEFT(RBC_Personal_Accounts[[#This Row],[If Balance is]],1)&lt;&gt;"$",0,VALUE(LEFT(RBC_Personal_Accounts[[#This Row],[If Balance is]],FIND(" ",RBC_Personal_Accounts[[#This Row],[If Balance is]]))))</f>
        <v>0</v>
      </c>
      <c r="H13">
        <v>146</v>
      </c>
    </row>
    <row r="14" spans="1:9" x14ac:dyDescent="0.25">
      <c r="B14" s="19" t="s">
        <v>79</v>
      </c>
      <c r="C14" s="19" t="s">
        <v>70</v>
      </c>
      <c r="E14">
        <f>IF(LEFT(RBC_Personal_Accounts[[#This Row],[If Balance is]],1)&lt;&gt;"$",0,VALUE(LEFT(RBC_Personal_Accounts[[#This Row],[If Balance is]],FIND(" ",RBC_Personal_Accounts[[#This Row],[If Balance is]]))))</f>
        <v>1000</v>
      </c>
      <c r="H14">
        <v>145</v>
      </c>
    </row>
    <row r="15" spans="1:9" x14ac:dyDescent="0.25">
      <c r="B15" s="19" t="s">
        <v>78</v>
      </c>
      <c r="C15" s="19" t="s">
        <v>81</v>
      </c>
      <c r="E15">
        <f>IF(LEFT(RBC_Personal_Accounts[[#This Row],[If Balance is]],1)&lt;&gt;"$",0,VALUE(LEFT(RBC_Personal_Accounts[[#This Row],[If Balance is]],FIND(" ",RBC_Personal_Accounts[[#This Row],[If Balance is]]))))</f>
        <v>3000</v>
      </c>
      <c r="H15">
        <v>144</v>
      </c>
    </row>
    <row r="16" spans="1:9" x14ac:dyDescent="0.25">
      <c r="B16" s="19" t="s">
        <v>77</v>
      </c>
      <c r="C16" s="19" t="s">
        <v>81</v>
      </c>
      <c r="E16">
        <f>IF(LEFT(RBC_Personal_Accounts[[#This Row],[If Balance is]],1)&lt;&gt;"$",0,VALUE(LEFT(RBC_Personal_Accounts[[#This Row],[If Balance is]],FIND(" ",RBC_Personal_Accounts[[#This Row],[If Balance is]]))))</f>
        <v>5000</v>
      </c>
      <c r="H16">
        <v>143</v>
      </c>
      <c r="I16" t="s">
        <v>354</v>
      </c>
    </row>
    <row r="17" spans="1:9" x14ac:dyDescent="0.25">
      <c r="A17" t="s">
        <v>353</v>
      </c>
      <c r="B17" s="19" t="s">
        <v>75</v>
      </c>
      <c r="C17" s="19" t="s">
        <v>76</v>
      </c>
      <c r="E17">
        <f>IF(LEFT(RBC_Personal_Accounts[[#This Row],[If Balance is]],1)&lt;&gt;"$",0,VALUE(LEFT(RBC_Personal_Accounts[[#This Row],[If Balance is]],FIND(" ",RBC_Personal_Accounts[[#This Row],[If Balance is]]))))</f>
        <v>0</v>
      </c>
      <c r="H17">
        <v>142</v>
      </c>
    </row>
    <row r="18" spans="1:9" x14ac:dyDescent="0.25">
      <c r="B18" s="19" t="s">
        <v>73</v>
      </c>
      <c r="C18" s="19" t="s">
        <v>74</v>
      </c>
      <c r="E18">
        <f>IF(LEFT(RBC_Personal_Accounts[[#This Row],[If Balance is]],1)&lt;&gt;"$",0,VALUE(LEFT(RBC_Personal_Accounts[[#This Row],[If Balance is]],FIND(" ",RBC_Personal_Accounts[[#This Row],[If Balance is]]))))</f>
        <v>5000</v>
      </c>
      <c r="H18">
        <v>141</v>
      </c>
    </row>
    <row r="19" spans="1:9" x14ac:dyDescent="0.25">
      <c r="B19" s="19" t="s">
        <v>71</v>
      </c>
      <c r="C19" s="19" t="s">
        <v>72</v>
      </c>
      <c r="E19">
        <f>IF(LEFT(RBC_Personal_Accounts[[#This Row],[If Balance is]],1)&lt;&gt;"$",0,VALUE(LEFT(RBC_Personal_Accounts[[#This Row],[If Balance is]],FIND(" ",RBC_Personal_Accounts[[#This Row],[If Balance is]]))))</f>
        <v>10000</v>
      </c>
      <c r="H19">
        <v>140</v>
      </c>
    </row>
    <row r="20" spans="1:9" x14ac:dyDescent="0.25">
      <c r="B20" s="19" t="s">
        <v>69</v>
      </c>
      <c r="C20" s="19" t="s">
        <v>70</v>
      </c>
      <c r="E20">
        <f>IF(LEFT(RBC_Personal_Accounts[[#This Row],[If Balance is]],1)&lt;&gt;"$",0,VALUE(LEFT(RBC_Personal_Accounts[[#This Row],[If Balance is]],FIND(" ",RBC_Personal_Accounts[[#This Row],[If Balance is]]))))</f>
        <v>25000</v>
      </c>
      <c r="H20">
        <v>139</v>
      </c>
    </row>
    <row r="21" spans="1:9" x14ac:dyDescent="0.25">
      <c r="B21" s="19" t="s">
        <v>67</v>
      </c>
      <c r="C21" s="19" t="s">
        <v>68</v>
      </c>
      <c r="E21">
        <f>IF(LEFT(RBC_Personal_Accounts[[#This Row],[If Balance is]],1)&lt;&gt;"$",0,VALUE(LEFT(RBC_Personal_Accounts[[#This Row],[If Balance is]],FIND(" ",RBC_Personal_Accounts[[#This Row],[If Balance is]]))))</f>
        <v>60000</v>
      </c>
      <c r="H21">
        <v>138</v>
      </c>
    </row>
    <row r="22" spans="1:9" x14ac:dyDescent="0.25">
      <c r="B22" s="19" t="s">
        <v>65</v>
      </c>
      <c r="C22" s="19" t="s">
        <v>66</v>
      </c>
      <c r="E22">
        <f>IF(LEFT(RBC_Personal_Accounts[[#This Row],[If Balance is]],1)&lt;&gt;"$",0,VALUE(LEFT(RBC_Personal_Accounts[[#This Row],[If Balance is]],FIND(" ",RBC_Personal_Accounts[[#This Row],[If Balance is]]))))</f>
        <v>100000</v>
      </c>
      <c r="H22">
        <v>137</v>
      </c>
    </row>
    <row r="23" spans="1:9" x14ac:dyDescent="0.25">
      <c r="B23" s="19" t="s">
        <v>64</v>
      </c>
      <c r="C23" s="19" t="s">
        <v>63</v>
      </c>
      <c r="E23">
        <f>IF(LEFT(RBC_Personal_Accounts[[#This Row],[If Balance is]],1)&lt;&gt;"$",0,VALUE(LEFT(RBC_Personal_Accounts[[#This Row],[If Balance is]],FIND(" ",RBC_Personal_Accounts[[#This Row],[If Balance is]]))))</f>
        <v>150000</v>
      </c>
      <c r="H23">
        <v>136</v>
      </c>
    </row>
    <row r="24" spans="1:9" x14ac:dyDescent="0.25">
      <c r="B24" s="19" t="s">
        <v>62</v>
      </c>
      <c r="C24" s="19" t="s">
        <v>63</v>
      </c>
      <c r="E24">
        <f>IF(LEFT(RBC_Personal_Accounts[[#This Row],[If Balance is]],1)&lt;&gt;"$",0,VALUE(LEFT(RBC_Personal_Accounts[[#This Row],[If Balance is]],FIND(" ",RBC_Personal_Accounts[[#This Row],[If Balance is]]))))</f>
        <v>250000</v>
      </c>
      <c r="H24">
        <v>135</v>
      </c>
      <c r="I24" t="s">
        <v>353</v>
      </c>
    </row>
    <row r="25" spans="1:9" x14ac:dyDescent="0.25">
      <c r="A25" t="s">
        <v>352</v>
      </c>
      <c r="B25" s="19" t="s">
        <v>318</v>
      </c>
      <c r="C25" s="19" t="s">
        <v>72</v>
      </c>
      <c r="E25">
        <f>IF(LEFT(RBC_Personal_Accounts[[#This Row],[If Balance is]],1)&lt;&gt;"$",0,VALUE(LEFT(RBC_Personal_Accounts[[#This Row],[If Balance is]],FIND(" ",RBC_Personal_Accounts[[#This Row],[If Balance is]]))))</f>
        <v>0</v>
      </c>
      <c r="H25">
        <v>134</v>
      </c>
    </row>
    <row r="26" spans="1:9" x14ac:dyDescent="0.25">
      <c r="B26" s="19" t="s">
        <v>317</v>
      </c>
      <c r="C26" s="19" t="s">
        <v>72</v>
      </c>
      <c r="E26">
        <f>IF(LEFT(RBC_Personal_Accounts[[#This Row],[If Balance is]],1)&lt;&gt;"$",0,VALUE(LEFT(RBC_Personal_Accounts[[#This Row],[If Balance is]],FIND(" ",RBC_Personal_Accounts[[#This Row],[If Balance is]]))))</f>
        <v>1000</v>
      </c>
      <c r="H26">
        <v>133</v>
      </c>
    </row>
    <row r="27" spans="1:9" x14ac:dyDescent="0.25">
      <c r="B27" s="19" t="s">
        <v>316</v>
      </c>
      <c r="C27" s="19" t="s">
        <v>72</v>
      </c>
      <c r="E27">
        <f>IF(LEFT(RBC_Personal_Accounts[[#This Row],[If Balance is]],1)&lt;&gt;"$",0,VALUE(LEFT(RBC_Personal_Accounts[[#This Row],[If Balance is]],FIND(" ",RBC_Personal_Accounts[[#This Row],[If Balance is]]))))</f>
        <v>3000</v>
      </c>
      <c r="H27">
        <v>132</v>
      </c>
    </row>
    <row r="28" spans="1:9" x14ac:dyDescent="0.25">
      <c r="B28" s="19" t="s">
        <v>315</v>
      </c>
      <c r="C28" s="19" t="s">
        <v>72</v>
      </c>
      <c r="E28">
        <f>IF(LEFT(RBC_Personal_Accounts[[#This Row],[If Balance is]],1)&lt;&gt;"$",0,VALUE(LEFT(RBC_Personal_Accounts[[#This Row],[If Balance is]],FIND(" ",RBC_Personal_Accounts[[#This Row],[If Balance is]]))))</f>
        <v>5000</v>
      </c>
      <c r="H28">
        <v>131</v>
      </c>
    </row>
    <row r="29" spans="1:9" x14ac:dyDescent="0.25">
      <c r="B29" s="19" t="s">
        <v>314</v>
      </c>
      <c r="C29" s="19" t="s">
        <v>72</v>
      </c>
      <c r="E29">
        <f>IF(LEFT(RBC_Personal_Accounts[[#This Row],[If Balance is]],1)&lt;&gt;"$",0,VALUE(LEFT(RBC_Personal_Accounts[[#This Row],[If Balance is]],FIND(" ",RBC_Personal_Accounts[[#This Row],[If Balance is]]))))</f>
        <v>10000</v>
      </c>
      <c r="H29">
        <v>130</v>
      </c>
    </row>
    <row r="30" spans="1:9" x14ac:dyDescent="0.25">
      <c r="B30" s="19" t="s">
        <v>313</v>
      </c>
      <c r="C30" s="19" t="s">
        <v>72</v>
      </c>
      <c r="E30">
        <f>IF(LEFT(RBC_Personal_Accounts[[#This Row],[If Balance is]],1)&lt;&gt;"$",0,VALUE(LEFT(RBC_Personal_Accounts[[#This Row],[If Balance is]],FIND(" ",RBC_Personal_Accounts[[#This Row],[If Balance is]]))))</f>
        <v>25000</v>
      </c>
      <c r="H30">
        <v>129</v>
      </c>
    </row>
    <row r="31" spans="1:9" x14ac:dyDescent="0.25">
      <c r="B31" s="19" t="s">
        <v>312</v>
      </c>
      <c r="C31" s="19" t="s">
        <v>325</v>
      </c>
      <c r="E31">
        <f>IF(LEFT(RBC_Personal_Accounts[[#This Row],[If Balance is]],1)&lt;&gt;"$",0,VALUE(LEFT(RBC_Personal_Accounts[[#This Row],[If Balance is]],FIND(" ",RBC_Personal_Accounts[[#This Row],[If Balance is]]))))</f>
        <v>60000</v>
      </c>
      <c r="H31">
        <v>128</v>
      </c>
    </row>
    <row r="32" spans="1:9" x14ac:dyDescent="0.25">
      <c r="B32" s="19" t="s">
        <v>311</v>
      </c>
      <c r="C32" s="19" t="s">
        <v>325</v>
      </c>
      <c r="E32">
        <f>IF(LEFT(RBC_Personal_Accounts[[#This Row],[If Balance is]],1)&lt;&gt;"$",0,VALUE(LEFT(RBC_Personal_Accounts[[#This Row],[If Balance is]],FIND(" ",RBC_Personal_Accounts[[#This Row],[If Balance is]]))))</f>
        <v>100000</v>
      </c>
      <c r="H32">
        <v>127</v>
      </c>
    </row>
    <row r="33" spans="1:9" x14ac:dyDescent="0.25">
      <c r="B33" s="19" t="s">
        <v>310</v>
      </c>
      <c r="C33" s="19" t="s">
        <v>325</v>
      </c>
      <c r="E33">
        <f>IF(LEFT(RBC_Personal_Accounts[[#This Row],[If Balance is]],1)&lt;&gt;"$",0,VALUE(LEFT(RBC_Personal_Accounts[[#This Row],[If Balance is]],FIND(" ",RBC_Personal_Accounts[[#This Row],[If Balance is]]))))</f>
        <v>150000</v>
      </c>
      <c r="H33">
        <v>126</v>
      </c>
    </row>
    <row r="34" spans="1:9" x14ac:dyDescent="0.25">
      <c r="B34" s="19" t="s">
        <v>62</v>
      </c>
      <c r="C34" s="19" t="s">
        <v>325</v>
      </c>
      <c r="E34">
        <f>IF(LEFT(RBC_Personal_Accounts[[#This Row],[If Balance is]],1)&lt;&gt;"$",0,VALUE(LEFT(RBC_Personal_Accounts[[#This Row],[If Balance is]],FIND(" ",RBC_Personal_Accounts[[#This Row],[If Balance is]]))))</f>
        <v>250000</v>
      </c>
      <c r="H34">
        <v>125</v>
      </c>
      <c r="I34" t="s">
        <v>352</v>
      </c>
    </row>
    <row r="35" spans="1:9" x14ac:dyDescent="0.25">
      <c r="A35" t="s">
        <v>351</v>
      </c>
      <c r="B35" s="19" t="s">
        <v>80</v>
      </c>
      <c r="C35" s="19" t="s">
        <v>76</v>
      </c>
      <c r="E35">
        <f>IF(LEFT(RBC_Personal_Accounts[[#This Row],[If Balance is]],1)&lt;&gt;"$",0,VALUE(LEFT(RBC_Personal_Accounts[[#This Row],[If Balance is]],FIND(" ",RBC_Personal_Accounts[[#This Row],[If Balance is]]))))</f>
        <v>0</v>
      </c>
      <c r="H35">
        <v>124</v>
      </c>
    </row>
    <row r="36" spans="1:9" x14ac:dyDescent="0.25">
      <c r="B36" s="19" t="s">
        <v>79</v>
      </c>
      <c r="C36" s="19" t="s">
        <v>76</v>
      </c>
      <c r="E36">
        <f>IF(LEFT(RBC_Personal_Accounts[[#This Row],[If Balance is]],1)&lt;&gt;"$",0,VALUE(LEFT(RBC_Personal_Accounts[[#This Row],[If Balance is]],FIND(" ",RBC_Personal_Accounts[[#This Row],[If Balance is]]))))</f>
        <v>1000</v>
      </c>
      <c r="H36">
        <v>123</v>
      </c>
    </row>
    <row r="37" spans="1:9" x14ac:dyDescent="0.25">
      <c r="B37" s="19" t="s">
        <v>78</v>
      </c>
      <c r="C37" s="19" t="s">
        <v>76</v>
      </c>
      <c r="E37">
        <f>IF(LEFT(RBC_Personal_Accounts[[#This Row],[If Balance is]],1)&lt;&gt;"$",0,VALUE(LEFT(RBC_Personal_Accounts[[#This Row],[If Balance is]],FIND(" ",RBC_Personal_Accounts[[#This Row],[If Balance is]]))))</f>
        <v>3000</v>
      </c>
      <c r="H37">
        <v>122</v>
      </c>
    </row>
    <row r="38" spans="1:9" x14ac:dyDescent="0.25">
      <c r="B38" s="19" t="s">
        <v>323</v>
      </c>
      <c r="C38" s="19" t="s">
        <v>74</v>
      </c>
      <c r="E38">
        <f>IF(LEFT(RBC_Personal_Accounts[[#This Row],[If Balance is]],1)&lt;&gt;"$",0,VALUE(LEFT(RBC_Personal_Accounts[[#This Row],[If Balance is]],FIND(" ",RBC_Personal_Accounts[[#This Row],[If Balance is]]))))</f>
        <v>5000</v>
      </c>
      <c r="H38">
        <v>121</v>
      </c>
    </row>
    <row r="39" spans="1:9" x14ac:dyDescent="0.25">
      <c r="B39" s="19" t="s">
        <v>69</v>
      </c>
      <c r="C39" s="19" t="s">
        <v>74</v>
      </c>
      <c r="E39">
        <f>IF(LEFT(RBC_Personal_Accounts[[#This Row],[If Balance is]],1)&lt;&gt;"$",0,VALUE(LEFT(RBC_Personal_Accounts[[#This Row],[If Balance is]],FIND(" ",RBC_Personal_Accounts[[#This Row],[If Balance is]]))))</f>
        <v>25000</v>
      </c>
      <c r="H39">
        <v>120</v>
      </c>
    </row>
    <row r="40" spans="1:9" x14ac:dyDescent="0.25">
      <c r="B40" s="19" t="s">
        <v>321</v>
      </c>
      <c r="C40" s="19" t="s">
        <v>322</v>
      </c>
      <c r="E40">
        <f>IF(LEFT(RBC_Personal_Accounts[[#This Row],[If Balance is]],1)&lt;&gt;"$",0,VALUE(LEFT(RBC_Personal_Accounts[[#This Row],[If Balance is]],FIND(" ",RBC_Personal_Accounts[[#This Row],[If Balance is]]))))</f>
        <v>60000</v>
      </c>
      <c r="H40">
        <v>119</v>
      </c>
      <c r="I40" t="s">
        <v>351</v>
      </c>
    </row>
    <row r="41" spans="1:9" x14ac:dyDescent="0.25">
      <c r="A41" t="s">
        <v>350</v>
      </c>
      <c r="B41" s="19" t="s">
        <v>75</v>
      </c>
      <c r="C41" s="19" t="s">
        <v>76</v>
      </c>
      <c r="E41">
        <f>IF(LEFT(RBC_Personal_Accounts[[#This Row],[If Balance is]],1)&lt;&gt;"$",0,VALUE(LEFT(RBC_Personal_Accounts[[#This Row],[If Balance is]],FIND(" ",RBC_Personal_Accounts[[#This Row],[If Balance is]]))))</f>
        <v>0</v>
      </c>
      <c r="H41">
        <v>118</v>
      </c>
    </row>
    <row r="42" spans="1:9" x14ac:dyDescent="0.25">
      <c r="B42" s="19" t="s">
        <v>73</v>
      </c>
      <c r="C42" s="19" t="s">
        <v>74</v>
      </c>
      <c r="E42">
        <f>IF(LEFT(RBC_Personal_Accounts[[#This Row],[If Balance is]],1)&lt;&gt;"$",0,VALUE(LEFT(RBC_Personal_Accounts[[#This Row],[If Balance is]],FIND(" ",RBC_Personal_Accounts[[#This Row],[If Balance is]]))))</f>
        <v>5000</v>
      </c>
      <c r="H42">
        <v>117</v>
      </c>
    </row>
    <row r="43" spans="1:9" x14ac:dyDescent="0.25">
      <c r="B43" s="19" t="s">
        <v>71</v>
      </c>
      <c r="C43" s="19" t="s">
        <v>72</v>
      </c>
      <c r="E43">
        <f>IF(LEFT(RBC_Personal_Accounts[[#This Row],[If Balance is]],1)&lt;&gt;"$",0,VALUE(LEFT(RBC_Personal_Accounts[[#This Row],[If Balance is]],FIND(" ",RBC_Personal_Accounts[[#This Row],[If Balance is]]))))</f>
        <v>10000</v>
      </c>
      <c r="H43">
        <v>116</v>
      </c>
    </row>
    <row r="44" spans="1:9" x14ac:dyDescent="0.25">
      <c r="B44" s="19" t="s">
        <v>69</v>
      </c>
      <c r="C44" s="19" t="s">
        <v>70</v>
      </c>
      <c r="E44">
        <f>IF(LEFT(RBC_Personal_Accounts[[#This Row],[If Balance is]],1)&lt;&gt;"$",0,VALUE(LEFT(RBC_Personal_Accounts[[#This Row],[If Balance is]],FIND(" ",RBC_Personal_Accounts[[#This Row],[If Balance is]]))))</f>
        <v>25000</v>
      </c>
      <c r="H44">
        <v>115</v>
      </c>
    </row>
    <row r="45" spans="1:9" x14ac:dyDescent="0.25">
      <c r="B45" s="19" t="s">
        <v>67</v>
      </c>
      <c r="C45" s="19" t="s">
        <v>68</v>
      </c>
      <c r="E45">
        <f>IF(LEFT(RBC_Personal_Accounts[[#This Row],[If Balance is]],1)&lt;&gt;"$",0,VALUE(LEFT(RBC_Personal_Accounts[[#This Row],[If Balance is]],FIND(" ",RBC_Personal_Accounts[[#This Row],[If Balance is]]))))</f>
        <v>60000</v>
      </c>
      <c r="H45">
        <v>114</v>
      </c>
    </row>
    <row r="46" spans="1:9" x14ac:dyDescent="0.25">
      <c r="B46" s="19" t="s">
        <v>65</v>
      </c>
      <c r="C46" s="19" t="s">
        <v>66</v>
      </c>
      <c r="E46">
        <f>IF(LEFT(RBC_Personal_Accounts[[#This Row],[If Balance is]],1)&lt;&gt;"$",0,VALUE(LEFT(RBC_Personal_Accounts[[#This Row],[If Balance is]],FIND(" ",RBC_Personal_Accounts[[#This Row],[If Balance is]]))))</f>
        <v>100000</v>
      </c>
      <c r="H46">
        <v>113</v>
      </c>
    </row>
    <row r="47" spans="1:9" x14ac:dyDescent="0.25">
      <c r="B47" s="19" t="s">
        <v>64</v>
      </c>
      <c r="C47" s="19" t="s">
        <v>63</v>
      </c>
      <c r="E47">
        <f>IF(LEFT(RBC_Personal_Accounts[[#This Row],[If Balance is]],1)&lt;&gt;"$",0,VALUE(LEFT(RBC_Personal_Accounts[[#This Row],[If Balance is]],FIND(" ",RBC_Personal_Accounts[[#This Row],[If Balance is]]))))</f>
        <v>150000</v>
      </c>
      <c r="H47">
        <v>112</v>
      </c>
    </row>
    <row r="48" spans="1:9" x14ac:dyDescent="0.25">
      <c r="B48" s="19" t="s">
        <v>62</v>
      </c>
      <c r="C48" s="19" t="s">
        <v>63</v>
      </c>
      <c r="E48">
        <f>IF(LEFT(RBC_Personal_Accounts[[#This Row],[If Balance is]],1)&lt;&gt;"$",0,VALUE(LEFT(RBC_Personal_Accounts[[#This Row],[If Balance is]],FIND(" ",RBC_Personal_Accounts[[#This Row],[If Balance is]]))))</f>
        <v>250000</v>
      </c>
      <c r="H48">
        <v>111</v>
      </c>
      <c r="I48" t="s">
        <v>350</v>
      </c>
    </row>
    <row r="49" spans="1:9" x14ac:dyDescent="0.25">
      <c r="A49" t="s">
        <v>349</v>
      </c>
      <c r="B49" s="19" t="s">
        <v>80</v>
      </c>
      <c r="C49" s="19" t="s">
        <v>72</v>
      </c>
      <c r="E49">
        <f>IF(LEFT(RBC_Personal_Accounts[[#This Row],[If Balance is]],1)&lt;&gt;"$",0,VALUE(LEFT(RBC_Personal_Accounts[[#This Row],[If Balance is]],FIND(" ",RBC_Personal_Accounts[[#This Row],[If Balance is]]))))</f>
        <v>0</v>
      </c>
      <c r="H49">
        <v>110</v>
      </c>
    </row>
    <row r="50" spans="1:9" x14ac:dyDescent="0.25">
      <c r="B50" s="19" t="s">
        <v>79</v>
      </c>
      <c r="C50" s="19" t="s">
        <v>70</v>
      </c>
      <c r="E50">
        <f>IF(LEFT(RBC_Personal_Accounts[[#This Row],[If Balance is]],1)&lt;&gt;"$",0,VALUE(LEFT(RBC_Personal_Accounts[[#This Row],[If Balance is]],FIND(" ",RBC_Personal_Accounts[[#This Row],[If Balance is]]))))</f>
        <v>1000</v>
      </c>
      <c r="H50">
        <v>109</v>
      </c>
    </row>
    <row r="51" spans="1:9" x14ac:dyDescent="0.25">
      <c r="B51" s="19" t="s">
        <v>78</v>
      </c>
      <c r="C51" s="19" t="s">
        <v>81</v>
      </c>
      <c r="E51">
        <f>IF(LEFT(RBC_Personal_Accounts[[#This Row],[If Balance is]],1)&lt;&gt;"$",0,VALUE(LEFT(RBC_Personal_Accounts[[#This Row],[If Balance is]],FIND(" ",RBC_Personal_Accounts[[#This Row],[If Balance is]]))))</f>
        <v>3000</v>
      </c>
      <c r="H51">
        <v>108</v>
      </c>
    </row>
    <row r="52" spans="1:9" x14ac:dyDescent="0.25">
      <c r="B52" s="19" t="s">
        <v>77</v>
      </c>
      <c r="C52" s="19" t="s">
        <v>81</v>
      </c>
      <c r="E52">
        <f>IF(LEFT(RBC_Personal_Accounts[[#This Row],[If Balance is]],1)&lt;&gt;"$",0,VALUE(LEFT(RBC_Personal_Accounts[[#This Row],[If Balance is]],FIND(" ",RBC_Personal_Accounts[[#This Row],[If Balance is]]))))</f>
        <v>5000</v>
      </c>
      <c r="H52">
        <v>107</v>
      </c>
      <c r="I52" t="s">
        <v>349</v>
      </c>
    </row>
    <row r="53" spans="1:9" x14ac:dyDescent="0.25">
      <c r="A53" t="s">
        <v>348</v>
      </c>
      <c r="B53" s="19" t="s">
        <v>320</v>
      </c>
      <c r="C53" s="19" t="s">
        <v>76</v>
      </c>
      <c r="E53">
        <f>IF(LEFT(RBC_Personal_Accounts[[#This Row],[If Balance is]],1)&lt;&gt;"$",0,VALUE(LEFT(RBC_Personal_Accounts[[#This Row],[If Balance is]],FIND(" ",RBC_Personal_Accounts[[#This Row],[If Balance is]]))))</f>
        <v>0</v>
      </c>
      <c r="H53">
        <v>106</v>
      </c>
    </row>
    <row r="54" spans="1:9" x14ac:dyDescent="0.25">
      <c r="B54" s="19" t="s">
        <v>319</v>
      </c>
      <c r="C54" s="19" t="s">
        <v>76</v>
      </c>
      <c r="E54">
        <f>IF(LEFT(RBC_Personal_Accounts[[#This Row],[If Balance is]],1)&lt;&gt;"$",0,VALUE(LEFT(RBC_Personal_Accounts[[#This Row],[If Balance is]],FIND(" ",RBC_Personal_Accounts[[#This Row],[If Balance is]]))))</f>
        <v>500</v>
      </c>
      <c r="H54">
        <v>105</v>
      </c>
    </row>
    <row r="55" spans="1:9" x14ac:dyDescent="0.25">
      <c r="B55" s="19" t="s">
        <v>79</v>
      </c>
      <c r="C55" s="19" t="s">
        <v>76</v>
      </c>
      <c r="E55">
        <f>IF(LEFT(RBC_Personal_Accounts[[#This Row],[If Balance is]],1)&lt;&gt;"$",0,VALUE(LEFT(RBC_Personal_Accounts[[#This Row],[If Balance is]],FIND(" ",RBC_Personal_Accounts[[#This Row],[If Balance is]]))))</f>
        <v>1000</v>
      </c>
      <c r="H55">
        <v>104</v>
      </c>
    </row>
    <row r="56" spans="1:9" x14ac:dyDescent="0.25">
      <c r="B56" s="19" t="s">
        <v>78</v>
      </c>
      <c r="C56" s="19" t="s">
        <v>74</v>
      </c>
      <c r="E56">
        <f>IF(LEFT(RBC_Personal_Accounts[[#This Row],[If Balance is]],1)&lt;&gt;"$",0,VALUE(LEFT(RBC_Personal_Accounts[[#This Row],[If Balance is]],FIND(" ",RBC_Personal_Accounts[[#This Row],[If Balance is]]))))</f>
        <v>3000</v>
      </c>
      <c r="H56">
        <v>103</v>
      </c>
    </row>
    <row r="57" spans="1:9" x14ac:dyDescent="0.25">
      <c r="B57" s="19" t="s">
        <v>77</v>
      </c>
      <c r="C57" s="19" t="s">
        <v>322</v>
      </c>
      <c r="E57">
        <f>IF(LEFT(RBC_Personal_Accounts[[#This Row],[If Balance is]],1)&lt;&gt;"$",0,VALUE(LEFT(RBC_Personal_Accounts[[#This Row],[If Balance is]],FIND(" ",RBC_Personal_Accounts[[#This Row],[If Balance is]]))))</f>
        <v>5000</v>
      </c>
      <c r="H57">
        <v>102</v>
      </c>
      <c r="I57" t="s">
        <v>348</v>
      </c>
    </row>
    <row r="58" spans="1:9" x14ac:dyDescent="0.25">
      <c r="A58" t="s">
        <v>347</v>
      </c>
      <c r="B58" s="19" t="s">
        <v>80</v>
      </c>
      <c r="C58" s="19" t="s">
        <v>76</v>
      </c>
      <c r="E58">
        <f>IF(LEFT(RBC_Personal_Accounts[[#This Row],[If Balance is]],1)&lt;&gt;"$",0,VALUE(LEFT(RBC_Personal_Accounts[[#This Row],[If Balance is]],FIND(" ",RBC_Personal_Accounts[[#This Row],[If Balance is]]))))</f>
        <v>0</v>
      </c>
      <c r="H58">
        <v>101</v>
      </c>
    </row>
    <row r="59" spans="1:9" x14ac:dyDescent="0.25">
      <c r="B59" s="19" t="s">
        <v>79</v>
      </c>
      <c r="C59" s="19" t="s">
        <v>76</v>
      </c>
      <c r="E59">
        <f>IF(LEFT(RBC_Personal_Accounts[[#This Row],[If Balance is]],1)&lt;&gt;"$",0,VALUE(LEFT(RBC_Personal_Accounts[[#This Row],[If Balance is]],FIND(" ",RBC_Personal_Accounts[[#This Row],[If Balance is]]))))</f>
        <v>1000</v>
      </c>
      <c r="H59">
        <v>100</v>
      </c>
    </row>
    <row r="60" spans="1:9" x14ac:dyDescent="0.25">
      <c r="B60" s="19" t="s">
        <v>78</v>
      </c>
      <c r="C60" s="19" t="s">
        <v>76</v>
      </c>
      <c r="E60">
        <f>IF(LEFT(RBC_Personal_Accounts[[#This Row],[If Balance is]],1)&lt;&gt;"$",0,VALUE(LEFT(RBC_Personal_Accounts[[#This Row],[If Balance is]],FIND(" ",RBC_Personal_Accounts[[#This Row],[If Balance is]]))))</f>
        <v>3000</v>
      </c>
      <c r="H60">
        <v>99</v>
      </c>
    </row>
    <row r="61" spans="1:9" x14ac:dyDescent="0.25">
      <c r="B61" s="19" t="s">
        <v>323</v>
      </c>
      <c r="C61" s="19" t="s">
        <v>74</v>
      </c>
      <c r="E61">
        <f>IF(LEFT(RBC_Personal_Accounts[[#This Row],[If Balance is]],1)&lt;&gt;"$",0,VALUE(LEFT(RBC_Personal_Accounts[[#This Row],[If Balance is]],FIND(" ",RBC_Personal_Accounts[[#This Row],[If Balance is]]))))</f>
        <v>5000</v>
      </c>
      <c r="H61">
        <v>98</v>
      </c>
    </row>
    <row r="62" spans="1:9" x14ac:dyDescent="0.25">
      <c r="B62" s="19" t="s">
        <v>69</v>
      </c>
      <c r="C62" s="19" t="s">
        <v>74</v>
      </c>
      <c r="E62">
        <f>IF(LEFT(RBC_Personal_Accounts[[#This Row],[If Balance is]],1)&lt;&gt;"$",0,VALUE(LEFT(RBC_Personal_Accounts[[#This Row],[If Balance is]],FIND(" ",RBC_Personal_Accounts[[#This Row],[If Balance is]]))))</f>
        <v>25000</v>
      </c>
      <c r="H62">
        <v>97</v>
      </c>
    </row>
    <row r="63" spans="1:9" x14ac:dyDescent="0.25">
      <c r="B63" s="19" t="s">
        <v>321</v>
      </c>
      <c r="C63" s="19" t="s">
        <v>322</v>
      </c>
      <c r="E63">
        <f>IF(LEFT(RBC_Personal_Accounts[[#This Row],[If Balance is]],1)&lt;&gt;"$",0,VALUE(LEFT(RBC_Personal_Accounts[[#This Row],[If Balance is]],FIND(" ",RBC_Personal_Accounts[[#This Row],[If Balance is]]))))</f>
        <v>60000</v>
      </c>
      <c r="H63">
        <v>96</v>
      </c>
      <c r="I63" t="s">
        <v>347</v>
      </c>
    </row>
    <row r="64" spans="1:9" x14ac:dyDescent="0.25">
      <c r="A64" t="s">
        <v>346</v>
      </c>
      <c r="B64" s="19" t="s">
        <v>320</v>
      </c>
      <c r="C64" s="19" t="s">
        <v>74</v>
      </c>
      <c r="E64">
        <f>IF(LEFT(RBC_Personal_Accounts[[#This Row],[If Balance is]],1)&lt;&gt;"$",0,VALUE(LEFT(RBC_Personal_Accounts[[#This Row],[If Balance is]],FIND(" ",RBC_Personal_Accounts[[#This Row],[If Balance is]]))))</f>
        <v>0</v>
      </c>
      <c r="H64">
        <v>95</v>
      </c>
    </row>
    <row r="65" spans="1:9" x14ac:dyDescent="0.25">
      <c r="B65" s="19" t="s">
        <v>319</v>
      </c>
      <c r="C65" s="19" t="s">
        <v>74</v>
      </c>
      <c r="E65">
        <f>IF(LEFT(RBC_Personal_Accounts[[#This Row],[If Balance is]],1)&lt;&gt;"$",0,VALUE(LEFT(RBC_Personal_Accounts[[#This Row],[If Balance is]],FIND(" ",RBC_Personal_Accounts[[#This Row],[If Balance is]]))))</f>
        <v>500</v>
      </c>
      <c r="H65">
        <v>94</v>
      </c>
    </row>
    <row r="66" spans="1:9" x14ac:dyDescent="0.25">
      <c r="B66" s="19" t="s">
        <v>79</v>
      </c>
      <c r="C66" s="19" t="s">
        <v>74</v>
      </c>
      <c r="E66">
        <f>IF(LEFT(RBC_Personal_Accounts[[#This Row],[If Balance is]],1)&lt;&gt;"$",0,VALUE(LEFT(RBC_Personal_Accounts[[#This Row],[If Balance is]],FIND(" ",RBC_Personal_Accounts[[#This Row],[If Balance is]]))))</f>
        <v>1000</v>
      </c>
      <c r="H66">
        <v>93</v>
      </c>
    </row>
    <row r="67" spans="1:9" x14ac:dyDescent="0.25">
      <c r="B67" s="19" t="s">
        <v>78</v>
      </c>
      <c r="C67" s="19" t="s">
        <v>322</v>
      </c>
      <c r="E67">
        <f>IF(LEFT(RBC_Personal_Accounts[[#This Row],[If Balance is]],1)&lt;&gt;"$",0,VALUE(LEFT(RBC_Personal_Accounts[[#This Row],[If Balance is]],FIND(" ",RBC_Personal_Accounts[[#This Row],[If Balance is]]))))</f>
        <v>3000</v>
      </c>
      <c r="H67">
        <v>92</v>
      </c>
    </row>
    <row r="68" spans="1:9" x14ac:dyDescent="0.25">
      <c r="B68" s="19" t="s">
        <v>77</v>
      </c>
      <c r="C68" s="19" t="s">
        <v>322</v>
      </c>
      <c r="E68">
        <f>IF(LEFT(RBC_Personal_Accounts[[#This Row],[If Balance is]],1)&lt;&gt;"$",0,VALUE(LEFT(RBC_Personal_Accounts[[#This Row],[If Balance is]],FIND(" ",RBC_Personal_Accounts[[#This Row],[If Balance is]]))))</f>
        <v>5000</v>
      </c>
      <c r="H68">
        <v>91</v>
      </c>
      <c r="I68" t="s">
        <v>346</v>
      </c>
    </row>
    <row r="69" spans="1:9" x14ac:dyDescent="0.25">
      <c r="A69" t="s">
        <v>345</v>
      </c>
      <c r="B69" s="19" t="s">
        <v>80</v>
      </c>
      <c r="C69" s="19" t="s">
        <v>72</v>
      </c>
      <c r="E69">
        <f>IF(LEFT(RBC_Personal_Accounts[[#This Row],[If Balance is]],1)&lt;&gt;"$",0,VALUE(LEFT(RBC_Personal_Accounts[[#This Row],[If Balance is]],FIND(" ",RBC_Personal_Accounts[[#This Row],[If Balance is]]))))</f>
        <v>0</v>
      </c>
      <c r="H69">
        <v>90</v>
      </c>
    </row>
    <row r="70" spans="1:9" x14ac:dyDescent="0.25">
      <c r="B70" s="19" t="s">
        <v>79</v>
      </c>
      <c r="C70" s="19" t="s">
        <v>70</v>
      </c>
      <c r="E70">
        <f>IF(LEFT(RBC_Personal_Accounts[[#This Row],[If Balance is]],1)&lt;&gt;"$",0,VALUE(LEFT(RBC_Personal_Accounts[[#This Row],[If Balance is]],FIND(" ",RBC_Personal_Accounts[[#This Row],[If Balance is]]))))</f>
        <v>1000</v>
      </c>
      <c r="H70">
        <v>89</v>
      </c>
    </row>
    <row r="71" spans="1:9" x14ac:dyDescent="0.25">
      <c r="B71" s="19" t="s">
        <v>78</v>
      </c>
      <c r="C71" s="19" t="s">
        <v>81</v>
      </c>
      <c r="E71">
        <f>IF(LEFT(RBC_Personal_Accounts[[#This Row],[If Balance is]],1)&lt;&gt;"$",0,VALUE(LEFT(RBC_Personal_Accounts[[#This Row],[If Balance is]],FIND(" ",RBC_Personal_Accounts[[#This Row],[If Balance is]]))))</f>
        <v>3000</v>
      </c>
      <c r="H71">
        <v>88</v>
      </c>
    </row>
    <row r="72" spans="1:9" x14ac:dyDescent="0.25">
      <c r="B72" s="19" t="s">
        <v>77</v>
      </c>
      <c r="C72" s="19" t="s">
        <v>81</v>
      </c>
      <c r="E72">
        <f>IF(LEFT(RBC_Personal_Accounts[[#This Row],[If Balance is]],1)&lt;&gt;"$",0,VALUE(LEFT(RBC_Personal_Accounts[[#This Row],[If Balance is]],FIND(" ",RBC_Personal_Accounts[[#This Row],[If Balance is]]))))</f>
        <v>5000</v>
      </c>
      <c r="H72">
        <v>87</v>
      </c>
      <c r="I72" t="s">
        <v>345</v>
      </c>
    </row>
    <row r="73" spans="1:9" x14ac:dyDescent="0.25">
      <c r="A73" t="s">
        <v>344</v>
      </c>
      <c r="B73" s="19" t="s">
        <v>75</v>
      </c>
      <c r="C73" s="19" t="s">
        <v>76</v>
      </c>
      <c r="E73">
        <f>IF(LEFT(RBC_Personal_Accounts[[#This Row],[If Balance is]],1)&lt;&gt;"$",0,VALUE(LEFT(RBC_Personal_Accounts[[#This Row],[If Balance is]],FIND(" ",RBC_Personal_Accounts[[#This Row],[If Balance is]]))))</f>
        <v>0</v>
      </c>
      <c r="H73">
        <v>86</v>
      </c>
    </row>
    <row r="74" spans="1:9" x14ac:dyDescent="0.25">
      <c r="B74" s="19" t="s">
        <v>73</v>
      </c>
      <c r="C74" s="19" t="s">
        <v>74</v>
      </c>
      <c r="E74">
        <f>IF(LEFT(RBC_Personal_Accounts[[#This Row],[If Balance is]],1)&lt;&gt;"$",0,VALUE(LEFT(RBC_Personal_Accounts[[#This Row],[If Balance is]],FIND(" ",RBC_Personal_Accounts[[#This Row],[If Balance is]]))))</f>
        <v>5000</v>
      </c>
      <c r="H74">
        <v>85</v>
      </c>
    </row>
    <row r="75" spans="1:9" x14ac:dyDescent="0.25">
      <c r="B75" s="19" t="s">
        <v>71</v>
      </c>
      <c r="C75" s="19" t="s">
        <v>72</v>
      </c>
      <c r="E75">
        <f>IF(LEFT(RBC_Personal_Accounts[[#This Row],[If Balance is]],1)&lt;&gt;"$",0,VALUE(LEFT(RBC_Personal_Accounts[[#This Row],[If Balance is]],FIND(" ",RBC_Personal_Accounts[[#This Row],[If Balance is]]))))</f>
        <v>10000</v>
      </c>
      <c r="H75">
        <v>84</v>
      </c>
    </row>
    <row r="76" spans="1:9" x14ac:dyDescent="0.25">
      <c r="B76" s="19" t="s">
        <v>69</v>
      </c>
      <c r="C76" s="19" t="s">
        <v>70</v>
      </c>
      <c r="E76">
        <f>IF(LEFT(RBC_Personal_Accounts[[#This Row],[If Balance is]],1)&lt;&gt;"$",0,VALUE(LEFT(RBC_Personal_Accounts[[#This Row],[If Balance is]],FIND(" ",RBC_Personal_Accounts[[#This Row],[If Balance is]]))))</f>
        <v>25000</v>
      </c>
      <c r="H76">
        <v>83</v>
      </c>
    </row>
    <row r="77" spans="1:9" x14ac:dyDescent="0.25">
      <c r="B77" s="19" t="s">
        <v>67</v>
      </c>
      <c r="C77" s="19" t="s">
        <v>68</v>
      </c>
      <c r="E77">
        <f>IF(LEFT(RBC_Personal_Accounts[[#This Row],[If Balance is]],1)&lt;&gt;"$",0,VALUE(LEFT(RBC_Personal_Accounts[[#This Row],[If Balance is]],FIND(" ",RBC_Personal_Accounts[[#This Row],[If Balance is]]))))</f>
        <v>60000</v>
      </c>
      <c r="H77">
        <v>82</v>
      </c>
    </row>
    <row r="78" spans="1:9" x14ac:dyDescent="0.25">
      <c r="B78" s="19" t="s">
        <v>65</v>
      </c>
      <c r="C78" s="19" t="s">
        <v>66</v>
      </c>
      <c r="E78">
        <f>IF(LEFT(RBC_Personal_Accounts[[#This Row],[If Balance is]],1)&lt;&gt;"$",0,VALUE(LEFT(RBC_Personal_Accounts[[#This Row],[If Balance is]],FIND(" ",RBC_Personal_Accounts[[#This Row],[If Balance is]]))))</f>
        <v>100000</v>
      </c>
      <c r="H78">
        <v>81</v>
      </c>
    </row>
    <row r="79" spans="1:9" x14ac:dyDescent="0.25">
      <c r="B79" s="19" t="s">
        <v>64</v>
      </c>
      <c r="C79" s="19" t="s">
        <v>63</v>
      </c>
      <c r="E79">
        <f>IF(LEFT(RBC_Personal_Accounts[[#This Row],[If Balance is]],1)&lt;&gt;"$",0,VALUE(LEFT(RBC_Personal_Accounts[[#This Row],[If Balance is]],FIND(" ",RBC_Personal_Accounts[[#This Row],[If Balance is]]))))</f>
        <v>150000</v>
      </c>
      <c r="H79">
        <v>80</v>
      </c>
    </row>
    <row r="80" spans="1:9" x14ac:dyDescent="0.25">
      <c r="B80" s="19" t="s">
        <v>62</v>
      </c>
      <c r="C80" s="19" t="s">
        <v>63</v>
      </c>
      <c r="E80">
        <f>IF(LEFT(RBC_Personal_Accounts[[#This Row],[If Balance is]],1)&lt;&gt;"$",0,VALUE(LEFT(RBC_Personal_Accounts[[#This Row],[If Balance is]],FIND(" ",RBC_Personal_Accounts[[#This Row],[If Balance is]]))))</f>
        <v>250000</v>
      </c>
      <c r="H80">
        <v>79</v>
      </c>
      <c r="I80" t="s">
        <v>344</v>
      </c>
    </row>
    <row r="81" spans="1:9" x14ac:dyDescent="0.25">
      <c r="A81" t="s">
        <v>343</v>
      </c>
      <c r="B81" s="19" t="s">
        <v>324</v>
      </c>
      <c r="C81" s="19" t="s">
        <v>76</v>
      </c>
      <c r="E81">
        <f>IF(LEFT(RBC_Personal_Accounts[[#This Row],[If Balance is]],1)&lt;&gt;"$",0,VALUE(LEFT(RBC_Personal_Accounts[[#This Row],[If Balance is]],FIND(" ",RBC_Personal_Accounts[[#This Row],[If Balance is]]))))</f>
        <v>0</v>
      </c>
      <c r="H81">
        <v>78</v>
      </c>
    </row>
    <row r="82" spans="1:9" x14ac:dyDescent="0.25">
      <c r="B82" s="19" t="s">
        <v>78</v>
      </c>
      <c r="C82" s="19" t="s">
        <v>76</v>
      </c>
      <c r="E82">
        <f>IF(LEFT(RBC_Personal_Accounts[[#This Row],[If Balance is]],1)&lt;&gt;"$",0,VALUE(LEFT(RBC_Personal_Accounts[[#This Row],[If Balance is]],FIND(" ",RBC_Personal_Accounts[[#This Row],[If Balance is]]))))</f>
        <v>3000</v>
      </c>
      <c r="H82">
        <v>77</v>
      </c>
    </row>
    <row r="83" spans="1:9" x14ac:dyDescent="0.25">
      <c r="B83" s="19" t="s">
        <v>73</v>
      </c>
      <c r="C83" s="19" t="s">
        <v>74</v>
      </c>
      <c r="E83">
        <f>IF(LEFT(RBC_Personal_Accounts[[#This Row],[If Balance is]],1)&lt;&gt;"$",0,VALUE(LEFT(RBC_Personal_Accounts[[#This Row],[If Balance is]],FIND(" ",RBC_Personal_Accounts[[#This Row],[If Balance is]]))))</f>
        <v>5000</v>
      </c>
      <c r="H83">
        <v>76</v>
      </c>
    </row>
    <row r="84" spans="1:9" x14ac:dyDescent="0.25">
      <c r="B84" s="19" t="s">
        <v>71</v>
      </c>
      <c r="C84" s="19" t="s">
        <v>72</v>
      </c>
      <c r="E84">
        <f>IF(LEFT(RBC_Personal_Accounts[[#This Row],[If Balance is]],1)&lt;&gt;"$",0,VALUE(LEFT(RBC_Personal_Accounts[[#This Row],[If Balance is]],FIND(" ",RBC_Personal_Accounts[[#This Row],[If Balance is]]))))</f>
        <v>10000</v>
      </c>
      <c r="H84">
        <v>75</v>
      </c>
    </row>
    <row r="85" spans="1:9" x14ac:dyDescent="0.25">
      <c r="B85" s="19" t="s">
        <v>69</v>
      </c>
      <c r="C85" s="19" t="s">
        <v>70</v>
      </c>
      <c r="E85">
        <f>IF(LEFT(RBC_Personal_Accounts[[#This Row],[If Balance is]],1)&lt;&gt;"$",0,VALUE(LEFT(RBC_Personal_Accounts[[#This Row],[If Balance is]],FIND(" ",RBC_Personal_Accounts[[#This Row],[If Balance is]]))))</f>
        <v>25000</v>
      </c>
      <c r="H85">
        <v>74</v>
      </c>
    </row>
    <row r="86" spans="1:9" x14ac:dyDescent="0.25">
      <c r="B86" s="19" t="s">
        <v>67</v>
      </c>
      <c r="C86" s="19" t="s">
        <v>66</v>
      </c>
      <c r="E86">
        <f>IF(LEFT(RBC_Personal_Accounts[[#This Row],[If Balance is]],1)&lt;&gt;"$",0,VALUE(LEFT(RBC_Personal_Accounts[[#This Row],[If Balance is]],FIND(" ",RBC_Personal_Accounts[[#This Row],[If Balance is]]))))</f>
        <v>60000</v>
      </c>
      <c r="H86">
        <v>73</v>
      </c>
    </row>
    <row r="87" spans="1:9" x14ac:dyDescent="0.25">
      <c r="B87" s="19" t="s">
        <v>267</v>
      </c>
      <c r="C87" s="19" t="s">
        <v>307</v>
      </c>
      <c r="E87">
        <f>IF(LEFT(RBC_Personal_Accounts[[#This Row],[If Balance is]],1)&lt;&gt;"$",0,VALUE(LEFT(RBC_Personal_Accounts[[#This Row],[If Balance is]],FIND(" ",RBC_Personal_Accounts[[#This Row],[If Balance is]]))))</f>
        <v>100000</v>
      </c>
      <c r="H87">
        <v>72</v>
      </c>
      <c r="I87" t="s">
        <v>343</v>
      </c>
    </row>
    <row r="88" spans="1:9" x14ac:dyDescent="0.25">
      <c r="A88" t="s">
        <v>342</v>
      </c>
      <c r="B88" s="19" t="s">
        <v>80</v>
      </c>
      <c r="C88" s="19" t="s">
        <v>76</v>
      </c>
      <c r="E88">
        <f>IF(LEFT(RBC_Personal_Accounts[[#This Row],[If Balance is]],1)&lt;&gt;"$",0,VALUE(LEFT(RBC_Personal_Accounts[[#This Row],[If Balance is]],FIND(" ",RBC_Personal_Accounts[[#This Row],[If Balance is]]))))</f>
        <v>0</v>
      </c>
      <c r="H88">
        <v>71</v>
      </c>
    </row>
    <row r="89" spans="1:9" x14ac:dyDescent="0.25">
      <c r="B89" s="19" t="s">
        <v>79</v>
      </c>
      <c r="C89" s="19" t="s">
        <v>76</v>
      </c>
      <c r="E89">
        <f>IF(LEFT(RBC_Personal_Accounts[[#This Row],[If Balance is]],1)&lt;&gt;"$",0,VALUE(LEFT(RBC_Personal_Accounts[[#This Row],[If Balance is]],FIND(" ",RBC_Personal_Accounts[[#This Row],[If Balance is]]))))</f>
        <v>1000</v>
      </c>
      <c r="H89">
        <v>70</v>
      </c>
    </row>
    <row r="90" spans="1:9" x14ac:dyDescent="0.25">
      <c r="B90" s="19" t="s">
        <v>78</v>
      </c>
      <c r="C90" s="19" t="s">
        <v>76</v>
      </c>
      <c r="E90">
        <f>IF(LEFT(RBC_Personal_Accounts[[#This Row],[If Balance is]],1)&lt;&gt;"$",0,VALUE(LEFT(RBC_Personal_Accounts[[#This Row],[If Balance is]],FIND(" ",RBC_Personal_Accounts[[#This Row],[If Balance is]]))))</f>
        <v>3000</v>
      </c>
      <c r="H90">
        <v>69</v>
      </c>
    </row>
    <row r="91" spans="1:9" x14ac:dyDescent="0.25">
      <c r="B91" s="19" t="s">
        <v>323</v>
      </c>
      <c r="C91" s="19" t="s">
        <v>74</v>
      </c>
      <c r="E91">
        <f>IF(LEFT(RBC_Personal_Accounts[[#This Row],[If Balance is]],1)&lt;&gt;"$",0,VALUE(LEFT(RBC_Personal_Accounts[[#This Row],[If Balance is]],FIND(" ",RBC_Personal_Accounts[[#This Row],[If Balance is]]))))</f>
        <v>5000</v>
      </c>
      <c r="H91">
        <v>68</v>
      </c>
    </row>
    <row r="92" spans="1:9" x14ac:dyDescent="0.25">
      <c r="B92" s="19" t="s">
        <v>69</v>
      </c>
      <c r="C92" s="19" t="s">
        <v>74</v>
      </c>
      <c r="E92">
        <f>IF(LEFT(RBC_Personal_Accounts[[#This Row],[If Balance is]],1)&lt;&gt;"$",0,VALUE(LEFT(RBC_Personal_Accounts[[#This Row],[If Balance is]],FIND(" ",RBC_Personal_Accounts[[#This Row],[If Balance is]]))))</f>
        <v>25000</v>
      </c>
      <c r="H92">
        <v>67</v>
      </c>
    </row>
    <row r="93" spans="1:9" x14ac:dyDescent="0.25">
      <c r="B93" s="19" t="s">
        <v>321</v>
      </c>
      <c r="C93" s="19" t="s">
        <v>322</v>
      </c>
      <c r="E93">
        <f>IF(LEFT(RBC_Personal_Accounts[[#This Row],[If Balance is]],1)&lt;&gt;"$",0,VALUE(LEFT(RBC_Personal_Accounts[[#This Row],[If Balance is]],FIND(" ",RBC_Personal_Accounts[[#This Row],[If Balance is]]))))</f>
        <v>60000</v>
      </c>
      <c r="H93">
        <v>66</v>
      </c>
      <c r="I93" t="s">
        <v>342</v>
      </c>
    </row>
    <row r="94" spans="1:9" x14ac:dyDescent="0.25">
      <c r="A94" t="s">
        <v>341</v>
      </c>
      <c r="B94" s="19" t="s">
        <v>75</v>
      </c>
      <c r="C94" s="19" t="s">
        <v>76</v>
      </c>
      <c r="E94">
        <f>IF(LEFT(RBC_Personal_Accounts[[#This Row],[If Balance is]],1)&lt;&gt;"$",0,VALUE(LEFT(RBC_Personal_Accounts[[#This Row],[If Balance is]],FIND(" ",RBC_Personal_Accounts[[#This Row],[If Balance is]]))))</f>
        <v>0</v>
      </c>
      <c r="H94">
        <v>65</v>
      </c>
    </row>
    <row r="95" spans="1:9" x14ac:dyDescent="0.25">
      <c r="B95" s="19" t="s">
        <v>73</v>
      </c>
      <c r="C95" s="19" t="s">
        <v>74</v>
      </c>
      <c r="E95">
        <f>IF(LEFT(RBC_Personal_Accounts[[#This Row],[If Balance is]],1)&lt;&gt;"$",0,VALUE(LEFT(RBC_Personal_Accounts[[#This Row],[If Balance is]],FIND(" ",RBC_Personal_Accounts[[#This Row],[If Balance is]]))))</f>
        <v>5000</v>
      </c>
      <c r="H95">
        <v>64</v>
      </c>
    </row>
    <row r="96" spans="1:9" x14ac:dyDescent="0.25">
      <c r="B96" s="19" t="s">
        <v>71</v>
      </c>
      <c r="C96" s="19" t="s">
        <v>72</v>
      </c>
      <c r="E96">
        <f>IF(LEFT(RBC_Personal_Accounts[[#This Row],[If Balance is]],1)&lt;&gt;"$",0,VALUE(LEFT(RBC_Personal_Accounts[[#This Row],[If Balance is]],FIND(" ",RBC_Personal_Accounts[[#This Row],[If Balance is]]))))</f>
        <v>10000</v>
      </c>
      <c r="H96">
        <v>63</v>
      </c>
    </row>
    <row r="97" spans="1:9" x14ac:dyDescent="0.25">
      <c r="B97" s="19" t="s">
        <v>69</v>
      </c>
      <c r="C97" s="19" t="s">
        <v>70</v>
      </c>
      <c r="E97">
        <f>IF(LEFT(RBC_Personal_Accounts[[#This Row],[If Balance is]],1)&lt;&gt;"$",0,VALUE(LEFT(RBC_Personal_Accounts[[#This Row],[If Balance is]],FIND(" ",RBC_Personal_Accounts[[#This Row],[If Balance is]]))))</f>
        <v>25000</v>
      </c>
      <c r="H97">
        <v>62</v>
      </c>
    </row>
    <row r="98" spans="1:9" x14ac:dyDescent="0.25">
      <c r="B98" s="19" t="s">
        <v>67</v>
      </c>
      <c r="C98" s="19" t="s">
        <v>68</v>
      </c>
      <c r="E98">
        <f>IF(LEFT(RBC_Personal_Accounts[[#This Row],[If Balance is]],1)&lt;&gt;"$",0,VALUE(LEFT(RBC_Personal_Accounts[[#This Row],[If Balance is]],FIND(" ",RBC_Personal_Accounts[[#This Row],[If Balance is]]))))</f>
        <v>60000</v>
      </c>
      <c r="H98">
        <v>61</v>
      </c>
    </row>
    <row r="99" spans="1:9" x14ac:dyDescent="0.25">
      <c r="B99" s="19" t="s">
        <v>65</v>
      </c>
      <c r="C99" s="19" t="s">
        <v>66</v>
      </c>
      <c r="E99">
        <f>IF(LEFT(RBC_Personal_Accounts[[#This Row],[If Balance is]],1)&lt;&gt;"$",0,VALUE(LEFT(RBC_Personal_Accounts[[#This Row],[If Balance is]],FIND(" ",RBC_Personal_Accounts[[#This Row],[If Balance is]]))))</f>
        <v>100000</v>
      </c>
      <c r="H99">
        <v>60</v>
      </c>
    </row>
    <row r="100" spans="1:9" x14ac:dyDescent="0.25">
      <c r="B100" s="19" t="s">
        <v>64</v>
      </c>
      <c r="C100" s="19" t="s">
        <v>63</v>
      </c>
      <c r="E100">
        <f>IF(LEFT(RBC_Personal_Accounts[[#This Row],[If Balance is]],1)&lt;&gt;"$",0,VALUE(LEFT(RBC_Personal_Accounts[[#This Row],[If Balance is]],FIND(" ",RBC_Personal_Accounts[[#This Row],[If Balance is]]))))</f>
        <v>150000</v>
      </c>
      <c r="H100">
        <v>59</v>
      </c>
    </row>
    <row r="101" spans="1:9" x14ac:dyDescent="0.25">
      <c r="B101" s="19" t="s">
        <v>62</v>
      </c>
      <c r="C101" s="19" t="s">
        <v>63</v>
      </c>
      <c r="E101">
        <f>IF(LEFT(RBC_Personal_Accounts[[#This Row],[If Balance is]],1)&lt;&gt;"$",0,VALUE(LEFT(RBC_Personal_Accounts[[#This Row],[If Balance is]],FIND(" ",RBC_Personal_Accounts[[#This Row],[If Balance is]]))))</f>
        <v>250000</v>
      </c>
      <c r="H101">
        <v>58</v>
      </c>
      <c r="I101" t="s">
        <v>341</v>
      </c>
    </row>
    <row r="102" spans="1:9" x14ac:dyDescent="0.25">
      <c r="A102" t="s">
        <v>340</v>
      </c>
      <c r="B102" s="19" t="s">
        <v>80</v>
      </c>
      <c r="C102" s="19" t="s">
        <v>72</v>
      </c>
      <c r="E102">
        <f>IF(LEFT(RBC_Personal_Accounts[[#This Row],[If Balance is]],1)&lt;&gt;"$",0,VALUE(LEFT(RBC_Personal_Accounts[[#This Row],[If Balance is]],FIND(" ",RBC_Personal_Accounts[[#This Row],[If Balance is]]))))</f>
        <v>0</v>
      </c>
      <c r="H102">
        <v>57</v>
      </c>
    </row>
    <row r="103" spans="1:9" x14ac:dyDescent="0.25">
      <c r="B103" s="19" t="s">
        <v>79</v>
      </c>
      <c r="C103" s="19" t="s">
        <v>70</v>
      </c>
      <c r="E103">
        <f>IF(LEFT(RBC_Personal_Accounts[[#This Row],[If Balance is]],1)&lt;&gt;"$",0,VALUE(LEFT(RBC_Personal_Accounts[[#This Row],[If Balance is]],FIND(" ",RBC_Personal_Accounts[[#This Row],[If Balance is]]))))</f>
        <v>1000</v>
      </c>
      <c r="H103">
        <v>56</v>
      </c>
    </row>
    <row r="104" spans="1:9" x14ac:dyDescent="0.25">
      <c r="B104" s="19" t="s">
        <v>78</v>
      </c>
      <c r="C104" s="19" t="s">
        <v>81</v>
      </c>
      <c r="E104">
        <f>IF(LEFT(RBC_Personal_Accounts[[#This Row],[If Balance is]],1)&lt;&gt;"$",0,VALUE(LEFT(RBC_Personal_Accounts[[#This Row],[If Balance is]],FIND(" ",RBC_Personal_Accounts[[#This Row],[If Balance is]]))))</f>
        <v>3000</v>
      </c>
      <c r="H104">
        <v>55</v>
      </c>
    </row>
    <row r="105" spans="1:9" x14ac:dyDescent="0.25">
      <c r="B105" s="19" t="s">
        <v>77</v>
      </c>
      <c r="C105" s="19" t="s">
        <v>81</v>
      </c>
      <c r="E105">
        <f>IF(LEFT(RBC_Personal_Accounts[[#This Row],[If Balance is]],1)&lt;&gt;"$",0,VALUE(LEFT(RBC_Personal_Accounts[[#This Row],[If Balance is]],FIND(" ",RBC_Personal_Accounts[[#This Row],[If Balance is]]))))</f>
        <v>5000</v>
      </c>
      <c r="H105">
        <v>54</v>
      </c>
      <c r="I105" t="s">
        <v>340</v>
      </c>
    </row>
    <row r="106" spans="1:9" x14ac:dyDescent="0.25">
      <c r="A106" t="s">
        <v>339</v>
      </c>
      <c r="B106" s="19" t="s">
        <v>320</v>
      </c>
      <c r="C106" s="19" t="s">
        <v>76</v>
      </c>
      <c r="E106">
        <f>IF(LEFT(RBC_Personal_Accounts[[#This Row],[If Balance is]],1)&lt;&gt;"$",0,VALUE(LEFT(RBC_Personal_Accounts[[#This Row],[If Balance is]],FIND(" ",RBC_Personal_Accounts[[#This Row],[If Balance is]]))))</f>
        <v>0</v>
      </c>
      <c r="H106">
        <v>53</v>
      </c>
    </row>
    <row r="107" spans="1:9" x14ac:dyDescent="0.25">
      <c r="B107" s="19" t="s">
        <v>319</v>
      </c>
      <c r="C107" s="19" t="s">
        <v>76</v>
      </c>
      <c r="E107">
        <f>IF(LEFT(RBC_Personal_Accounts[[#This Row],[If Balance is]],1)&lt;&gt;"$",0,VALUE(LEFT(RBC_Personal_Accounts[[#This Row],[If Balance is]],FIND(" ",RBC_Personal_Accounts[[#This Row],[If Balance is]]))))</f>
        <v>500</v>
      </c>
      <c r="H107">
        <v>52</v>
      </c>
    </row>
    <row r="108" spans="1:9" x14ac:dyDescent="0.25">
      <c r="B108" s="19" t="s">
        <v>79</v>
      </c>
      <c r="C108" s="19" t="s">
        <v>76</v>
      </c>
      <c r="E108">
        <f>IF(LEFT(RBC_Personal_Accounts[[#This Row],[If Balance is]],1)&lt;&gt;"$",0,VALUE(LEFT(RBC_Personal_Accounts[[#This Row],[If Balance is]],FIND(" ",RBC_Personal_Accounts[[#This Row],[If Balance is]]))))</f>
        <v>1000</v>
      </c>
      <c r="H108">
        <v>51</v>
      </c>
    </row>
    <row r="109" spans="1:9" x14ac:dyDescent="0.25">
      <c r="B109" s="19" t="s">
        <v>78</v>
      </c>
      <c r="C109" s="19" t="s">
        <v>74</v>
      </c>
      <c r="E109">
        <f>IF(LEFT(RBC_Personal_Accounts[[#This Row],[If Balance is]],1)&lt;&gt;"$",0,VALUE(LEFT(RBC_Personal_Accounts[[#This Row],[If Balance is]],FIND(" ",RBC_Personal_Accounts[[#This Row],[If Balance is]]))))</f>
        <v>3000</v>
      </c>
      <c r="H109">
        <v>50</v>
      </c>
    </row>
    <row r="110" spans="1:9" x14ac:dyDescent="0.25">
      <c r="B110" s="19" t="s">
        <v>77</v>
      </c>
      <c r="C110" s="19" t="s">
        <v>74</v>
      </c>
      <c r="E110">
        <f>IF(LEFT(RBC_Personal_Accounts[[#This Row],[If Balance is]],1)&lt;&gt;"$",0,VALUE(LEFT(RBC_Personal_Accounts[[#This Row],[If Balance is]],FIND(" ",RBC_Personal_Accounts[[#This Row],[If Balance is]]))))</f>
        <v>5000</v>
      </c>
      <c r="H110">
        <v>49</v>
      </c>
      <c r="I110" t="s">
        <v>339</v>
      </c>
    </row>
    <row r="111" spans="1:9" x14ac:dyDescent="0.25">
      <c r="A111" t="s">
        <v>338</v>
      </c>
      <c r="B111" s="19" t="s">
        <v>318</v>
      </c>
      <c r="C111" s="19" t="s">
        <v>76</v>
      </c>
      <c r="E111">
        <f>IF(LEFT(RBC_Personal_Accounts[[#This Row],[If Balance is]],1)&lt;&gt;"$",0,VALUE(LEFT(RBC_Personal_Accounts[[#This Row],[If Balance is]],FIND(" ",RBC_Personal_Accounts[[#This Row],[If Balance is]]))))</f>
        <v>0</v>
      </c>
      <c r="H111">
        <v>48</v>
      </c>
    </row>
    <row r="112" spans="1:9" x14ac:dyDescent="0.25">
      <c r="B112" s="19" t="s">
        <v>317</v>
      </c>
      <c r="C112" s="19" t="s">
        <v>76</v>
      </c>
      <c r="E112">
        <f>IF(LEFT(RBC_Personal_Accounts[[#This Row],[If Balance is]],1)&lt;&gt;"$",0,VALUE(LEFT(RBC_Personal_Accounts[[#This Row],[If Balance is]],FIND(" ",RBC_Personal_Accounts[[#This Row],[If Balance is]]))))</f>
        <v>1000</v>
      </c>
      <c r="H112">
        <v>47</v>
      </c>
    </row>
    <row r="113" spans="1:9" x14ac:dyDescent="0.25">
      <c r="B113" s="19" t="s">
        <v>316</v>
      </c>
      <c r="C113" s="19" t="s">
        <v>76</v>
      </c>
      <c r="E113">
        <f>IF(LEFT(RBC_Personal_Accounts[[#This Row],[If Balance is]],1)&lt;&gt;"$",0,VALUE(LEFT(RBC_Personal_Accounts[[#This Row],[If Balance is]],FIND(" ",RBC_Personal_Accounts[[#This Row],[If Balance is]]))))</f>
        <v>3000</v>
      </c>
      <c r="H113">
        <v>46</v>
      </c>
    </row>
    <row r="114" spans="1:9" x14ac:dyDescent="0.25">
      <c r="B114" s="19" t="s">
        <v>315</v>
      </c>
      <c r="C114" s="19" t="s">
        <v>74</v>
      </c>
      <c r="E114">
        <f>IF(LEFT(RBC_Personal_Accounts[[#This Row],[If Balance is]],1)&lt;&gt;"$",0,VALUE(LEFT(RBC_Personal_Accounts[[#This Row],[If Balance is]],FIND(" ",RBC_Personal_Accounts[[#This Row],[If Balance is]]))))</f>
        <v>5000</v>
      </c>
      <c r="H114">
        <v>45</v>
      </c>
    </row>
    <row r="115" spans="1:9" x14ac:dyDescent="0.25">
      <c r="B115" s="19" t="s">
        <v>314</v>
      </c>
      <c r="C115" s="19" t="s">
        <v>72</v>
      </c>
      <c r="E115">
        <f>IF(LEFT(RBC_Personal_Accounts[[#This Row],[If Balance is]],1)&lt;&gt;"$",0,VALUE(LEFT(RBC_Personal_Accounts[[#This Row],[If Balance is]],FIND(" ",RBC_Personal_Accounts[[#This Row],[If Balance is]]))))</f>
        <v>10000</v>
      </c>
      <c r="H115">
        <v>44</v>
      </c>
    </row>
    <row r="116" spans="1:9" x14ac:dyDescent="0.25">
      <c r="B116" s="19" t="s">
        <v>313</v>
      </c>
      <c r="C116" s="19" t="s">
        <v>70</v>
      </c>
      <c r="E116">
        <f>IF(LEFT(RBC_Personal_Accounts[[#This Row],[If Balance is]],1)&lt;&gt;"$",0,VALUE(LEFT(RBC_Personal_Accounts[[#This Row],[If Balance is]],FIND(" ",RBC_Personal_Accounts[[#This Row],[If Balance is]]))))</f>
        <v>25000</v>
      </c>
      <c r="H116">
        <v>43</v>
      </c>
    </row>
    <row r="117" spans="1:9" x14ac:dyDescent="0.25">
      <c r="B117" s="19" t="s">
        <v>312</v>
      </c>
      <c r="C117" s="19" t="s">
        <v>307</v>
      </c>
      <c r="E117">
        <f>IF(LEFT(RBC_Personal_Accounts[[#This Row],[If Balance is]],1)&lt;&gt;"$",0,VALUE(LEFT(RBC_Personal_Accounts[[#This Row],[If Balance is]],FIND(" ",RBC_Personal_Accounts[[#This Row],[If Balance is]]))))</f>
        <v>60000</v>
      </c>
      <c r="H117">
        <v>42</v>
      </c>
    </row>
    <row r="118" spans="1:9" x14ac:dyDescent="0.25">
      <c r="B118" s="19" t="s">
        <v>311</v>
      </c>
      <c r="C118" s="19" t="s">
        <v>307</v>
      </c>
      <c r="E118">
        <f>IF(LEFT(RBC_Personal_Accounts[[#This Row],[If Balance is]],1)&lt;&gt;"$",0,VALUE(LEFT(RBC_Personal_Accounts[[#This Row],[If Balance is]],FIND(" ",RBC_Personal_Accounts[[#This Row],[If Balance is]]))))</f>
        <v>100000</v>
      </c>
      <c r="H118">
        <v>41</v>
      </c>
    </row>
    <row r="119" spans="1:9" x14ac:dyDescent="0.25">
      <c r="B119" s="19" t="s">
        <v>310</v>
      </c>
      <c r="C119" s="19" t="s">
        <v>307</v>
      </c>
      <c r="E119">
        <f>IF(LEFT(RBC_Personal_Accounts[[#This Row],[If Balance is]],1)&lt;&gt;"$",0,VALUE(LEFT(RBC_Personal_Accounts[[#This Row],[If Balance is]],FIND(" ",RBC_Personal_Accounts[[#This Row],[If Balance is]]))))</f>
        <v>150000</v>
      </c>
      <c r="H119">
        <v>40</v>
      </c>
    </row>
    <row r="120" spans="1:9" x14ac:dyDescent="0.25">
      <c r="B120" s="19" t="s">
        <v>309</v>
      </c>
      <c r="C120" s="19" t="s">
        <v>307</v>
      </c>
      <c r="E120">
        <f>IF(LEFT(RBC_Personal_Accounts[[#This Row],[If Balance is]],1)&lt;&gt;"$",0,VALUE(LEFT(RBC_Personal_Accounts[[#This Row],[If Balance is]],FIND(" ",RBC_Personal_Accounts[[#This Row],[If Balance is]]))))</f>
        <v>250000</v>
      </c>
      <c r="H120">
        <v>39</v>
      </c>
    </row>
    <row r="121" spans="1:9" x14ac:dyDescent="0.25">
      <c r="B121" s="19" t="s">
        <v>308</v>
      </c>
      <c r="C121" s="19" t="s">
        <v>307</v>
      </c>
      <c r="E121">
        <f>IF(LEFT(RBC_Personal_Accounts[[#This Row],[If Balance is]],1)&lt;&gt;"$",0,VALUE(LEFT(RBC_Personal_Accounts[[#This Row],[If Balance is]],FIND(" ",RBC_Personal_Accounts[[#This Row],[If Balance is]]))))</f>
        <v>500000</v>
      </c>
      <c r="H121">
        <v>38</v>
      </c>
    </row>
    <row r="122" spans="1:9" x14ac:dyDescent="0.25">
      <c r="B122" s="19" t="s">
        <v>306</v>
      </c>
      <c r="C122" s="19" t="s">
        <v>307</v>
      </c>
      <c r="E122">
        <f>IF(LEFT(RBC_Personal_Accounts[[#This Row],[If Balance is]],1)&lt;&gt;"$",0,VALUE(LEFT(RBC_Personal_Accounts[[#This Row],[If Balance is]],FIND(" ",RBC_Personal_Accounts[[#This Row],[If Balance is]]))))</f>
        <v>1000000</v>
      </c>
      <c r="H122">
        <v>37</v>
      </c>
      <c r="I122" t="s">
        <v>338</v>
      </c>
    </row>
    <row r="123" spans="1:9" x14ac:dyDescent="0.25">
      <c r="A123" t="s">
        <v>337</v>
      </c>
      <c r="B123" s="19" t="s">
        <v>60</v>
      </c>
      <c r="C123" s="19" t="s">
        <v>76</v>
      </c>
      <c r="E123">
        <f>IF(LEFT(RBC_Personal_Accounts[[#This Row],[If Balance is]],1)&lt;&gt;"$",0,VALUE(LEFT(RBC_Personal_Accounts[[#This Row],[If Balance is]],FIND(" ",RBC_Personal_Accounts[[#This Row],[If Balance is]]))))</f>
        <v>0</v>
      </c>
      <c r="H123">
        <v>36</v>
      </c>
      <c r="I123" t="s">
        <v>337</v>
      </c>
    </row>
    <row r="124" spans="1:9" x14ac:dyDescent="0.25">
      <c r="A124" t="s">
        <v>336</v>
      </c>
      <c r="B124" s="19" t="s">
        <v>60</v>
      </c>
      <c r="C124" s="19" t="s">
        <v>132</v>
      </c>
      <c r="E124">
        <f>IF(LEFT(RBC_Personal_Accounts[[#This Row],[If Balance is]],1)&lt;&gt;"$",0,VALUE(LEFT(RBC_Personal_Accounts[[#This Row],[If Balance is]],FIND(" ",RBC_Personal_Accounts[[#This Row],[If Balance is]]))))</f>
        <v>0</v>
      </c>
      <c r="H124">
        <v>35</v>
      </c>
      <c r="I124" t="s">
        <v>336</v>
      </c>
    </row>
    <row r="125" spans="1:9" x14ac:dyDescent="0.25">
      <c r="A125" t="s">
        <v>335</v>
      </c>
      <c r="B125" s="19" t="s">
        <v>60</v>
      </c>
      <c r="C125" s="19" t="s">
        <v>76</v>
      </c>
      <c r="E125">
        <f>IF(LEFT(RBC_Personal_Accounts[[#This Row],[If Balance is]],1)&lt;&gt;"$",0,VALUE(LEFT(RBC_Personal_Accounts[[#This Row],[If Balance is]],FIND(" ",RBC_Personal_Accounts[[#This Row],[If Balance is]]))))</f>
        <v>0</v>
      </c>
      <c r="H125">
        <v>34</v>
      </c>
      <c r="I125" t="s">
        <v>335</v>
      </c>
    </row>
    <row r="126" spans="1:9" x14ac:dyDescent="0.25">
      <c r="A126" t="s">
        <v>334</v>
      </c>
      <c r="B126" s="19" t="s">
        <v>75</v>
      </c>
      <c r="C126" s="19" t="s">
        <v>76</v>
      </c>
      <c r="E126">
        <f>IF(LEFT(RBC_Personal_Accounts[[#This Row],[If Balance is]],1)&lt;&gt;"$",0,VALUE(LEFT(RBC_Personal_Accounts[[#This Row],[If Balance is]],FIND(" ",RBC_Personal_Accounts[[#This Row],[If Balance is]]))))</f>
        <v>0</v>
      </c>
      <c r="H126">
        <v>33</v>
      </c>
    </row>
    <row r="127" spans="1:9" x14ac:dyDescent="0.25">
      <c r="B127" s="19" t="s">
        <v>73</v>
      </c>
      <c r="C127" s="19" t="s">
        <v>74</v>
      </c>
      <c r="E127">
        <f>IF(LEFT(RBC_Personal_Accounts[[#This Row],[If Balance is]],1)&lt;&gt;"$",0,VALUE(LEFT(RBC_Personal_Accounts[[#This Row],[If Balance is]],FIND(" ",RBC_Personal_Accounts[[#This Row],[If Balance is]]))))</f>
        <v>5000</v>
      </c>
      <c r="H127">
        <v>32</v>
      </c>
    </row>
    <row r="128" spans="1:9" x14ac:dyDescent="0.25">
      <c r="B128" s="19" t="s">
        <v>71</v>
      </c>
      <c r="C128" s="19" t="s">
        <v>72</v>
      </c>
      <c r="E128">
        <f>IF(LEFT(RBC_Personal_Accounts[[#This Row],[If Balance is]],1)&lt;&gt;"$",0,VALUE(LEFT(RBC_Personal_Accounts[[#This Row],[If Balance is]],FIND(" ",RBC_Personal_Accounts[[#This Row],[If Balance is]]))))</f>
        <v>10000</v>
      </c>
      <c r="H128">
        <v>31</v>
      </c>
    </row>
    <row r="129" spans="1:9" x14ac:dyDescent="0.25">
      <c r="B129" s="19" t="s">
        <v>69</v>
      </c>
      <c r="C129" s="19" t="s">
        <v>70</v>
      </c>
      <c r="E129">
        <f>IF(LEFT(RBC_Personal_Accounts[[#This Row],[If Balance is]],1)&lt;&gt;"$",0,VALUE(LEFT(RBC_Personal_Accounts[[#This Row],[If Balance is]],FIND(" ",RBC_Personal_Accounts[[#This Row],[If Balance is]]))))</f>
        <v>25000</v>
      </c>
      <c r="H129">
        <v>30</v>
      </c>
    </row>
    <row r="130" spans="1:9" x14ac:dyDescent="0.25">
      <c r="B130" s="19" t="s">
        <v>67</v>
      </c>
      <c r="C130" s="19" t="s">
        <v>68</v>
      </c>
      <c r="E130">
        <f>IF(LEFT(RBC_Personal_Accounts[[#This Row],[If Balance is]],1)&lt;&gt;"$",0,VALUE(LEFT(RBC_Personal_Accounts[[#This Row],[If Balance is]],FIND(" ",RBC_Personal_Accounts[[#This Row],[If Balance is]]))))</f>
        <v>60000</v>
      </c>
      <c r="H130">
        <v>29</v>
      </c>
    </row>
    <row r="131" spans="1:9" x14ac:dyDescent="0.25">
      <c r="B131" s="19" t="s">
        <v>65</v>
      </c>
      <c r="C131" s="19" t="s">
        <v>66</v>
      </c>
      <c r="E131">
        <f>IF(LEFT(RBC_Personal_Accounts[[#This Row],[If Balance is]],1)&lt;&gt;"$",0,VALUE(LEFT(RBC_Personal_Accounts[[#This Row],[If Balance is]],FIND(" ",RBC_Personal_Accounts[[#This Row],[If Balance is]]))))</f>
        <v>100000</v>
      </c>
      <c r="H131">
        <v>28</v>
      </c>
    </row>
    <row r="132" spans="1:9" x14ac:dyDescent="0.25">
      <c r="B132" s="19" t="s">
        <v>64</v>
      </c>
      <c r="C132" s="19" t="s">
        <v>63</v>
      </c>
      <c r="E132">
        <f>IF(LEFT(RBC_Personal_Accounts[[#This Row],[If Balance is]],1)&lt;&gt;"$",0,VALUE(LEFT(RBC_Personal_Accounts[[#This Row],[If Balance is]],FIND(" ",RBC_Personal_Accounts[[#This Row],[If Balance is]]))))</f>
        <v>150000</v>
      </c>
      <c r="H132">
        <v>27</v>
      </c>
    </row>
    <row r="133" spans="1:9" x14ac:dyDescent="0.25">
      <c r="B133" s="19" t="s">
        <v>62</v>
      </c>
      <c r="C133" s="19" t="s">
        <v>63</v>
      </c>
      <c r="E133">
        <f>IF(LEFT(RBC_Personal_Accounts[[#This Row],[If Balance is]],1)&lt;&gt;"$",0,VALUE(LEFT(RBC_Personal_Accounts[[#This Row],[If Balance is]],FIND(" ",RBC_Personal_Accounts[[#This Row],[If Balance is]]))))</f>
        <v>250000</v>
      </c>
      <c r="H133">
        <v>26</v>
      </c>
      <c r="I133" t="s">
        <v>334</v>
      </c>
    </row>
    <row r="134" spans="1:9" x14ac:dyDescent="0.25">
      <c r="A134" t="s">
        <v>333</v>
      </c>
      <c r="B134" s="19" t="s">
        <v>80</v>
      </c>
      <c r="C134" s="19" t="s">
        <v>72</v>
      </c>
      <c r="E134">
        <f>IF(LEFT(RBC_Personal_Accounts[[#This Row],[If Balance is]],1)&lt;&gt;"$",0,VALUE(LEFT(RBC_Personal_Accounts[[#This Row],[If Balance is]],FIND(" ",RBC_Personal_Accounts[[#This Row],[If Balance is]]))))</f>
        <v>0</v>
      </c>
      <c r="H134">
        <v>25</v>
      </c>
    </row>
    <row r="135" spans="1:9" x14ac:dyDescent="0.25">
      <c r="B135" s="19" t="s">
        <v>79</v>
      </c>
      <c r="C135" s="19" t="s">
        <v>70</v>
      </c>
      <c r="E135">
        <f>IF(LEFT(RBC_Personal_Accounts[[#This Row],[If Balance is]],1)&lt;&gt;"$",0,VALUE(LEFT(RBC_Personal_Accounts[[#This Row],[If Balance is]],FIND(" ",RBC_Personal_Accounts[[#This Row],[If Balance is]]))))</f>
        <v>1000</v>
      </c>
      <c r="H135">
        <v>24</v>
      </c>
    </row>
    <row r="136" spans="1:9" x14ac:dyDescent="0.25">
      <c r="B136" s="19" t="s">
        <v>78</v>
      </c>
      <c r="C136" s="19" t="s">
        <v>81</v>
      </c>
      <c r="E136">
        <f>IF(LEFT(RBC_Personal_Accounts[[#This Row],[If Balance is]],1)&lt;&gt;"$",0,VALUE(LEFT(RBC_Personal_Accounts[[#This Row],[If Balance is]],FIND(" ",RBC_Personal_Accounts[[#This Row],[If Balance is]]))))</f>
        <v>3000</v>
      </c>
      <c r="H136">
        <v>23</v>
      </c>
    </row>
    <row r="137" spans="1:9" x14ac:dyDescent="0.25">
      <c r="B137" s="19" t="s">
        <v>77</v>
      </c>
      <c r="C137" s="19" t="s">
        <v>81</v>
      </c>
      <c r="E137">
        <f>IF(LEFT(RBC_Personal_Accounts[[#This Row],[If Balance is]],1)&lt;&gt;"$",0,VALUE(LEFT(RBC_Personal_Accounts[[#This Row],[If Balance is]],FIND(" ",RBC_Personal_Accounts[[#This Row],[If Balance is]]))))</f>
        <v>5000</v>
      </c>
      <c r="H137">
        <v>22</v>
      </c>
      <c r="I137" t="s">
        <v>333</v>
      </c>
    </row>
    <row r="138" spans="1:9" x14ac:dyDescent="0.25">
      <c r="A138" t="s">
        <v>332</v>
      </c>
      <c r="B138" s="19" t="s">
        <v>60</v>
      </c>
      <c r="C138" s="19" t="s">
        <v>76</v>
      </c>
      <c r="E138">
        <f>IF(LEFT(RBC_Personal_Accounts[[#This Row],[If Balance is]],1)&lt;&gt;"$",0,VALUE(LEFT(RBC_Personal_Accounts[[#This Row],[If Balance is]],FIND(" ",RBC_Personal_Accounts[[#This Row],[If Balance is]]))))</f>
        <v>0</v>
      </c>
      <c r="H138">
        <v>21</v>
      </c>
      <c r="I138" t="s">
        <v>332</v>
      </c>
    </row>
    <row r="139" spans="1:9" x14ac:dyDescent="0.25">
      <c r="A139" t="s">
        <v>331</v>
      </c>
      <c r="B139" s="19" t="s">
        <v>60</v>
      </c>
      <c r="C139" s="19" t="s">
        <v>76</v>
      </c>
      <c r="E139">
        <f>IF(LEFT(RBC_Personal_Accounts[[#This Row],[If Balance is]],1)&lt;&gt;"$",0,VALUE(LEFT(RBC_Personal_Accounts[[#This Row],[If Balance is]],FIND(" ",RBC_Personal_Accounts[[#This Row],[If Balance is]]))))</f>
        <v>0</v>
      </c>
      <c r="H139">
        <v>20</v>
      </c>
      <c r="I139" t="s">
        <v>331</v>
      </c>
    </row>
    <row r="140" spans="1:9" x14ac:dyDescent="0.25">
      <c r="A140" t="s">
        <v>330</v>
      </c>
      <c r="B140" s="19" t="s">
        <v>60</v>
      </c>
      <c r="C140" s="19" t="s">
        <v>76</v>
      </c>
      <c r="E140">
        <f>IF(LEFT(RBC_Personal_Accounts[[#This Row],[If Balance is]],1)&lt;&gt;"$",0,VALUE(LEFT(RBC_Personal_Accounts[[#This Row],[If Balance is]],FIND(" ",RBC_Personal_Accounts[[#This Row],[If Balance is]]))))</f>
        <v>0</v>
      </c>
      <c r="H140">
        <v>19</v>
      </c>
      <c r="I140" t="s">
        <v>330</v>
      </c>
    </row>
    <row r="141" spans="1:9" x14ac:dyDescent="0.25">
      <c r="A141" t="s">
        <v>329</v>
      </c>
      <c r="B141" s="19" t="s">
        <v>80</v>
      </c>
      <c r="C141" s="19" t="s">
        <v>70</v>
      </c>
      <c r="E141">
        <f>IF(LEFT(RBC_Personal_Accounts[[#This Row],[If Balance is]],1)&lt;&gt;"$",0,VALUE(LEFT(RBC_Personal_Accounts[[#This Row],[If Balance is]],FIND(" ",RBC_Personal_Accounts[[#This Row],[If Balance is]]))))</f>
        <v>0</v>
      </c>
      <c r="H141">
        <v>18</v>
      </c>
    </row>
    <row r="142" spans="1:9" x14ac:dyDescent="0.25">
      <c r="B142" s="19" t="s">
        <v>79</v>
      </c>
      <c r="C142" s="19" t="s">
        <v>70</v>
      </c>
      <c r="E142">
        <f>IF(LEFT(RBC_Personal_Accounts[[#This Row],[If Balance is]],1)&lt;&gt;"$",0,VALUE(LEFT(RBC_Personal_Accounts[[#This Row],[If Balance is]],FIND(" ",RBC_Personal_Accounts[[#This Row],[If Balance is]]))))</f>
        <v>1000</v>
      </c>
      <c r="H142">
        <v>17</v>
      </c>
    </row>
    <row r="143" spans="1:9" x14ac:dyDescent="0.25">
      <c r="B143" s="19" t="s">
        <v>78</v>
      </c>
      <c r="C143" s="19" t="s">
        <v>81</v>
      </c>
      <c r="E143">
        <f>IF(LEFT(RBC_Personal_Accounts[[#This Row],[If Balance is]],1)&lt;&gt;"$",0,VALUE(LEFT(RBC_Personal_Accounts[[#This Row],[If Balance is]],FIND(" ",RBC_Personal_Accounts[[#This Row],[If Balance is]]))))</f>
        <v>3000</v>
      </c>
      <c r="H143">
        <v>16</v>
      </c>
    </row>
    <row r="144" spans="1:9" x14ac:dyDescent="0.25">
      <c r="B144" s="19" t="s">
        <v>77</v>
      </c>
      <c r="C144" s="19" t="s">
        <v>81</v>
      </c>
      <c r="E144">
        <f>IF(LEFT(RBC_Personal_Accounts[[#This Row],[If Balance is]],1)&lt;&gt;"$",0,VALUE(LEFT(RBC_Personal_Accounts[[#This Row],[If Balance is]],FIND(" ",RBC_Personal_Accounts[[#This Row],[If Balance is]]))))</f>
        <v>5000</v>
      </c>
      <c r="H144">
        <v>15</v>
      </c>
      <c r="I144" t="s">
        <v>329</v>
      </c>
    </row>
    <row r="145" spans="1:9" x14ac:dyDescent="0.25">
      <c r="A145" t="s">
        <v>328</v>
      </c>
      <c r="B145" s="19" t="s">
        <v>60</v>
      </c>
      <c r="C145" s="19" t="s">
        <v>305</v>
      </c>
      <c r="E145">
        <f>IF(LEFT(RBC_Personal_Accounts[[#This Row],[If Balance is]],1)&lt;&gt;"$",0,VALUE(LEFT(RBC_Personal_Accounts[[#This Row],[If Balance is]],FIND(" ",RBC_Personal_Accounts[[#This Row],[If Balance is]]))))</f>
        <v>0</v>
      </c>
      <c r="H145">
        <v>14</v>
      </c>
      <c r="I145" t="s">
        <v>328</v>
      </c>
    </row>
    <row r="146" spans="1:9" x14ac:dyDescent="0.25">
      <c r="A146" t="s">
        <v>327</v>
      </c>
      <c r="B146" s="19" t="s">
        <v>80</v>
      </c>
      <c r="C146" s="19" t="s">
        <v>72</v>
      </c>
      <c r="E146">
        <f>IF(LEFT(RBC_Personal_Accounts[[#This Row],[If Balance is]],1)&lt;&gt;"$",0,VALUE(LEFT(RBC_Personal_Accounts[[#This Row],[If Balance is]],FIND(" ",RBC_Personal_Accounts[[#This Row],[If Balance is]]))))</f>
        <v>0</v>
      </c>
      <c r="H146">
        <v>13</v>
      </c>
    </row>
    <row r="147" spans="1:9" x14ac:dyDescent="0.25">
      <c r="B147" s="19" t="s">
        <v>79</v>
      </c>
      <c r="C147" s="19" t="s">
        <v>70</v>
      </c>
      <c r="E147">
        <f>IF(LEFT(RBC_Personal_Accounts[[#This Row],[If Balance is]],1)&lt;&gt;"$",0,VALUE(LEFT(RBC_Personal_Accounts[[#This Row],[If Balance is]],FIND(" ",RBC_Personal_Accounts[[#This Row],[If Balance is]]))))</f>
        <v>1000</v>
      </c>
      <c r="H147">
        <v>12</v>
      </c>
    </row>
    <row r="148" spans="1:9" x14ac:dyDescent="0.25">
      <c r="B148" s="19" t="s">
        <v>78</v>
      </c>
      <c r="C148" s="19" t="s">
        <v>81</v>
      </c>
      <c r="E148">
        <f>IF(LEFT(RBC_Personal_Accounts[[#This Row],[If Balance is]],1)&lt;&gt;"$",0,VALUE(LEFT(RBC_Personal_Accounts[[#This Row],[If Balance is]],FIND(" ",RBC_Personal_Accounts[[#This Row],[If Balance is]]))))</f>
        <v>3000</v>
      </c>
      <c r="H148">
        <v>11</v>
      </c>
    </row>
    <row r="149" spans="1:9" x14ac:dyDescent="0.25">
      <c r="B149" s="19" t="s">
        <v>77</v>
      </c>
      <c r="C149" s="19" t="s">
        <v>81</v>
      </c>
      <c r="E149">
        <f>IF(LEFT(RBC_Personal_Accounts[[#This Row],[If Balance is]],1)&lt;&gt;"$",0,VALUE(LEFT(RBC_Personal_Accounts[[#This Row],[If Balance is]],FIND(" ",RBC_Personal_Accounts[[#This Row],[If Balance is]]))))</f>
        <v>5000</v>
      </c>
      <c r="H149">
        <v>10</v>
      </c>
      <c r="I149" t="s">
        <v>327</v>
      </c>
    </row>
    <row r="150" spans="1:9" x14ac:dyDescent="0.25">
      <c r="A150" t="s">
        <v>326</v>
      </c>
      <c r="B150" s="19" t="s">
        <v>75</v>
      </c>
      <c r="C150" s="19" t="s">
        <v>76</v>
      </c>
      <c r="E150">
        <f>IF(LEFT(RBC_Personal_Accounts[[#This Row],[If Balance is]],1)&lt;&gt;"$",0,VALUE(LEFT(RBC_Personal_Accounts[[#This Row],[If Balance is]],FIND(" ",RBC_Personal_Accounts[[#This Row],[If Balance is]]))))</f>
        <v>0</v>
      </c>
      <c r="H150">
        <v>9</v>
      </c>
    </row>
    <row r="151" spans="1:9" x14ac:dyDescent="0.25">
      <c r="B151" s="19" t="s">
        <v>73</v>
      </c>
      <c r="C151" s="19" t="s">
        <v>74</v>
      </c>
      <c r="E151">
        <f>IF(LEFT(RBC_Personal_Accounts[[#This Row],[If Balance is]],1)&lt;&gt;"$",0,VALUE(LEFT(RBC_Personal_Accounts[[#This Row],[If Balance is]],FIND(" ",RBC_Personal_Accounts[[#This Row],[If Balance is]]))))</f>
        <v>5000</v>
      </c>
      <c r="H151">
        <v>8</v>
      </c>
    </row>
    <row r="152" spans="1:9" x14ac:dyDescent="0.25">
      <c r="B152" s="19" t="s">
        <v>71</v>
      </c>
      <c r="C152" s="19" t="s">
        <v>72</v>
      </c>
      <c r="E152">
        <f>IF(LEFT(RBC_Personal_Accounts[[#This Row],[If Balance is]],1)&lt;&gt;"$",0,VALUE(LEFT(RBC_Personal_Accounts[[#This Row],[If Balance is]],FIND(" ",RBC_Personal_Accounts[[#This Row],[If Balance is]]))))</f>
        <v>10000</v>
      </c>
      <c r="H152">
        <v>7</v>
      </c>
    </row>
    <row r="153" spans="1:9" x14ac:dyDescent="0.25">
      <c r="B153" s="19" t="s">
        <v>69</v>
      </c>
      <c r="C153" s="19" t="s">
        <v>70</v>
      </c>
      <c r="E153">
        <f>IF(LEFT(RBC_Personal_Accounts[[#This Row],[If Balance is]],1)&lt;&gt;"$",0,VALUE(LEFT(RBC_Personal_Accounts[[#This Row],[If Balance is]],FIND(" ",RBC_Personal_Accounts[[#This Row],[If Balance is]]))))</f>
        <v>25000</v>
      </c>
      <c r="H153">
        <v>6</v>
      </c>
    </row>
    <row r="154" spans="1:9" x14ac:dyDescent="0.25">
      <c r="B154" s="19" t="s">
        <v>67</v>
      </c>
      <c r="C154" s="19" t="s">
        <v>68</v>
      </c>
      <c r="E154">
        <f>IF(LEFT(RBC_Personal_Accounts[[#This Row],[If Balance is]],1)&lt;&gt;"$",0,VALUE(LEFT(RBC_Personal_Accounts[[#This Row],[If Balance is]],FIND(" ",RBC_Personal_Accounts[[#This Row],[If Balance is]]))))</f>
        <v>60000</v>
      </c>
      <c r="H154">
        <v>5</v>
      </c>
    </row>
    <row r="155" spans="1:9" x14ac:dyDescent="0.25">
      <c r="B155" s="19" t="s">
        <v>65</v>
      </c>
      <c r="C155" s="19" t="s">
        <v>66</v>
      </c>
      <c r="E155">
        <f>IF(LEFT(RBC_Personal_Accounts[[#This Row],[If Balance is]],1)&lt;&gt;"$",0,VALUE(LEFT(RBC_Personal_Accounts[[#This Row],[If Balance is]],FIND(" ",RBC_Personal_Accounts[[#This Row],[If Balance is]]))))</f>
        <v>100000</v>
      </c>
      <c r="H155">
        <v>4</v>
      </c>
    </row>
    <row r="156" spans="1:9" x14ac:dyDescent="0.25">
      <c r="B156" s="19" t="s">
        <v>64</v>
      </c>
      <c r="C156" s="19" t="s">
        <v>63</v>
      </c>
      <c r="E156">
        <f>IF(LEFT(RBC_Personal_Accounts[[#This Row],[If Balance is]],1)&lt;&gt;"$",0,VALUE(LEFT(RBC_Personal_Accounts[[#This Row],[If Balance is]],FIND(" ",RBC_Personal_Accounts[[#This Row],[If Balance is]]))))</f>
        <v>150000</v>
      </c>
      <c r="H156">
        <v>3</v>
      </c>
    </row>
    <row r="157" spans="1:9" x14ac:dyDescent="0.25">
      <c r="B157" s="19" t="s">
        <v>62</v>
      </c>
      <c r="C157" s="19" t="s">
        <v>63</v>
      </c>
      <c r="E157">
        <f>IF(LEFT(RBC_Personal_Accounts[[#This Row],[If Balance is]],1)&lt;&gt;"$",0,VALUE(LEFT(RBC_Personal_Accounts[[#This Row],[If Balance is]],FIND(" ",RBC_Personal_Accounts[[#This Row],[If Balance is]]))))</f>
        <v>250000</v>
      </c>
      <c r="H157">
        <v>2</v>
      </c>
      <c r="I157" t="s">
        <v>326</v>
      </c>
    </row>
    <row r="158" spans="1:9" x14ac:dyDescent="0.25">
      <c r="A158" t="s">
        <v>54</v>
      </c>
      <c r="B158" s="19" t="s">
        <v>60</v>
      </c>
      <c r="C158" s="19" t="s">
        <v>443</v>
      </c>
      <c r="E158">
        <f>IF(LEFT(RBC_Personal_Accounts[[#This Row],[If Balance is]],1)&lt;&gt;"$",0,VALUE(LEFT(RBC_Personal_Accounts[[#This Row],[If Balance is]],FIND(" ",RBC_Personal_Accounts[[#This Row],[If Balance is]]))))</f>
        <v>0</v>
      </c>
      <c r="H158">
        <v>1</v>
      </c>
      <c r="I158" t="s">
        <v>54</v>
      </c>
    </row>
    <row r="161" spans="1:5" x14ac:dyDescent="0.25">
      <c r="A161" t="s">
        <v>378</v>
      </c>
      <c r="B161" t="s">
        <v>202</v>
      </c>
      <c r="C161" t="s">
        <v>203</v>
      </c>
      <c r="D161" t="s">
        <v>204</v>
      </c>
      <c r="E161" t="s">
        <v>290</v>
      </c>
    </row>
    <row r="162" spans="1:5" x14ac:dyDescent="0.25">
      <c r="B162" s="19" t="s">
        <v>205</v>
      </c>
      <c r="C162">
        <v>1.6E-2</v>
      </c>
      <c r="D162">
        <v>1.7000000000000001E-2</v>
      </c>
      <c r="E162">
        <v>500</v>
      </c>
    </row>
    <row r="163" spans="1:5" x14ac:dyDescent="0.25">
      <c r="B163" s="19" t="s">
        <v>206</v>
      </c>
      <c r="C163">
        <v>1.8499999999999999E-2</v>
      </c>
      <c r="D163">
        <v>1.95E-2</v>
      </c>
    </row>
    <row r="164" spans="1:5" x14ac:dyDescent="0.25">
      <c r="B164" s="19" t="s">
        <v>207</v>
      </c>
      <c r="C164">
        <v>1.4500000000000001E-2</v>
      </c>
      <c r="D164">
        <v>1.7000000000000001E-2</v>
      </c>
    </row>
    <row r="165" spans="1:5" x14ac:dyDescent="0.25">
      <c r="B165" s="19" t="s">
        <v>208</v>
      </c>
      <c r="C165">
        <v>1.55E-2</v>
      </c>
      <c r="D165">
        <v>1.7999999999999999E-2</v>
      </c>
    </row>
    <row r="166" spans="1:5" x14ac:dyDescent="0.25">
      <c r="B166" s="19" t="s">
        <v>209</v>
      </c>
      <c r="C166">
        <v>1.6E-2</v>
      </c>
      <c r="D166">
        <v>1.7000000000000001E-2</v>
      </c>
    </row>
    <row r="167" spans="1:5" x14ac:dyDescent="0.25">
      <c r="B167" s="19" t="s">
        <v>210</v>
      </c>
      <c r="C167">
        <v>1.7000000000000001E-2</v>
      </c>
      <c r="D167">
        <v>1.7999999999999999E-2</v>
      </c>
    </row>
  </sheetData>
  <sortState xmlns:xlrd2="http://schemas.microsoft.com/office/spreadsheetml/2017/richdata2" ref="H2:I158">
    <sortCondition descending="1" ref="H2"/>
  </sortState>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C2" sqref="C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268</v>
      </c>
      <c r="C1" t="s">
        <v>59</v>
      </c>
      <c r="E1" s="40" t="s">
        <v>290</v>
      </c>
    </row>
    <row r="2" spans="1:5" x14ac:dyDescent="0.25">
      <c r="A2" t="s">
        <v>299</v>
      </c>
      <c r="B2" s="19" t="s">
        <v>271</v>
      </c>
      <c r="C2">
        <v>2E-3</v>
      </c>
      <c r="E2">
        <f>IF(OR(BMO_Savings_Accounts[[#This Row],[Balance]]="All Balances",MID(BMO_Savings_Accounts[[#This Row],[Balance]],1,5)="up to"),0,VALUE(TRIM(MID(BMO_Savings_Accounts[[#This Row],[Balance]],2,FIND(" ",BMO_Savings_Accounts[[#This Row],[Balance]],2)-2))))</f>
        <v>0</v>
      </c>
    </row>
    <row r="3" spans="1:5" x14ac:dyDescent="0.25">
      <c r="B3" s="19" t="s">
        <v>272</v>
      </c>
      <c r="C3">
        <v>1.6E-2</v>
      </c>
      <c r="E3">
        <f>IF(OR(BMO_Savings_Accounts[[#This Row],[Balance]]="All Balances",MID(BMO_Savings_Accounts[[#This Row],[Balance]],1,5)="up to"),0,VALUE(TRIM(MID(BMO_Savings_Accounts[[#This Row],[Balance]],2,FIND(" ",BMO_Savings_Accounts[[#This Row],[Balance]],2)-2))))</f>
        <v>0</v>
      </c>
    </row>
    <row r="4" spans="1:5" x14ac:dyDescent="0.25">
      <c r="B4" s="19" t="s">
        <v>273</v>
      </c>
      <c r="C4">
        <v>2E-3</v>
      </c>
      <c r="E4">
        <f>IF(OR(BMO_Savings_Accounts[[#This Row],[Balance]]="All Balances",MID(BMO_Savings_Accounts[[#This Row],[Balance]],1,5)="up to"),0,VALUE(TRIM(MID(BMO_Savings_Accounts[[#This Row],[Balance]],2,FIND(" ",BMO_Savings_Accounts[[#This Row],[Balance]],2)-2))))</f>
        <v>250000.01</v>
      </c>
    </row>
    <row r="5" spans="1:5" x14ac:dyDescent="0.25">
      <c r="A5" s="41" t="s">
        <v>296</v>
      </c>
      <c r="B5" s="19" t="s">
        <v>274</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9" t="s">
        <v>77</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1" t="s">
        <v>297</v>
      </c>
      <c r="B7" s="19" t="s">
        <v>269</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9" t="s">
        <v>270</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1" t="s">
        <v>300</v>
      </c>
      <c r="B9" s="19" t="s">
        <v>269</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9" t="s">
        <v>270</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1" t="s">
        <v>298</v>
      </c>
      <c r="B11" s="19" t="s">
        <v>292</v>
      </c>
      <c r="C11">
        <v>1E-4</v>
      </c>
      <c r="E11">
        <f>IF(OR(BMO_Savings_Accounts[[#This Row],[Balance]]="All Balances",MID(BMO_Savings_Accounts[[#This Row],[Balance]],1,5)="up to"),0,VALUE(TRIM(MID(BMO_Savings_Accounts[[#This Row],[Balance]],2,FIND(" ",BMO_Savings_Accounts[[#This Row],[Balance]],2)-2))))</f>
        <v>0</v>
      </c>
    </row>
    <row r="12" spans="1:5" x14ac:dyDescent="0.25">
      <c r="B12" s="19" t="s">
        <v>293</v>
      </c>
      <c r="C12">
        <v>1E-4</v>
      </c>
      <c r="E12">
        <f>IF(OR(BMO_Savings_Accounts[[#This Row],[Balance]]="All Balances",MID(BMO_Savings_Accounts[[#This Row],[Balance]],1,5)="up to"),0,VALUE(TRIM(MID(BMO_Savings_Accounts[[#This Row],[Balance]],2,FIND(" ",BMO_Savings_Accounts[[#This Row],[Balance]],2)-2))))</f>
        <v>5000</v>
      </c>
    </row>
    <row r="13" spans="1:5" x14ac:dyDescent="0.25">
      <c r="B13" s="19" t="s">
        <v>294</v>
      </c>
      <c r="C13">
        <v>1E-4</v>
      </c>
      <c r="E13">
        <f>IF(OR(BMO_Savings_Accounts[[#This Row],[Balance]]="All Balances",MID(BMO_Savings_Accounts[[#This Row],[Balance]],1,5)="up to"),0,VALUE(TRIM(MID(BMO_Savings_Accounts[[#This Row],[Balance]],2,FIND(" ",BMO_Savings_Accounts[[#This Row],[Balance]],2)-2))))</f>
        <v>25000</v>
      </c>
    </row>
    <row r="14" spans="1:5" x14ac:dyDescent="0.25">
      <c r="B14" s="19" t="s">
        <v>295</v>
      </c>
      <c r="C14">
        <v>1E-4</v>
      </c>
      <c r="E14">
        <f>IF(OR(BMO_Savings_Accounts[[#This Row],[Balance]]="All Balances",MID(BMO_Savings_Accounts[[#This Row],[Balance]],1,5)="up to"),0,VALUE(TRIM(MID(BMO_Savings_Accounts[[#This Row],[Balance]],2,FIND(" ",BMO_Savings_Accounts[[#This Row],[Balance]],2)-2))))</f>
        <v>60000</v>
      </c>
    </row>
    <row r="15" spans="1:5" x14ac:dyDescent="0.25">
      <c r="B15" s="1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28" workbookViewId="0">
      <selection activeCell="D45" sqref="D45"/>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178</v>
      </c>
      <c r="C1" t="s">
        <v>358</v>
      </c>
      <c r="D1" t="s">
        <v>359</v>
      </c>
      <c r="E1" t="s">
        <v>357</v>
      </c>
      <c r="G1" s="40" t="s">
        <v>290</v>
      </c>
    </row>
    <row r="2" spans="1:7" x14ac:dyDescent="0.25">
      <c r="A2" t="s">
        <v>473</v>
      </c>
      <c r="B2" s="19" t="s">
        <v>160</v>
      </c>
      <c r="C2" s="43">
        <v>2.0000000000000001E-4</v>
      </c>
      <c r="D2" s="43"/>
      <c r="E2" s="43"/>
      <c r="G2">
        <f>IF(MID(BNS_Savings_Accounts[[#This Row],[Account Balance]],1,5)="Under",0,VALUE(TRIM(MID(BNS_Savings_Accounts[[#This Row],[Account Balance]],2,FIND(" ",BNS_Savings_Accounts[[#This Row],[Account Balance]],2)-2))))</f>
        <v>0</v>
      </c>
    </row>
    <row r="3" spans="1:7" x14ac:dyDescent="0.25">
      <c r="B3" s="19" t="s">
        <v>156</v>
      </c>
      <c r="C3" s="43">
        <v>2.0000000000000001E-4</v>
      </c>
      <c r="D3" s="43"/>
      <c r="E3" s="43"/>
      <c r="G3" s="43">
        <f>IF(MID(BNS_Savings_Accounts[[#This Row],[Account Balance]],1,5)="Under",0,VALUE(TRIM(MID(BNS_Savings_Accounts[[#This Row],[Account Balance]],2,FIND(" ",BNS_Savings_Accounts[[#This Row],[Account Balance]],2)-2))))</f>
        <v>5000</v>
      </c>
    </row>
    <row r="4" spans="1:7" x14ac:dyDescent="0.25">
      <c r="A4" t="s">
        <v>472</v>
      </c>
      <c r="B4" s="19" t="s">
        <v>160</v>
      </c>
      <c r="C4" s="43">
        <v>2.0000000000000001E-4</v>
      </c>
      <c r="D4" s="43"/>
      <c r="E4" s="43"/>
      <c r="G4" s="43">
        <f>IF(MID(BNS_Savings_Accounts[[#This Row],[Account Balance]],1,5)="Under",0,VALUE(TRIM(MID(BNS_Savings_Accounts[[#This Row],[Account Balance]],2,FIND(" ",BNS_Savings_Accounts[[#This Row],[Account Balance]],2)-2))))</f>
        <v>0</v>
      </c>
    </row>
    <row r="5" spans="1:7" x14ac:dyDescent="0.25">
      <c r="B5" s="19" t="s">
        <v>156</v>
      </c>
      <c r="C5" s="43">
        <v>2.0000000000000001E-4</v>
      </c>
      <c r="D5" s="43"/>
      <c r="E5" s="43"/>
      <c r="G5" s="43">
        <f>IF(MID(BNS_Savings_Accounts[[#This Row],[Account Balance]],1,5)="Under",0,VALUE(TRIM(MID(BNS_Savings_Accounts[[#This Row],[Account Balance]],2,FIND(" ",BNS_Savings_Accounts[[#This Row],[Account Balance]],2)-2))))</f>
        <v>5000</v>
      </c>
    </row>
    <row r="6" spans="1:7" x14ac:dyDescent="0.25">
      <c r="A6" t="s">
        <v>471</v>
      </c>
      <c r="B6" s="19" t="s">
        <v>461</v>
      </c>
      <c r="C6" s="43">
        <v>0</v>
      </c>
      <c r="D6" s="43"/>
      <c r="E6" s="43"/>
      <c r="G6" s="43">
        <f>IF(MID(BNS_Savings_Accounts[[#This Row],[Account Balance]],1,5)="Under",0,VALUE(TRIM(MID(BNS_Savings_Accounts[[#This Row],[Account Balance]],2,FIND(" ",BNS_Savings_Accounts[[#This Row],[Account Balance]],2)-2))))</f>
        <v>0</v>
      </c>
    </row>
    <row r="7" spans="1:7" x14ac:dyDescent="0.25">
      <c r="B7" s="19" t="s">
        <v>462</v>
      </c>
      <c r="C7" s="43">
        <v>2.0000000000000001E-4</v>
      </c>
      <c r="D7" s="43"/>
      <c r="E7" s="43"/>
      <c r="G7" s="43">
        <f>IF(MID(BNS_Savings_Accounts[[#This Row],[Account Balance]],1,5)="Under",0,VALUE(TRIM(MID(BNS_Savings_Accounts[[#This Row],[Account Balance]],2,FIND(" ",BNS_Savings_Accounts[[#This Row],[Account Balance]],2)-2))))</f>
        <v>25000</v>
      </c>
    </row>
    <row r="8" spans="1:7" x14ac:dyDescent="0.25">
      <c r="A8" t="s">
        <v>470</v>
      </c>
      <c r="B8" s="19" t="s">
        <v>157</v>
      </c>
      <c r="C8" s="43">
        <v>0</v>
      </c>
      <c r="D8" s="43"/>
      <c r="E8" s="43"/>
      <c r="G8" s="43">
        <f>IF(MID(BNS_Savings_Accounts[[#This Row],[Account Balance]],1,5)="Under",0,VALUE(TRIM(MID(BNS_Savings_Accounts[[#This Row],[Account Balance]],2,FIND(" ",BNS_Savings_Accounts[[#This Row],[Account Balance]],2)-2))))</f>
        <v>0</v>
      </c>
    </row>
    <row r="9" spans="1:7" x14ac:dyDescent="0.25">
      <c r="B9" s="19" t="s">
        <v>156</v>
      </c>
      <c r="C9" s="43">
        <v>2.0000000000000001E-4</v>
      </c>
      <c r="D9" s="43"/>
      <c r="E9" s="43"/>
      <c r="G9" s="43">
        <f>IF(MID(BNS_Savings_Accounts[[#This Row],[Account Balance]],1,5)="Under",0,VALUE(TRIM(MID(BNS_Savings_Accounts[[#This Row],[Account Balance]],2,FIND(" ",BNS_Savings_Accounts[[#This Row],[Account Balance]],2)-2))))</f>
        <v>5000</v>
      </c>
    </row>
    <row r="10" spans="1:7" x14ac:dyDescent="0.25">
      <c r="A10" t="s">
        <v>469</v>
      </c>
      <c r="B10" s="19" t="s">
        <v>157</v>
      </c>
      <c r="C10" s="43">
        <v>2.0000000000000001E-4</v>
      </c>
      <c r="D10" s="43"/>
      <c r="E10" s="43"/>
      <c r="G10" s="43">
        <f>IF(MID(BNS_Savings_Accounts[[#This Row],[Account Balance]],1,5)="Under",0,VALUE(TRIM(MID(BNS_Savings_Accounts[[#This Row],[Account Balance]],2,FIND(" ",BNS_Savings_Accounts[[#This Row],[Account Balance]],2)-2))))</f>
        <v>0</v>
      </c>
    </row>
    <row r="11" spans="1:7" x14ac:dyDescent="0.25">
      <c r="B11" s="19" t="s">
        <v>156</v>
      </c>
      <c r="C11" s="43">
        <v>2.0000000000000001E-4</v>
      </c>
      <c r="D11" s="43"/>
      <c r="E11" s="43"/>
      <c r="G11" s="43">
        <f>IF(MID(BNS_Savings_Accounts[[#This Row],[Account Balance]],1,5)="Under",0,VALUE(TRIM(MID(BNS_Savings_Accounts[[#This Row],[Account Balance]],2,FIND(" ",BNS_Savings_Accounts[[#This Row],[Account Balance]],2)-2))))</f>
        <v>5000</v>
      </c>
    </row>
    <row r="12" spans="1:7" x14ac:dyDescent="0.25">
      <c r="A12" s="43" t="s">
        <v>468</v>
      </c>
      <c r="B12" s="19" t="s">
        <v>463</v>
      </c>
      <c r="C12" s="43">
        <v>0</v>
      </c>
      <c r="D12" s="43"/>
      <c r="E12" s="43"/>
      <c r="G12" s="43">
        <f>IF(MID(BNS_Savings_Accounts[[#This Row],[Account Balance]],1,5)="Under",0,VALUE(TRIM(MID(BNS_Savings_Accounts[[#This Row],[Account Balance]],2,FIND(" ",BNS_Savings_Accounts[[#This Row],[Account Balance]],2)-2))))</f>
        <v>0</v>
      </c>
    </row>
    <row r="13" spans="1:7" x14ac:dyDescent="0.25">
      <c r="B13" s="19" t="s">
        <v>464</v>
      </c>
      <c r="C13" s="43">
        <v>1E-4</v>
      </c>
      <c r="D13" s="43"/>
      <c r="E13" s="43"/>
      <c r="G13" s="43">
        <f>IF(MID(BNS_Savings_Accounts[[#This Row],[Account Balance]],1,5)="Under",0,VALUE(TRIM(MID(BNS_Savings_Accounts[[#This Row],[Account Balance]],2,FIND(" ",BNS_Savings_Accounts[[#This Row],[Account Balance]],2)-2))))</f>
        <v>5000</v>
      </c>
    </row>
    <row r="14" spans="1:7" x14ac:dyDescent="0.25">
      <c r="B14" s="19" t="s">
        <v>465</v>
      </c>
      <c r="C14" s="43">
        <v>2.5000000000000001E-4</v>
      </c>
      <c r="D14" s="43"/>
      <c r="E14" s="43"/>
      <c r="G14" s="43">
        <f>IF(MID(BNS_Savings_Accounts[[#This Row],[Account Balance]],1,5)="Under",0,VALUE(TRIM(MID(BNS_Savings_Accounts[[#This Row],[Account Balance]],2,FIND(" ",BNS_Savings_Accounts[[#This Row],[Account Balance]],2)-2))))</f>
        <v>10000</v>
      </c>
    </row>
    <row r="15" spans="1:7" x14ac:dyDescent="0.25">
      <c r="B15" s="19" t="s">
        <v>466</v>
      </c>
      <c r="C15" s="43">
        <v>5.0000000000000001E-4</v>
      </c>
      <c r="D15" s="43"/>
      <c r="E15" s="43"/>
      <c r="G15" s="43">
        <f>IF(MID(BNS_Savings_Accounts[[#This Row],[Account Balance]],1,5)="Under",0,VALUE(TRIM(MID(BNS_Savings_Accounts[[#This Row],[Account Balance]],2,FIND(" ",BNS_Savings_Accounts[[#This Row],[Account Balance]],2)-2))))</f>
        <v>25000</v>
      </c>
    </row>
    <row r="16" spans="1:7" x14ac:dyDescent="0.25">
      <c r="B16" s="19" t="s">
        <v>467</v>
      </c>
      <c r="C16" s="43">
        <v>1E-3</v>
      </c>
      <c r="D16" s="43"/>
      <c r="E16" s="43"/>
      <c r="G16" s="43">
        <f>IF(MID(BNS_Savings_Accounts[[#This Row],[Account Balance]],1,5)="Under",0,VALUE(TRIM(MID(BNS_Savings_Accounts[[#This Row],[Account Balance]],2,FIND(" ",BNS_Savings_Accounts[[#This Row],[Account Balance]],2)-2))))</f>
        <v>60000</v>
      </c>
    </row>
    <row r="17" spans="1:7" x14ac:dyDescent="0.25">
      <c r="A17" s="43" t="s">
        <v>214</v>
      </c>
      <c r="B17" s="19" t="s">
        <v>213</v>
      </c>
      <c r="C17" s="43">
        <v>0</v>
      </c>
      <c r="D17" s="43"/>
      <c r="E17" s="43"/>
      <c r="G17" s="43">
        <f>IF(MID(BNS_Savings_Accounts[[#This Row],[Account Balance]],1,5)="Under",0,VALUE(TRIM(MID(BNS_Savings_Accounts[[#This Row],[Account Balance]],2,FIND(" ",BNS_Savings_Accounts[[#This Row],[Account Balance]],2)-2))))</f>
        <v>0</v>
      </c>
    </row>
    <row r="18" spans="1:7" x14ac:dyDescent="0.25">
      <c r="B18" s="19" t="s">
        <v>212</v>
      </c>
      <c r="C18" s="43">
        <v>1E-4</v>
      </c>
      <c r="D18" s="43"/>
      <c r="E18" s="43"/>
      <c r="G18" s="43">
        <f>IF(MID(BNS_Savings_Accounts[[#This Row],[Account Balance]],1,5)="Under",0,VALUE(TRIM(MID(BNS_Savings_Accounts[[#This Row],[Account Balance]],2,FIND(" ",BNS_Savings_Accounts[[#This Row],[Account Balance]],2)-2))))</f>
        <v>1000</v>
      </c>
    </row>
    <row r="19" spans="1:7" x14ac:dyDescent="0.25">
      <c r="B19" s="19" t="s">
        <v>39</v>
      </c>
      <c r="C19" s="43">
        <v>2.5000000000000001E-4</v>
      </c>
      <c r="D19" s="43"/>
      <c r="E19" s="43"/>
      <c r="G19" s="43">
        <f>IF(MID(BNS_Savings_Accounts[[#This Row],[Account Balance]],1,5)="Under",0,VALUE(TRIM(MID(BNS_Savings_Accounts[[#This Row],[Account Balance]],2,FIND(" ",BNS_Savings_Accounts[[#This Row],[Account Balance]],2)-2))))</f>
        <v>5000</v>
      </c>
    </row>
    <row r="20" spans="1:7" x14ac:dyDescent="0.25">
      <c r="B20" s="19" t="s">
        <v>38</v>
      </c>
      <c r="C20" s="43">
        <v>5.0000000000000001E-4</v>
      </c>
      <c r="D20" s="43"/>
      <c r="E20" s="43"/>
      <c r="G20" s="43">
        <f>IF(MID(BNS_Savings_Accounts[[#This Row],[Account Balance]],1,5)="Under",0,VALUE(TRIM(MID(BNS_Savings_Accounts[[#This Row],[Account Balance]],2,FIND(" ",BNS_Savings_Accounts[[#This Row],[Account Balance]],2)-2))))</f>
        <v>10000</v>
      </c>
    </row>
    <row r="21" spans="1:7" x14ac:dyDescent="0.25">
      <c r="B21" s="19" t="s">
        <v>37</v>
      </c>
      <c r="C21" s="43">
        <v>1E-3</v>
      </c>
      <c r="D21" s="43"/>
      <c r="E21" s="43"/>
      <c r="G21" s="43">
        <f>IF(MID(BNS_Savings_Accounts[[#This Row],[Account Balance]],1,5)="Under",0,VALUE(TRIM(MID(BNS_Savings_Accounts[[#This Row],[Account Balance]],2,FIND(" ",BNS_Savings_Accounts[[#This Row],[Account Balance]],2)-2))))</f>
        <v>25000</v>
      </c>
    </row>
    <row r="22" spans="1:7" x14ac:dyDescent="0.25">
      <c r="B22" s="19" t="s">
        <v>211</v>
      </c>
      <c r="C22" s="43">
        <v>1.5E-3</v>
      </c>
      <c r="D22" s="43"/>
      <c r="E22" s="43"/>
      <c r="G22" s="43">
        <f>IF(MID(BNS_Savings_Accounts[[#This Row],[Account Balance]],1,5)="Under",0,VALUE(TRIM(MID(BNS_Savings_Accounts[[#This Row],[Account Balance]],2,FIND(" ",BNS_Savings_Accounts[[#This Row],[Account Balance]],2)-2))))</f>
        <v>60000</v>
      </c>
    </row>
    <row r="23" spans="1:7" x14ac:dyDescent="0.25">
      <c r="A23" s="43" t="s">
        <v>376</v>
      </c>
      <c r="B23" s="19" t="s">
        <v>372</v>
      </c>
      <c r="C23" s="43">
        <v>0.01</v>
      </c>
      <c r="D23" s="43"/>
      <c r="E23" s="43"/>
      <c r="G23" s="43">
        <f>IF(MID(BNS_Savings_Accounts[[#This Row],[Account Balance]],1,5)="Under",0,VALUE(TRIM(MID(BNS_Savings_Accounts[[#This Row],[Account Balance]],2,FIND(" ",BNS_Savings_Accounts[[#This Row],[Account Balance]],2)-2))))</f>
        <v>0</v>
      </c>
    </row>
    <row r="24" spans="1:7" x14ac:dyDescent="0.25">
      <c r="B24" s="19" t="s">
        <v>158</v>
      </c>
      <c r="C24" s="43">
        <v>1.0999999999999999E-2</v>
      </c>
      <c r="D24" s="43"/>
      <c r="E24" s="43"/>
      <c r="G24" s="43">
        <f>IF(MID(BNS_Savings_Accounts[[#This Row],[Account Balance]],1,5)="Under",0,VALUE(TRIM(MID(BNS_Savings_Accounts[[#This Row],[Account Balance]],2,FIND(" ",BNS_Savings_Accounts[[#This Row],[Account Balance]],2)-2))))</f>
        <v>250000</v>
      </c>
    </row>
    <row r="25" spans="1:7" x14ac:dyDescent="0.25">
      <c r="A25" s="43" t="s">
        <v>165</v>
      </c>
      <c r="B25" s="19" t="s">
        <v>160</v>
      </c>
      <c r="C25" s="43">
        <v>5.0000000000000001E-4</v>
      </c>
      <c r="D25" s="43"/>
      <c r="E25" s="43"/>
      <c r="G25" s="43">
        <f>IF(MID(BNS_Savings_Accounts[[#This Row],[Account Balance]],1,5)="Under",0,VALUE(TRIM(MID(BNS_Savings_Accounts[[#This Row],[Account Balance]],2,FIND(" ",BNS_Savings_Accounts[[#This Row],[Account Balance]],2)-2))))</f>
        <v>0</v>
      </c>
    </row>
    <row r="26" spans="1:7" x14ac:dyDescent="0.25">
      <c r="B26" s="19" t="s">
        <v>159</v>
      </c>
      <c r="C26" s="43">
        <v>0.01</v>
      </c>
      <c r="D26" s="43"/>
      <c r="E26" s="43"/>
      <c r="G26" s="43">
        <f>IF(MID(BNS_Savings_Accounts[[#This Row],[Account Balance]],1,5)="Under",0,VALUE(TRIM(MID(BNS_Savings_Accounts[[#This Row],[Account Balance]],2,FIND(" ",BNS_Savings_Accounts[[#This Row],[Account Balance]],2)-2))))</f>
        <v>5000</v>
      </c>
    </row>
    <row r="27" spans="1:7" x14ac:dyDescent="0.25">
      <c r="B27" s="19" t="s">
        <v>158</v>
      </c>
      <c r="C27" s="43">
        <v>1.0999999999999999E-2</v>
      </c>
      <c r="D27" s="43"/>
      <c r="E27" s="43"/>
      <c r="G27" s="43">
        <f>IF(MID(BNS_Savings_Accounts[[#This Row],[Account Balance]],1,5)="Under",0,VALUE(TRIM(MID(BNS_Savings_Accounts[[#This Row],[Account Balance]],2,FIND(" ",BNS_Savings_Accounts[[#This Row],[Account Balance]],2)-2))))</f>
        <v>250000</v>
      </c>
    </row>
    <row r="28" spans="1:7" x14ac:dyDescent="0.25">
      <c r="A28" s="43" t="s">
        <v>164</v>
      </c>
      <c r="B28" s="19" t="s">
        <v>157</v>
      </c>
      <c r="C28" s="43">
        <v>5.0000000000000001E-4</v>
      </c>
      <c r="D28" s="43"/>
      <c r="E28" s="43"/>
      <c r="G28" s="43">
        <f>IF(MID(BNS_Savings_Accounts[[#This Row],[Account Balance]],1,5)="Under",0,VALUE(TRIM(MID(BNS_Savings_Accounts[[#This Row],[Account Balance]],2,FIND(" ",BNS_Savings_Accounts[[#This Row],[Account Balance]],2)-2))))</f>
        <v>0</v>
      </c>
    </row>
    <row r="29" spans="1:7" x14ac:dyDescent="0.25">
      <c r="B29" s="19" t="s">
        <v>156</v>
      </c>
      <c r="C29" s="43">
        <v>5.0000000000000001E-4</v>
      </c>
      <c r="D29" s="43"/>
      <c r="E29" s="43"/>
      <c r="G29" s="43">
        <f>IF(MID(BNS_Savings_Accounts[[#This Row],[Account Balance]],1,5)="Under",0,VALUE(TRIM(MID(BNS_Savings_Accounts[[#This Row],[Account Balance]],2,FIND(" ",BNS_Savings_Accounts[[#This Row],[Account Balance]],2)-2))))</f>
        <v>5000</v>
      </c>
    </row>
    <row r="30" spans="1:7" x14ac:dyDescent="0.25">
      <c r="A30" s="43" t="s">
        <v>375</v>
      </c>
      <c r="B30" s="19" t="s">
        <v>160</v>
      </c>
      <c r="C30" s="43">
        <v>5.0000000000000001E-4</v>
      </c>
      <c r="D30" s="43">
        <v>5.0000000000000001E-4</v>
      </c>
      <c r="E30" s="43">
        <v>0</v>
      </c>
      <c r="G30" s="43">
        <f>IF(MID(BNS_Savings_Accounts[[#This Row],[Account Balance]],1,5)="Under",0,VALUE(TRIM(MID(BNS_Savings_Accounts[[#This Row],[Account Balance]],2,FIND(" ",BNS_Savings_Accounts[[#This Row],[Account Balance]],2)-2))))</f>
        <v>0</v>
      </c>
    </row>
    <row r="31" spans="1:7" x14ac:dyDescent="0.25">
      <c r="B31" s="19" t="s">
        <v>156</v>
      </c>
      <c r="C31" s="43">
        <v>1.6E-2</v>
      </c>
      <c r="D31" s="43">
        <v>5.0000000000000001E-3</v>
      </c>
      <c r="E31" s="43">
        <v>1.0999999999999999E-2</v>
      </c>
      <c r="G31" s="43">
        <f>IF(MID(BNS_Savings_Accounts[[#This Row],[Account Balance]],1,5)="Under",0,VALUE(TRIM(MID(BNS_Savings_Accounts[[#This Row],[Account Balance]],2,FIND(" ",BNS_Savings_Accounts[[#This Row],[Account Balance]],2)-2))))</f>
        <v>5000</v>
      </c>
    </row>
    <row r="32" spans="1:7" x14ac:dyDescent="0.25">
      <c r="A32" s="43" t="s">
        <v>163</v>
      </c>
      <c r="B32" s="19" t="s">
        <v>155</v>
      </c>
      <c r="C32" s="43">
        <v>0.02</v>
      </c>
      <c r="D32" s="43">
        <v>0.01</v>
      </c>
      <c r="E32" s="43">
        <v>0.01</v>
      </c>
      <c r="G32" s="43"/>
    </row>
    <row r="33" spans="1:7" x14ac:dyDescent="0.25">
      <c r="B33" s="19" t="s">
        <v>154</v>
      </c>
      <c r="C33" s="43">
        <v>1.8499999999999999E-2</v>
      </c>
      <c r="D33" s="43">
        <v>0.01</v>
      </c>
      <c r="E33" s="43">
        <v>8.5000000000000006E-3</v>
      </c>
      <c r="G33" s="43"/>
    </row>
    <row r="34" spans="1:7" x14ac:dyDescent="0.25">
      <c r="B34" s="19" t="s">
        <v>153</v>
      </c>
      <c r="C34" s="43">
        <v>1.7000000000000001E-2</v>
      </c>
      <c r="D34" s="43">
        <v>0.01</v>
      </c>
      <c r="E34" s="43">
        <v>7.0000000000000001E-3</v>
      </c>
      <c r="G34" s="43"/>
    </row>
    <row r="35" spans="1:7" x14ac:dyDescent="0.25">
      <c r="B35" s="19" t="s">
        <v>152</v>
      </c>
      <c r="C35" s="43">
        <v>1.6E-2</v>
      </c>
      <c r="D35" s="43">
        <v>0.01</v>
      </c>
      <c r="E35" s="43">
        <v>6.0000000000000001E-3</v>
      </c>
      <c r="G35" s="43"/>
    </row>
    <row r="36" spans="1:7" x14ac:dyDescent="0.25">
      <c r="B36" s="19" t="s">
        <v>360</v>
      </c>
      <c r="C36" s="43">
        <v>0.01</v>
      </c>
      <c r="D36" s="43">
        <v>0.01</v>
      </c>
      <c r="E36" s="43">
        <v>0</v>
      </c>
      <c r="G36" s="43"/>
    </row>
    <row r="39" spans="1:7" x14ac:dyDescent="0.25">
      <c r="A39" t="s">
        <v>162</v>
      </c>
      <c r="B39" t="s">
        <v>161</v>
      </c>
      <c r="C39" t="s">
        <v>373</v>
      </c>
      <c r="D39" t="s">
        <v>374</v>
      </c>
    </row>
    <row r="40" spans="1:7" x14ac:dyDescent="0.25">
      <c r="B40" s="19" t="s">
        <v>364</v>
      </c>
      <c r="C40">
        <v>2.5000000000000001E-3</v>
      </c>
      <c r="D40">
        <v>2.5000000000000001E-3</v>
      </c>
    </row>
    <row r="41" spans="1:7" x14ac:dyDescent="0.25">
      <c r="B41" s="19" t="s">
        <v>365</v>
      </c>
      <c r="C41">
        <v>3.95E-2</v>
      </c>
      <c r="D41">
        <v>5.5E-2</v>
      </c>
    </row>
    <row r="43" spans="1:7" x14ac:dyDescent="0.25">
      <c r="A43" s="43" t="s">
        <v>416</v>
      </c>
      <c r="B43" s="62" t="s">
        <v>161</v>
      </c>
      <c r="C43" s="64" t="s">
        <v>373</v>
      </c>
      <c r="D43" s="63" t="s">
        <v>374</v>
      </c>
    </row>
    <row r="44" spans="1:7" x14ac:dyDescent="0.25">
      <c r="B44" s="67" t="s">
        <v>419</v>
      </c>
      <c r="C44" s="69">
        <v>1.6E-2</v>
      </c>
      <c r="D44" s="70">
        <v>1.6500000000000001E-2</v>
      </c>
    </row>
    <row r="45" spans="1:7" x14ac:dyDescent="0.25">
      <c r="B45" s="68" t="s">
        <v>420</v>
      </c>
      <c r="C45" s="71">
        <v>1.7500000000000002E-2</v>
      </c>
      <c r="D45" s="72">
        <v>1.7999999999999999E-2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D13" sqref="D13"/>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83</v>
      </c>
      <c r="E1" s="40"/>
    </row>
    <row r="2" spans="1:5" x14ac:dyDescent="0.25">
      <c r="A2" t="s">
        <v>84</v>
      </c>
    </row>
    <row r="8" spans="1:5" x14ac:dyDescent="0.25">
      <c r="A8" t="s">
        <v>85</v>
      </c>
    </row>
    <row r="10" spans="1:5" x14ac:dyDescent="0.25">
      <c r="A10" t="s">
        <v>20</v>
      </c>
      <c r="B10" t="s">
        <v>388</v>
      </c>
      <c r="C10" t="s">
        <v>387</v>
      </c>
    </row>
    <row r="11" spans="1:5" x14ac:dyDescent="0.25">
      <c r="B11" s="19" t="s">
        <v>389</v>
      </c>
      <c r="C11" s="43">
        <v>1.15E-2</v>
      </c>
    </row>
    <row r="12" spans="1:5" x14ac:dyDescent="0.25">
      <c r="A12" t="s">
        <v>86</v>
      </c>
    </row>
    <row r="14" spans="1:5" x14ac:dyDescent="0.25">
      <c r="A14" t="s">
        <v>87</v>
      </c>
    </row>
    <row r="22" spans="1:1" x14ac:dyDescent="0.25">
      <c r="A22" t="s">
        <v>88</v>
      </c>
    </row>
    <row r="30" spans="1:1" x14ac:dyDescent="0.25">
      <c r="A30" t="s">
        <v>89</v>
      </c>
    </row>
    <row r="33" spans="1:1" x14ac:dyDescent="0.25">
      <c r="A33" t="s">
        <v>90</v>
      </c>
    </row>
    <row r="41" spans="1:1" x14ac:dyDescent="0.25">
      <c r="A41" t="s">
        <v>91</v>
      </c>
    </row>
    <row r="47" spans="1:1" x14ac:dyDescent="0.25">
      <c r="A47" t="s">
        <v>92</v>
      </c>
    </row>
    <row r="49" spans="1:1" x14ac:dyDescent="0.25">
      <c r="A49" t="s">
        <v>93</v>
      </c>
    </row>
    <row r="57" spans="1:1" x14ac:dyDescent="0.25">
      <c r="A57" t="s">
        <v>94</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4"/>
    </sheetView>
  </sheetViews>
  <sheetFormatPr defaultRowHeight="15" x14ac:dyDescent="0.25"/>
  <cols>
    <col min="1" max="1" width="56.7109375" bestFit="1" customWidth="1"/>
    <col min="2" max="2" width="45.42578125" bestFit="1" customWidth="1"/>
    <col min="3" max="3" width="10.28515625" style="43" bestFit="1" customWidth="1"/>
    <col min="4" max="4" width="14.7109375" bestFit="1" customWidth="1"/>
  </cols>
  <sheetData>
    <row r="1" spans="1:4" x14ac:dyDescent="0.25">
      <c r="A1" t="s">
        <v>482</v>
      </c>
      <c r="B1" t="s">
        <v>379</v>
      </c>
      <c r="C1" t="s">
        <v>59</v>
      </c>
    </row>
    <row r="2" spans="1:4" x14ac:dyDescent="0.25">
      <c r="B2" s="19" t="s">
        <v>24</v>
      </c>
      <c r="C2" s="19">
        <v>1.2E-2</v>
      </c>
    </row>
    <row r="3" spans="1:4" x14ac:dyDescent="0.25">
      <c r="B3" s="19" t="s">
        <v>446</v>
      </c>
      <c r="C3" s="19">
        <v>0</v>
      </c>
    </row>
    <row r="4" spans="1:4" x14ac:dyDescent="0.25">
      <c r="B4" s="19" t="s">
        <v>447</v>
      </c>
      <c r="C4" s="19">
        <v>0.15</v>
      </c>
    </row>
    <row r="6" spans="1:4" x14ac:dyDescent="0.25">
      <c r="A6" t="s">
        <v>483</v>
      </c>
      <c r="B6" s="43" t="s">
        <v>379</v>
      </c>
      <c r="C6" s="43" t="s">
        <v>59</v>
      </c>
      <c r="D6" s="43"/>
    </row>
    <row r="7" spans="1:4" x14ac:dyDescent="0.25">
      <c r="B7" s="19" t="s">
        <v>25</v>
      </c>
      <c r="C7" s="43">
        <v>1.4999999999999999E-2</v>
      </c>
    </row>
    <row r="8" spans="1:4" x14ac:dyDescent="0.25">
      <c r="B8" s="19" t="s">
        <v>475</v>
      </c>
      <c r="C8" s="43">
        <v>1.7500000000000002E-2</v>
      </c>
    </row>
    <row r="9" spans="1:4" x14ac:dyDescent="0.25">
      <c r="B9" s="19" t="s">
        <v>476</v>
      </c>
      <c r="C9" s="43">
        <v>1.2E-2</v>
      </c>
    </row>
    <row r="10" spans="1:4" s="43" customFormat="1" x14ac:dyDescent="0.25">
      <c r="B10" s="75" t="s">
        <v>477</v>
      </c>
      <c r="C10" s="43">
        <v>1.4999999999999999E-2</v>
      </c>
    </row>
    <row r="11" spans="1:4" s="43" customFormat="1" x14ac:dyDescent="0.25">
      <c r="B11" s="75" t="s">
        <v>478</v>
      </c>
      <c r="C11" s="43">
        <v>1.4999999999999999E-2</v>
      </c>
    </row>
    <row r="12" spans="1:4" s="43" customFormat="1" x14ac:dyDescent="0.25">
      <c r="B12" s="75" t="s">
        <v>479</v>
      </c>
      <c r="C12" s="43">
        <v>1.4999999999999999E-2</v>
      </c>
    </row>
    <row r="13" spans="1:4" s="43" customFormat="1" x14ac:dyDescent="0.25">
      <c r="B13" s="75" t="s">
        <v>403</v>
      </c>
      <c r="C13" s="43">
        <v>5.0000000000000001E-3</v>
      </c>
    </row>
    <row r="14" spans="1:4" s="43" customFormat="1" x14ac:dyDescent="0.25">
      <c r="B14" s="75" t="s">
        <v>480</v>
      </c>
      <c r="C14" s="43">
        <v>5.0000000000000001E-3</v>
      </c>
    </row>
    <row r="15" spans="1:4" s="43" customFormat="1" x14ac:dyDescent="0.25"/>
    <row r="16" spans="1:4" s="43" customFormat="1" x14ac:dyDescent="0.25">
      <c r="B16"/>
      <c r="C16" s="40"/>
    </row>
    <row r="17" spans="1:4" s="43" customFormat="1" x14ac:dyDescent="0.25">
      <c r="A17" s="59" t="s">
        <v>427</v>
      </c>
      <c r="B17" t="s">
        <v>460</v>
      </c>
      <c r="C17" t="s">
        <v>481</v>
      </c>
    </row>
    <row r="18" spans="1:4" s="43" customFormat="1" x14ac:dyDescent="0.25">
      <c r="B18">
        <v>1.6E-2</v>
      </c>
      <c r="C18" s="43">
        <v>1.7000000000000001E-2</v>
      </c>
    </row>
    <row r="19" spans="1:4" s="43" customFormat="1" x14ac:dyDescent="0.25">
      <c r="B19" s="59"/>
    </row>
    <row r="20" spans="1:4" x14ac:dyDescent="0.25">
      <c r="A20" t="s">
        <v>139</v>
      </c>
    </row>
    <row r="21" spans="1:4" s="43" customFormat="1" x14ac:dyDescent="0.25">
      <c r="B21"/>
      <c r="D21"/>
    </row>
    <row r="22" spans="1:4" x14ac:dyDescent="0.25">
      <c r="A22" s="43" t="s">
        <v>50</v>
      </c>
    </row>
    <row r="23" spans="1:4" x14ac:dyDescent="0.25">
      <c r="A23" s="43"/>
    </row>
    <row r="24" spans="1:4" x14ac:dyDescent="0.25">
      <c r="A24" s="43"/>
    </row>
    <row r="26" spans="1:4" x14ac:dyDescent="0.25">
      <c r="A26" t="s">
        <v>140</v>
      </c>
    </row>
    <row r="32" spans="1:4" x14ac:dyDescent="0.25">
      <c r="A32" t="s">
        <v>141</v>
      </c>
    </row>
    <row r="38" spans="1:1" x14ac:dyDescent="0.25">
      <c r="A38" t="s">
        <v>142</v>
      </c>
    </row>
    <row r="44" spans="1:1" x14ac:dyDescent="0.25">
      <c r="A44" t="s">
        <v>143</v>
      </c>
    </row>
    <row r="58" spans="1:1" x14ac:dyDescent="0.25">
      <c r="A58" t="s">
        <v>144</v>
      </c>
    </row>
    <row r="71" spans="1:1" x14ac:dyDescent="0.25">
      <c r="A71" t="s">
        <v>145</v>
      </c>
    </row>
    <row r="81" spans="1:1" x14ac:dyDescent="0.25">
      <c r="A81" t="s">
        <v>146</v>
      </c>
    </row>
    <row r="84" spans="1:1" x14ac:dyDescent="0.25">
      <c r="A84" t="s">
        <v>147</v>
      </c>
    </row>
    <row r="86" spans="1:1" x14ac:dyDescent="0.25">
      <c r="A86" t="s">
        <v>148</v>
      </c>
    </row>
    <row r="88" spans="1:1" x14ac:dyDescent="0.25">
      <c r="A88" t="s">
        <v>149</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268</v>
      </c>
      <c r="C1" t="s">
        <v>53</v>
      </c>
      <c r="E1" s="40" t="s">
        <v>290</v>
      </c>
    </row>
    <row r="2" spans="1:5" x14ac:dyDescent="0.25">
      <c r="A2" t="s">
        <v>113</v>
      </c>
      <c r="B2" s="19" t="s">
        <v>301</v>
      </c>
      <c r="C2">
        <v>1E-3</v>
      </c>
      <c r="E2">
        <f>IF(LEFT(NBC_Bank_Accounts[[#This Row],[Balance]],1)&lt;&gt;"$",0,VALUE(LEFT(NBC_Bank_Accounts[[#This Row],[Balance]],FIND(" ",NBC_Bank_Accounts[[#This Row],[Balance]])-1)))</f>
        <v>0</v>
      </c>
    </row>
    <row r="3" spans="1:5" x14ac:dyDescent="0.25">
      <c r="B3" s="19" t="s">
        <v>114</v>
      </c>
      <c r="C3">
        <v>1E-4</v>
      </c>
      <c r="E3">
        <f>IF(LEFT(NBC_Bank_Accounts[[#This Row],[Balance]],1)&lt;&gt;"$",0,VALUE(LEFT(NBC_Bank_Accounts[[#This Row],[Balance]],FIND(" ",NBC_Bank_Accounts[[#This Row],[Balance]])-1)))</f>
        <v>0</v>
      </c>
    </row>
    <row r="4" spans="1:5" x14ac:dyDescent="0.25">
      <c r="B4" s="19" t="s">
        <v>115</v>
      </c>
      <c r="C4">
        <v>1E-4</v>
      </c>
      <c r="E4">
        <f>IF(LEFT(NBC_Bank_Accounts[[#This Row],[Balance]],1)&lt;&gt;"$",0,VALUE(LEFT(NBC_Bank_Accounts[[#This Row],[Balance]],FIND(" ",NBC_Bank_Accounts[[#This Row],[Balance]])-1)))</f>
        <v>0</v>
      </c>
    </row>
    <row r="5" spans="1:5" x14ac:dyDescent="0.25">
      <c r="B5" s="19" t="s">
        <v>116</v>
      </c>
      <c r="C5">
        <v>5.0000000000000001E-4</v>
      </c>
      <c r="E5">
        <f>IF(LEFT(NBC_Bank_Accounts[[#This Row],[Balance]],1)&lt;&gt;"$",0,VALUE(LEFT(NBC_Bank_Accounts[[#This Row],[Balance]],FIND(" ",NBC_Bank_Accounts[[#This Row],[Balance]])-1)))</f>
        <v>0</v>
      </c>
    </row>
    <row r="6" spans="1:5" x14ac:dyDescent="0.25">
      <c r="B6" s="19" t="s">
        <v>117</v>
      </c>
      <c r="C6">
        <v>5.0000000000000001E-4</v>
      </c>
      <c r="E6">
        <f>IF(LEFT(NBC_Bank_Accounts[[#This Row],[Balance]],1)&lt;&gt;"$",0,VALUE(LEFT(NBC_Bank_Accounts[[#This Row],[Balance]],FIND(" ",NBC_Bank_Accounts[[#This Row],[Balance]])-1)))</f>
        <v>0</v>
      </c>
    </row>
    <row r="7" spans="1:5" x14ac:dyDescent="0.25">
      <c r="A7" t="s">
        <v>118</v>
      </c>
      <c r="B7" s="19" t="s">
        <v>119</v>
      </c>
      <c r="C7">
        <v>0</v>
      </c>
      <c r="E7">
        <f>IF(LEFT(NBC_Bank_Accounts[[#This Row],[Balance]],1)&lt;&gt;"$",0,VALUE(LEFT(NBC_Bank_Accounts[[#This Row],[Balance]],FIND(" ",NBC_Bank_Accounts[[#This Row],[Balance]])-1)))</f>
        <v>0</v>
      </c>
    </row>
    <row r="8" spans="1:5" x14ac:dyDescent="0.25">
      <c r="B8" s="19" t="s">
        <v>120</v>
      </c>
      <c r="C8">
        <v>2.0000000000000001E-4</v>
      </c>
      <c r="E8">
        <f>IF(LEFT(NBC_Bank_Accounts[[#This Row],[Balance]],1)&lt;&gt;"$",0,VALUE(LEFT(NBC_Bank_Accounts[[#This Row],[Balance]],FIND(" ",NBC_Bank_Accounts[[#This Row],[Balance]])-1)))</f>
        <v>2000</v>
      </c>
    </row>
    <row r="9" spans="1:5" x14ac:dyDescent="0.25">
      <c r="B9" s="19" t="s">
        <v>71</v>
      </c>
      <c r="C9">
        <v>2.0000000000000001E-4</v>
      </c>
      <c r="E9">
        <f>IF(LEFT(NBC_Bank_Accounts[[#This Row],[Balance]],1)&lt;&gt;"$",0,VALUE(LEFT(NBC_Bank_Accounts[[#This Row],[Balance]],FIND(" ",NBC_Bank_Accounts[[#This Row],[Balance]])-1)))</f>
        <v>10000</v>
      </c>
    </row>
    <row r="10" spans="1:5" x14ac:dyDescent="0.25">
      <c r="B10" s="19" t="s">
        <v>69</v>
      </c>
      <c r="C10">
        <v>5.0000000000000001E-4</v>
      </c>
      <c r="E10">
        <f>IF(LEFT(NBC_Bank_Accounts[[#This Row],[Balance]],1)&lt;&gt;"$",0,VALUE(LEFT(NBC_Bank_Accounts[[#This Row],[Balance]],FIND(" ",NBC_Bank_Accounts[[#This Row],[Balance]])-1)))</f>
        <v>25000</v>
      </c>
    </row>
    <row r="11" spans="1:5" x14ac:dyDescent="0.25">
      <c r="B11" s="19" t="s">
        <v>67</v>
      </c>
      <c r="C11">
        <v>1E-3</v>
      </c>
      <c r="E11">
        <f>IF(LEFT(NBC_Bank_Accounts[[#This Row],[Balance]],1)&lt;&gt;"$",0,VALUE(LEFT(NBC_Bank_Accounts[[#This Row],[Balance]],FIND(" ",NBC_Bank_Accounts[[#This Row],[Balance]])-1)))</f>
        <v>60000</v>
      </c>
    </row>
    <row r="12" spans="1:5" x14ac:dyDescent="0.25">
      <c r="B12" s="19" t="s">
        <v>121</v>
      </c>
      <c r="C12">
        <v>1.5E-3</v>
      </c>
      <c r="E12">
        <f>IF(LEFT(NBC_Bank_Accounts[[#This Row],[Balance]],1)&lt;&gt;"$",0,VALUE(LEFT(NBC_Bank_Accounts[[#This Row],[Balance]],FIND(" ",NBC_Bank_Accounts[[#This Row],[Balance]])-1)))</f>
        <v>100000</v>
      </c>
    </row>
    <row r="13" spans="1:5" x14ac:dyDescent="0.25">
      <c r="A13" t="s">
        <v>124</v>
      </c>
      <c r="B13" s="19" t="s">
        <v>125</v>
      </c>
      <c r="C13">
        <v>0</v>
      </c>
      <c r="E13">
        <f>IF(LEFT(NBC_Bank_Accounts[[#This Row],[Balance]],1)&lt;&gt;"$",0,VALUE(LEFT(NBC_Bank_Accounts[[#This Row],[Balance]],FIND(" ",NBC_Bank_Accounts[[#This Row],[Balance]])-1)))</f>
        <v>0</v>
      </c>
    </row>
    <row r="14" spans="1:5" x14ac:dyDescent="0.25">
      <c r="B14" s="19" t="s">
        <v>126</v>
      </c>
      <c r="C14">
        <v>0</v>
      </c>
      <c r="E14">
        <f>IF(LEFT(NBC_Bank_Accounts[[#This Row],[Balance]],1)&lt;&gt;"$",0,VALUE(LEFT(NBC_Bank_Accounts[[#This Row],[Balance]],FIND(" ",NBC_Bank_Accounts[[#This Row],[Balance]])-1)))</f>
        <v>1000</v>
      </c>
    </row>
    <row r="15" spans="1:5" x14ac:dyDescent="0.25">
      <c r="B15" s="19" t="s">
        <v>127</v>
      </c>
      <c r="C15">
        <v>0</v>
      </c>
      <c r="E15">
        <f>IF(LEFT(NBC_Bank_Accounts[[#This Row],[Balance]],1)&lt;&gt;"$",0,VALUE(LEFT(NBC_Bank_Accounts[[#This Row],[Balance]],FIND(" ",NBC_Bank_Accounts[[#This Row],[Balance]])-1)))</f>
        <v>2000</v>
      </c>
    </row>
    <row r="16" spans="1:5" x14ac:dyDescent="0.25">
      <c r="B16" s="19" t="s">
        <v>123</v>
      </c>
      <c r="C16">
        <v>1E-3</v>
      </c>
      <c r="E16">
        <f>IF(LEFT(NBC_Bank_Accounts[[#This Row],[Balance]],1)&lt;&gt;"$",0,VALUE(LEFT(NBC_Bank_Accounts[[#This Row],[Balance]],FIND(" ",NBC_Bank_Accounts[[#This Row],[Balance]])-1)))</f>
        <v>5000</v>
      </c>
    </row>
    <row r="17" spans="1:5" x14ac:dyDescent="0.25">
      <c r="B17" s="19" t="s">
        <v>128</v>
      </c>
      <c r="C17">
        <v>1.5E-3</v>
      </c>
      <c r="E17">
        <f>IF(LEFT(NBC_Bank_Accounts[[#This Row],[Balance]],1)&lt;&gt;"$",0,VALUE(LEFT(NBC_Bank_Accounts[[#This Row],[Balance]],FIND(" ",NBC_Bank_Accounts[[#This Row],[Balance]])-1)))</f>
        <v>10000</v>
      </c>
    </row>
    <row r="18" spans="1:5" x14ac:dyDescent="0.25">
      <c r="A18" t="s">
        <v>129</v>
      </c>
      <c r="B18" s="19" t="s">
        <v>125</v>
      </c>
      <c r="C18">
        <v>2.0000000000000001E-4</v>
      </c>
      <c r="E18">
        <f>IF(LEFT(NBC_Bank_Accounts[[#This Row],[Balance]],1)&lt;&gt;"$",0,VALUE(LEFT(NBC_Bank_Accounts[[#This Row],[Balance]],FIND(" ",NBC_Bank_Accounts[[#This Row],[Balance]])-1)))</f>
        <v>0</v>
      </c>
    </row>
    <row r="19" spans="1:5" x14ac:dyDescent="0.25">
      <c r="B19" s="19" t="s">
        <v>123</v>
      </c>
      <c r="C19">
        <v>1E-3</v>
      </c>
      <c r="E19">
        <f>IF(LEFT(NBC_Bank_Accounts[[#This Row],[Balance]],1)&lt;&gt;"$",0,VALUE(LEFT(NBC_Bank_Accounts[[#This Row],[Balance]],FIND(" ",NBC_Bank_Accounts[[#This Row],[Balance]])-1)))</f>
        <v>5000</v>
      </c>
    </row>
    <row r="20" spans="1:5" x14ac:dyDescent="0.25">
      <c r="B20" s="19" t="s">
        <v>130</v>
      </c>
      <c r="C20">
        <v>1E-3</v>
      </c>
      <c r="E20">
        <f>IF(LEFT(NBC_Bank_Accounts[[#This Row],[Balance]],1)&lt;&gt;"$",0,VALUE(LEFT(NBC_Bank_Accounts[[#This Row],[Balance]],FIND(" ",NBC_Bank_Accounts[[#This Row],[Balance]])-1)))</f>
        <v>25000</v>
      </c>
    </row>
    <row r="21" spans="1:5" x14ac:dyDescent="0.25">
      <c r="B21" s="19" t="s">
        <v>131</v>
      </c>
      <c r="C21">
        <v>1.5E-3</v>
      </c>
      <c r="E21">
        <f>IF(LEFT(NBC_Bank_Accounts[[#This Row],[Balance]],1)&lt;&gt;"$",0,VALUE(LEFT(NBC_Bank_Accounts[[#This Row],[Balance]],FIND(" ",NBC_Bank_Accounts[[#This Row],[Balance]])-1)))</f>
        <v>60000</v>
      </c>
    </row>
    <row r="22" spans="1:5" x14ac:dyDescent="0.25">
      <c r="B22" s="19" t="s">
        <v>302</v>
      </c>
      <c r="C22">
        <v>2.5000000000000001E-3</v>
      </c>
      <c r="E22">
        <f>IF(LEFT(NBC_Bank_Accounts[[#This Row],[Balance]],1)&lt;&gt;"$",0,VALUE(LEFT(NBC_Bank_Accounts[[#This Row],[Balance]],FIND(" ",NBC_Bank_Accounts[[#This Row],[Balance]])-1)))</f>
        <v>100000</v>
      </c>
    </row>
    <row r="23" spans="1:5" x14ac:dyDescent="0.25">
      <c r="A23" t="s">
        <v>133</v>
      </c>
      <c r="B23" s="19" t="s">
        <v>125</v>
      </c>
      <c r="C23">
        <v>5.0000000000000001E-4</v>
      </c>
      <c r="E23">
        <f>IF(LEFT(NBC_Bank_Accounts[[#This Row],[Balance]],1)&lt;&gt;"$",0,VALUE(LEFT(NBC_Bank_Accounts[[#This Row],[Balance]],FIND(" ",NBC_Bank_Accounts[[#This Row],[Balance]])-1)))</f>
        <v>0</v>
      </c>
    </row>
    <row r="24" spans="1:5" x14ac:dyDescent="0.25">
      <c r="B24" s="19" t="s">
        <v>134</v>
      </c>
      <c r="C24">
        <v>2E-3</v>
      </c>
      <c r="E24">
        <f>IF(LEFT(NBC_Bank_Accounts[[#This Row],[Balance]],1)&lt;&gt;"$",0,VALUE(LEFT(NBC_Bank_Accounts[[#This Row],[Balance]],FIND(" ",NBC_Bank_Accounts[[#This Row],[Balance]])-1)))</f>
        <v>3000</v>
      </c>
    </row>
    <row r="25" spans="1:5" x14ac:dyDescent="0.25">
      <c r="B25" s="19" t="s">
        <v>135</v>
      </c>
      <c r="C25">
        <v>4.0000000000000001E-3</v>
      </c>
      <c r="E25">
        <f>IF(LEFT(NBC_Bank_Accounts[[#This Row],[Balance]],1)&lt;&gt;"$",0,VALUE(LEFT(NBC_Bank_Accounts[[#This Row],[Balance]],FIND(" ",NBC_Bank_Accounts[[#This Row],[Balance]])-1)))</f>
        <v>30000</v>
      </c>
    </row>
    <row r="26" spans="1:5" x14ac:dyDescent="0.25">
      <c r="A26" t="s">
        <v>136</v>
      </c>
      <c r="B26" s="19" t="s">
        <v>137</v>
      </c>
      <c r="C26">
        <v>0.21</v>
      </c>
      <c r="E26">
        <f>IF(LEFT(NBC_Bank_Accounts[[#This Row],[Balance]],1)&lt;&gt;"$",0,VALUE(LEFT(NBC_Bank_Accounts[[#This Row],[Balance]],FIND(" ",NBC_Bank_Accounts[[#This Row],[Balance]])-1)))</f>
        <v>0</v>
      </c>
    </row>
    <row r="27" spans="1:5" x14ac:dyDescent="0.25">
      <c r="B27" s="19" t="s">
        <v>138</v>
      </c>
      <c r="C27">
        <v>0.21</v>
      </c>
      <c r="E27">
        <f>IF(LEFT(NBC_Bank_Accounts[[#This Row],[Balance]],1)&lt;&gt;"$",0,VALUE(LEFT(NBC_Bank_Accounts[[#This Row],[Balance]],FIND(" ",NBC_Bank_Accounts[[#This Row],[Balance]])-1)))</f>
        <v>0</v>
      </c>
    </row>
    <row r="28" spans="1:5" x14ac:dyDescent="0.25">
      <c r="A28" t="s">
        <v>122</v>
      </c>
      <c r="B28" s="19" t="s">
        <v>125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1"/>
  <sheetViews>
    <sheetView workbookViewId="0">
      <selection activeCell="I5" sqref="I5"/>
    </sheetView>
  </sheetViews>
  <sheetFormatPr defaultRowHeight="15" x14ac:dyDescent="0.25"/>
  <cols>
    <col min="1" max="1" width="31" style="43" bestFit="1" customWidth="1"/>
    <col min="2" max="2" width="30"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3" t="s">
        <v>491</v>
      </c>
      <c r="B1" t="s">
        <v>101</v>
      </c>
      <c r="C1" t="s">
        <v>191</v>
      </c>
      <c r="I1" t="s">
        <v>290</v>
      </c>
    </row>
    <row r="2" spans="1:9" x14ac:dyDescent="0.25">
      <c r="B2" s="19" t="s">
        <v>264</v>
      </c>
      <c r="C2">
        <v>5.4999999999999997E-3</v>
      </c>
      <c r="I2" s="43" t="e">
        <f>VALUE(MID(HSBC_Rates[[#This Row],[Daily closing balance]],FIND("$",B2),FIND(" ",B2,FIND("$",B2))-FIND("$",B2)))</f>
        <v>#VALUE!</v>
      </c>
    </row>
    <row r="3" spans="1:9" x14ac:dyDescent="0.25">
      <c r="B3" s="19" t="s">
        <v>265</v>
      </c>
      <c r="C3">
        <v>1.0500000000000001E-2</v>
      </c>
      <c r="I3" s="43">
        <f>VALUE(MID(HSBC_Rates[[#This Row],[Daily closing balance]],FIND("$",B3),FIND(" ",B3,FIND("$",B3))-FIND("$",B3)))</f>
        <v>25000</v>
      </c>
    </row>
    <row r="4" spans="1:9" x14ac:dyDescent="0.25">
      <c r="B4" s="19" t="s">
        <v>266</v>
      </c>
      <c r="C4">
        <v>1.15E-2</v>
      </c>
      <c r="I4" s="43">
        <f>VALUE(MID(HSBC_Rates[[#This Row],[Daily closing balance]],FIND("$",B4),FIND(" ",B4,FIND("$",B4))-FIND("$",B4)))</f>
        <v>50000</v>
      </c>
    </row>
    <row r="5" spans="1:9" x14ac:dyDescent="0.25">
      <c r="B5" s="19" t="s">
        <v>267</v>
      </c>
      <c r="C5">
        <v>1.15E-2</v>
      </c>
      <c r="I5" s="43">
        <f>VALUE(MID(HSBC_Rates[[#This Row],[Daily closing balance]],FIND("$",B5),FIND(" ",B5,FIND("$",B5))-FIND("$",B5)))</f>
        <v>100000</v>
      </c>
    </row>
    <row r="7" spans="1:9" x14ac:dyDescent="0.25">
      <c r="A7" s="43" t="s">
        <v>502</v>
      </c>
      <c r="B7" t="s">
        <v>101</v>
      </c>
      <c r="C7" t="s">
        <v>503</v>
      </c>
      <c r="D7" t="s">
        <v>504</v>
      </c>
      <c r="E7" t="s">
        <v>505</v>
      </c>
      <c r="F7" t="s">
        <v>506</v>
      </c>
      <c r="G7" t="s">
        <v>507</v>
      </c>
    </row>
    <row r="8" spans="1:9" x14ac:dyDescent="0.25">
      <c r="B8" s="19" t="s">
        <v>508</v>
      </c>
      <c r="C8" s="43">
        <v>1E-3</v>
      </c>
      <c r="D8" s="43">
        <v>1E-3</v>
      </c>
      <c r="E8" s="43">
        <v>0</v>
      </c>
      <c r="F8" s="43">
        <v>5.0000000000000001E-4</v>
      </c>
      <c r="G8" s="43">
        <v>0</v>
      </c>
    </row>
    <row r="9" spans="1:9" x14ac:dyDescent="0.25">
      <c r="B9" s="19" t="s">
        <v>265</v>
      </c>
      <c r="C9" s="43">
        <v>2E-3</v>
      </c>
      <c r="D9" s="43">
        <v>1E-3</v>
      </c>
      <c r="E9" s="43">
        <v>0</v>
      </c>
      <c r="F9" s="43">
        <v>5.0000000000000001E-4</v>
      </c>
      <c r="G9" s="43">
        <v>0</v>
      </c>
    </row>
    <row r="10" spans="1:9" x14ac:dyDescent="0.25">
      <c r="B10" s="19" t="s">
        <v>266</v>
      </c>
      <c r="C10" s="43">
        <v>2.5000000000000001E-3</v>
      </c>
      <c r="D10" s="43">
        <v>1.5E-3</v>
      </c>
      <c r="E10" s="43">
        <v>0</v>
      </c>
      <c r="F10" s="43">
        <v>5.0000000000000001E-4</v>
      </c>
      <c r="G10" s="43">
        <v>0</v>
      </c>
    </row>
    <row r="11" spans="1:9" x14ac:dyDescent="0.25">
      <c r="B11" s="19" t="s">
        <v>509</v>
      </c>
      <c r="C11" s="43">
        <v>3.0000000000000001E-3</v>
      </c>
      <c r="D11" s="43">
        <v>2E-3</v>
      </c>
      <c r="E11" s="43">
        <v>0</v>
      </c>
      <c r="F11" s="43">
        <v>5.0000000000000001E-4</v>
      </c>
      <c r="G11" s="43">
        <v>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150</v>
      </c>
      <c r="B1" t="s">
        <v>82</v>
      </c>
    </row>
    <row r="2" spans="1:2" x14ac:dyDescent="0.25">
      <c r="A2" s="19" t="s">
        <v>26</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3" bestFit="1" customWidth="1"/>
    <col min="3" max="3" width="77.28515625" style="43" bestFit="1" customWidth="1"/>
    <col min="4" max="5" width="11.140625" style="43"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56</v>
      </c>
      <c r="C1" t="s">
        <v>57</v>
      </c>
      <c r="D1" t="s">
        <v>58</v>
      </c>
      <c r="E1" t="s">
        <v>215</v>
      </c>
    </row>
    <row r="2" spans="1:5" x14ac:dyDescent="0.25">
      <c r="A2" t="s">
        <v>51</v>
      </c>
      <c r="B2" s="19" t="s">
        <v>166</v>
      </c>
      <c r="C2" s="19" t="s">
        <v>167</v>
      </c>
      <c r="D2">
        <v>1.6E-2</v>
      </c>
      <c r="E2">
        <v>1.8499999999999999E-2</v>
      </c>
    </row>
    <row r="3" spans="1:5" x14ac:dyDescent="0.25">
      <c r="A3" t="s">
        <v>168</v>
      </c>
      <c r="B3" s="19" t="s">
        <v>166</v>
      </c>
      <c r="C3" s="19" t="s">
        <v>168</v>
      </c>
      <c r="D3">
        <v>8.5000000000000006E-3</v>
      </c>
      <c r="E3"/>
    </row>
    <row r="4" spans="1:5" x14ac:dyDescent="0.25">
      <c r="A4" t="s">
        <v>169</v>
      </c>
      <c r="B4" s="19" t="s">
        <v>166</v>
      </c>
      <c r="C4" s="19" t="s">
        <v>169</v>
      </c>
      <c r="D4">
        <v>1.2500000000000001E-2</v>
      </c>
      <c r="E4"/>
    </row>
    <row r="5" spans="1:5" x14ac:dyDescent="0.25">
      <c r="A5" t="s">
        <v>170</v>
      </c>
      <c r="B5" s="19" t="s">
        <v>166</v>
      </c>
      <c r="C5" s="19" t="s">
        <v>170</v>
      </c>
      <c r="D5">
        <v>1.2500000000000001E-2</v>
      </c>
      <c r="E5"/>
    </row>
    <row r="6" spans="1:5" x14ac:dyDescent="0.25">
      <c r="A6" t="s">
        <v>171</v>
      </c>
      <c r="B6" s="19" t="s">
        <v>166</v>
      </c>
      <c r="C6" s="19" t="s">
        <v>366</v>
      </c>
      <c r="D6">
        <v>1.5E-3</v>
      </c>
      <c r="E6"/>
    </row>
    <row r="7" spans="1:5" x14ac:dyDescent="0.25">
      <c r="B7" s="19" t="s">
        <v>166</v>
      </c>
      <c r="C7" s="19" t="s">
        <v>367</v>
      </c>
      <c r="D7">
        <v>5.4999999999999997E-3</v>
      </c>
      <c r="E7"/>
    </row>
    <row r="8" spans="1:5" x14ac:dyDescent="0.25">
      <c r="B8" s="19" t="s">
        <v>166</v>
      </c>
      <c r="C8" s="19" t="s">
        <v>368</v>
      </c>
      <c r="D8" s="43">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53</v>
      </c>
      <c r="B1" t="s">
        <v>192</v>
      </c>
      <c r="C1" t="s">
        <v>193</v>
      </c>
    </row>
    <row r="2" spans="1:3" x14ac:dyDescent="0.25">
      <c r="A2">
        <v>2.8500000000000001E-2</v>
      </c>
      <c r="B2" s="19" t="s">
        <v>26</v>
      </c>
      <c r="C2" s="19" t="s">
        <v>194</v>
      </c>
    </row>
    <row r="3" spans="1:3" x14ac:dyDescent="0.25">
      <c r="A3">
        <v>2.8500000000000001E-2</v>
      </c>
      <c r="B3" s="19" t="s">
        <v>195</v>
      </c>
      <c r="C3" s="19" t="s">
        <v>194</v>
      </c>
    </row>
    <row r="4" spans="1:3" x14ac:dyDescent="0.25">
      <c r="A4">
        <v>2.8500000000000001E-2</v>
      </c>
      <c r="B4" s="19" t="s">
        <v>196</v>
      </c>
      <c r="C4" s="19" t="s">
        <v>194</v>
      </c>
    </row>
    <row r="5" spans="1:3" x14ac:dyDescent="0.25">
      <c r="A5">
        <v>2.8500000000000001E-2</v>
      </c>
      <c r="B5" s="19" t="s">
        <v>197</v>
      </c>
      <c r="C5" s="19" t="s">
        <v>198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56</v>
      </c>
      <c r="B1" t="s">
        <v>57</v>
      </c>
      <c r="C1" t="s">
        <v>58</v>
      </c>
      <c r="D1" t="s">
        <v>215</v>
      </c>
      <c r="E1" t="s">
        <v>216</v>
      </c>
      <c r="F1" t="s">
        <v>217</v>
      </c>
    </row>
    <row r="2" spans="1:6" x14ac:dyDescent="0.25">
      <c r="A2" s="19" t="s">
        <v>218</v>
      </c>
      <c r="B2" s="19" t="s">
        <v>218</v>
      </c>
      <c r="C2" s="19" t="s">
        <v>219</v>
      </c>
      <c r="D2" s="19" t="s">
        <v>220</v>
      </c>
      <c r="E2" s="19" t="s">
        <v>221</v>
      </c>
      <c r="F2" s="19" t="s">
        <v>222</v>
      </c>
    </row>
    <row r="3" spans="1:6" x14ac:dyDescent="0.25">
      <c r="A3" s="19" t="s">
        <v>223</v>
      </c>
      <c r="B3" s="19" t="s">
        <v>223</v>
      </c>
      <c r="C3" s="19" t="s">
        <v>223</v>
      </c>
      <c r="D3" s="19" t="s">
        <v>223</v>
      </c>
      <c r="E3" s="19" t="s">
        <v>223</v>
      </c>
      <c r="F3" s="19" t="s">
        <v>223</v>
      </c>
    </row>
    <row r="4" spans="1:6" x14ac:dyDescent="0.25">
      <c r="A4" s="19" t="s">
        <v>224</v>
      </c>
      <c r="B4" s="19" t="s">
        <v>224</v>
      </c>
      <c r="C4" s="19" t="s">
        <v>225</v>
      </c>
      <c r="D4" s="19" t="s">
        <v>230</v>
      </c>
      <c r="E4" s="19" t="s">
        <v>226</v>
      </c>
      <c r="F4" s="19" t="s">
        <v>227</v>
      </c>
    </row>
    <row r="5" spans="1:6" x14ac:dyDescent="0.25">
      <c r="A5" s="19" t="s">
        <v>228</v>
      </c>
      <c r="B5" s="19" t="s">
        <v>228</v>
      </c>
      <c r="C5" s="19" t="s">
        <v>229</v>
      </c>
      <c r="D5" s="19" t="s">
        <v>369</v>
      </c>
      <c r="E5" s="19" t="s">
        <v>226</v>
      </c>
      <c r="F5" s="19" t="s">
        <v>227</v>
      </c>
    </row>
    <row r="6" spans="1:6" x14ac:dyDescent="0.25">
      <c r="A6" s="19" t="s">
        <v>231</v>
      </c>
      <c r="B6" s="19" t="s">
        <v>231</v>
      </c>
      <c r="C6" s="19" t="s">
        <v>232</v>
      </c>
      <c r="D6" s="19" t="s">
        <v>230</v>
      </c>
      <c r="E6" s="19" t="s">
        <v>226</v>
      </c>
      <c r="F6" s="19" t="s">
        <v>233</v>
      </c>
    </row>
    <row r="7" spans="1:6" x14ac:dyDescent="0.25">
      <c r="A7" s="19" t="s">
        <v>234</v>
      </c>
      <c r="B7" s="19" t="s">
        <v>234</v>
      </c>
      <c r="C7" s="19" t="s">
        <v>235</v>
      </c>
      <c r="D7" s="19" t="s">
        <v>369</v>
      </c>
      <c r="E7" s="19" t="s">
        <v>226</v>
      </c>
      <c r="F7" s="19" t="s">
        <v>233</v>
      </c>
    </row>
    <row r="8" spans="1:6" x14ac:dyDescent="0.25">
      <c r="A8" s="19" t="s">
        <v>236</v>
      </c>
      <c r="B8" s="19" t="s">
        <v>236</v>
      </c>
      <c r="C8" s="19" t="s">
        <v>237</v>
      </c>
      <c r="D8" s="19" t="s">
        <v>230</v>
      </c>
      <c r="E8" s="19" t="s">
        <v>226</v>
      </c>
      <c r="F8" s="19" t="s">
        <v>233</v>
      </c>
    </row>
    <row r="9" spans="1:6" x14ac:dyDescent="0.25">
      <c r="A9" s="19" t="s">
        <v>238</v>
      </c>
      <c r="B9" s="19" t="s">
        <v>238</v>
      </c>
      <c r="C9" s="19" t="s">
        <v>239</v>
      </c>
      <c r="D9" s="19" t="s">
        <v>369</v>
      </c>
      <c r="E9" s="19" t="s">
        <v>226</v>
      </c>
      <c r="F9" s="19" t="s">
        <v>233</v>
      </c>
    </row>
    <row r="10" spans="1:6" x14ac:dyDescent="0.25">
      <c r="A10" s="19" t="s">
        <v>240</v>
      </c>
      <c r="B10" s="19" t="s">
        <v>240</v>
      </c>
      <c r="C10" s="19" t="s">
        <v>240</v>
      </c>
      <c r="D10" s="19" t="s">
        <v>240</v>
      </c>
      <c r="E10" s="19" t="s">
        <v>240</v>
      </c>
      <c r="F10" s="19" t="s">
        <v>240</v>
      </c>
    </row>
    <row r="11" spans="1:6" x14ac:dyDescent="0.25">
      <c r="A11" s="19" t="s">
        <v>241</v>
      </c>
      <c r="B11" s="19" t="s">
        <v>241</v>
      </c>
      <c r="C11" s="19" t="s">
        <v>242</v>
      </c>
      <c r="D11" s="19" t="s">
        <v>370</v>
      </c>
      <c r="E11" s="19" t="s">
        <v>226</v>
      </c>
      <c r="F11" s="19" t="s">
        <v>227</v>
      </c>
    </row>
    <row r="12" spans="1:6" x14ac:dyDescent="0.25">
      <c r="A12" s="19" t="s">
        <v>243</v>
      </c>
      <c r="B12" s="19" t="s">
        <v>243</v>
      </c>
      <c r="C12" s="19" t="s">
        <v>244</v>
      </c>
      <c r="D12" s="19" t="s">
        <v>371</v>
      </c>
      <c r="E12" s="19" t="s">
        <v>226</v>
      </c>
      <c r="F12" s="19" t="s">
        <v>227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53</v>
      </c>
    </row>
    <row r="2" spans="1:2" x14ac:dyDescent="0.25">
      <c r="A2" t="s">
        <v>29</v>
      </c>
      <c r="B2" s="32">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95</v>
      </c>
    </row>
    <row r="2" spans="1:4" x14ac:dyDescent="0.25">
      <c r="B2" t="s">
        <v>96</v>
      </c>
      <c r="C2" t="s">
        <v>97</v>
      </c>
      <c r="D2" t="s">
        <v>98</v>
      </c>
    </row>
    <row r="3" spans="1:4" x14ac:dyDescent="0.25">
      <c r="A3" t="s">
        <v>99</v>
      </c>
      <c r="B3" t="s">
        <v>456</v>
      </c>
      <c r="C3" t="s">
        <v>457</v>
      </c>
      <c r="D3" t="s">
        <v>100</v>
      </c>
    </row>
    <row r="4" spans="1:4" x14ac:dyDescent="0.25">
      <c r="B4" t="s">
        <v>101</v>
      </c>
      <c r="C4" t="s">
        <v>101</v>
      </c>
      <c r="D4" t="s">
        <v>101</v>
      </c>
    </row>
    <row r="5" spans="1:4" x14ac:dyDescent="0.25">
      <c r="B5" t="s">
        <v>102</v>
      </c>
      <c r="C5" t="s">
        <v>102</v>
      </c>
      <c r="D5" t="s">
        <v>102</v>
      </c>
    </row>
    <row r="6" spans="1:4" x14ac:dyDescent="0.25">
      <c r="A6" t="s">
        <v>103</v>
      </c>
      <c r="B6" t="s">
        <v>104</v>
      </c>
      <c r="C6" t="s">
        <v>100</v>
      </c>
      <c r="D6" t="s">
        <v>105</v>
      </c>
    </row>
    <row r="7" spans="1:4" x14ac:dyDescent="0.25">
      <c r="B7" t="s">
        <v>101</v>
      </c>
      <c r="C7" t="s">
        <v>101</v>
      </c>
      <c r="D7" t="s">
        <v>101</v>
      </c>
    </row>
    <row r="8" spans="1:4" x14ac:dyDescent="0.25">
      <c r="B8" t="s">
        <v>102</v>
      </c>
      <c r="C8" t="s">
        <v>102</v>
      </c>
      <c r="D8" t="s">
        <v>102</v>
      </c>
    </row>
    <row r="11" spans="1:4" s="1" customFormat="1" x14ac:dyDescent="0.25">
      <c r="A11" s="1" t="s">
        <v>106</v>
      </c>
    </row>
    <row r="12" spans="1:4" x14ac:dyDescent="0.25">
      <c r="B12" t="s">
        <v>390</v>
      </c>
    </row>
    <row r="19" spans="1:2" s="1" customFormat="1" x14ac:dyDescent="0.25">
      <c r="A19" s="1" t="s">
        <v>55</v>
      </c>
    </row>
    <row r="20" spans="1:2" x14ac:dyDescent="0.25">
      <c r="B20" t="s">
        <v>390</v>
      </c>
    </row>
    <row r="35" spans="1:2" s="1" customFormat="1" x14ac:dyDescent="0.25">
      <c r="A35" s="1" t="s">
        <v>107</v>
      </c>
    </row>
    <row r="37" spans="1:2" x14ac:dyDescent="0.25">
      <c r="A37" t="s">
        <v>108</v>
      </c>
      <c r="B37" t="s">
        <v>390</v>
      </c>
    </row>
    <row r="44" spans="1:2" s="1" customFormat="1" x14ac:dyDescent="0.25">
      <c r="A44" s="1" t="s">
        <v>109</v>
      </c>
    </row>
    <row r="45" spans="1:2" x14ac:dyDescent="0.25">
      <c r="A45" t="s">
        <v>110</v>
      </c>
      <c r="B45" t="s">
        <v>390</v>
      </c>
    </row>
    <row r="48" spans="1:2" x14ac:dyDescent="0.25">
      <c r="A48" t="s">
        <v>111</v>
      </c>
      <c r="B48" t="s">
        <v>390</v>
      </c>
    </row>
    <row r="55" spans="1:2" s="1" customFormat="1" x14ac:dyDescent="0.25">
      <c r="A55" s="1" t="s">
        <v>112</v>
      </c>
    </row>
    <row r="56" spans="1:2" x14ac:dyDescent="0.25">
      <c r="B56" t="s">
        <v>390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256</v>
      </c>
      <c r="B1" t="s">
        <v>428</v>
      </c>
      <c r="C1" t="s">
        <v>290</v>
      </c>
    </row>
    <row r="2" spans="1:3" x14ac:dyDescent="0.25">
      <c r="A2" s="18">
        <v>41151</v>
      </c>
      <c r="B2" s="43">
        <v>1.35E-2</v>
      </c>
    </row>
    <row r="3" spans="1:3" x14ac:dyDescent="0.25">
      <c r="A3" s="18">
        <v>41213</v>
      </c>
      <c r="B3" s="43">
        <v>1.4E-2</v>
      </c>
    </row>
    <row r="4" spans="1:3" x14ac:dyDescent="0.25">
      <c r="A4" s="18">
        <v>42212</v>
      </c>
      <c r="B4" s="43">
        <v>1.2999999999999999E-2</v>
      </c>
    </row>
    <row r="5" spans="1:3" x14ac:dyDescent="0.25">
      <c r="A5" s="18">
        <v>42397</v>
      </c>
      <c r="B5" s="43">
        <v>1.2E-2</v>
      </c>
    </row>
    <row r="6" spans="1:3" x14ac:dyDescent="0.25">
      <c r="A6" s="18">
        <v>42402</v>
      </c>
      <c r="B6" s="43">
        <v>1.0500000000000001E-2</v>
      </c>
    </row>
    <row r="7" spans="1:3" x14ac:dyDescent="0.25">
      <c r="A7" s="18">
        <v>42649</v>
      </c>
      <c r="B7" s="43">
        <v>8.9999999999999993E-3</v>
      </c>
    </row>
    <row r="8" spans="1:3" x14ac:dyDescent="0.25">
      <c r="A8" s="18">
        <v>42850</v>
      </c>
      <c r="B8" s="43">
        <v>0.01</v>
      </c>
    </row>
    <row r="9" spans="1:3" x14ac:dyDescent="0.25">
      <c r="A9" s="18">
        <v>42886</v>
      </c>
      <c r="B9" s="43">
        <v>1.4999999999999999E-2</v>
      </c>
    </row>
    <row r="10" spans="1:3" x14ac:dyDescent="0.25">
      <c r="A10" s="18">
        <v>42978</v>
      </c>
      <c r="B10" s="43">
        <v>0.01</v>
      </c>
    </row>
    <row r="11" spans="1:3" x14ac:dyDescent="0.25">
      <c r="A11" s="18">
        <v>43125</v>
      </c>
      <c r="B11" s="43">
        <v>1.15E-2</v>
      </c>
    </row>
    <row r="12" spans="1:3" x14ac:dyDescent="0.25">
      <c r="A12" s="18">
        <v>43301</v>
      </c>
      <c r="B12" s="43">
        <v>1.35E-2</v>
      </c>
    </row>
    <row r="13" spans="1:3" x14ac:dyDescent="0.25">
      <c r="A13" s="18">
        <v>43410</v>
      </c>
      <c r="B13" s="43">
        <v>1.6E-2</v>
      </c>
      <c r="C13">
        <v>1000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RBC_Rates</vt:lpstr>
      <vt:lpstr>BMO_rates</vt:lpstr>
      <vt:lpstr>BNS_Rates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Castillo, Catalina</cp:lastModifiedBy>
  <cp:revision/>
  <cp:lastPrinted>2019-07-02T14:04:23Z</cp:lastPrinted>
  <dcterms:created xsi:type="dcterms:W3CDTF">2015-06-05T18:17:20Z</dcterms:created>
  <dcterms:modified xsi:type="dcterms:W3CDTF">2019-07-18T19:22:47Z</dcterms:modified>
  <cp:category/>
  <cp:contentStatus/>
</cp:coreProperties>
</file>