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xl/queryTables/queryTable18.xml" ContentType="application/vnd.openxmlformats-officedocument.spreadsheetml.queryTable+xml"/>
  <Override PartName="/xl/tables/table20.xml" ContentType="application/vnd.openxmlformats-officedocument.spreadsheetml.table+xml"/>
  <Override PartName="/xl/queryTables/queryTable19.xml" ContentType="application/vnd.openxmlformats-officedocument.spreadsheetml.queryTable+xml"/>
  <Override PartName="/xl/tables/table21.xml" ContentType="application/vnd.openxmlformats-officedocument.spreadsheetml.table+xml"/>
  <Override PartName="/xl/queryTables/queryTable20.xml" ContentType="application/vnd.openxmlformats-officedocument.spreadsheetml.queryTable+xml"/>
  <Override PartName="/xl/tables/table22.xml" ContentType="application/vnd.openxmlformats-officedocument.spreadsheetml.table+xml"/>
  <Override PartName="/xl/queryTables/queryTable21.xml" ContentType="application/vnd.openxmlformats-officedocument.spreadsheetml.queryTable+xml"/>
  <Override PartName="/xl/tables/table23.xml" ContentType="application/vnd.openxmlformats-officedocument.spreadsheetml.table+xml"/>
  <Override PartName="/xl/queryTables/queryTable22.xml" ContentType="application/vnd.openxmlformats-officedocument.spreadsheetml.queryTable+xml"/>
  <Override PartName="/xl/tables/table24.xml" ContentType="application/vnd.openxmlformats-officedocument.spreadsheetml.table+xml"/>
  <Override PartName="/xl/queryTables/queryTable23.xml" ContentType="application/vnd.openxmlformats-officedocument.spreadsheetml.queryTable+xml"/>
  <Override PartName="/xl/tables/table25.xml" ContentType="application/vnd.openxmlformats-officedocument.spreadsheetml.table+xml"/>
  <Override PartName="/xl/queryTables/queryTable24.xml" ContentType="application/vnd.openxmlformats-officedocument.spreadsheetml.queryTable+xml"/>
  <Override PartName="/xl/tables/table26.xml" ContentType="application/vnd.openxmlformats-officedocument.spreadsheetml.table+xml"/>
  <Override PartName="/xl/queryTables/queryTable25.xml" ContentType="application/vnd.openxmlformats-officedocument.spreadsheetml.queryTable+xml"/>
  <Override PartName="/xl/tables/table27.xml" ContentType="application/vnd.openxmlformats-officedocument.spreadsheetml.table+xml"/>
  <Override PartName="/xl/queryTables/queryTable2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C:\Users\Malixi\Documents\Competitive Tracker\rate_scanner_v2.0.0\"/>
    </mc:Choice>
  </mc:AlternateContent>
  <xr:revisionPtr revIDLastSave="0" documentId="13_ncr:1_{3D810AC9-867D-47AB-B556-86CBCAA9162E}" xr6:coauthVersionLast="41" xr6:coauthVersionMax="41" xr10:uidLastSave="{00000000-0000-0000-0000-000000000000}"/>
  <bookViews>
    <workbookView xWindow="28680" yWindow="-120" windowWidth="29040" windowHeight="15840" tabRatio="931" xr2:uid="{00000000-000D-0000-FFFF-FFFF00000000}"/>
  </bookViews>
  <sheets>
    <sheet name="Menu" sheetId="29" r:id="rId1"/>
    <sheet name="Retail_Report" sheetId="24" r:id="rId2"/>
    <sheet name="US$_Report" sheetId="25" r:id="rId3"/>
    <sheet name="Broker_Report" sheetId="26" r:id="rId4"/>
    <sheet name="Dev Change Log" sheetId="38" r:id="rId5"/>
    <sheet name="CIBC_rates" sheetId="30" r:id="rId6"/>
    <sheet name="TD_rates" sheetId="12" r:id="rId7"/>
    <sheet name="BMO_rates" sheetId="27" r:id="rId8"/>
    <sheet name="BNS_Rates" sheetId="60" r:id="rId9"/>
    <sheet name="RBC_Rates" sheetId="41" r:id="rId10"/>
    <sheet name="Simplii_rates" sheetId="20" r:id="rId11"/>
    <sheet name="Manulife_rates" sheetId="23" r:id="rId12"/>
    <sheet name="NBC_rates" sheetId="22" r:id="rId13"/>
    <sheet name="HSBC_rates" sheetId="32" r:id="rId14"/>
    <sheet name="B2B_rates" sheetId="28" r:id="rId15"/>
    <sheet name="Meridian_rates" sheetId="33" r:id="rId16"/>
    <sheet name="Altamira_rates" sheetId="37" r:id="rId17"/>
    <sheet name="HomeTrust_rates" sheetId="59" r:id="rId18"/>
    <sheet name="EQ_rates" sheetId="39" r:id="rId19"/>
    <sheet name="ICICI_rates" sheetId="21" r:id="rId20"/>
    <sheet name="CT_rates" sheetId="5" r:id="rId21"/>
  </sheets>
  <functionGroups builtInGroupCount="19"/>
  <definedNames>
    <definedName name="ExternalData_1" localSheetId="16" hidden="1">Altamira_rates!$A$1:$F$12</definedName>
    <definedName name="ExternalData_1" localSheetId="14" hidden="1">B2B_rates!$B$1:$E$8</definedName>
    <definedName name="ExternalData_1" localSheetId="8" hidden="1">BNS_Rates!$B$1:$E$36</definedName>
    <definedName name="ExternalData_1" localSheetId="20" hidden="1">CT_rates!$A$1:$B$2</definedName>
    <definedName name="ExternalData_1" localSheetId="18" hidden="1">EQ_rates!$B$1:$B$2</definedName>
    <definedName name="ExternalData_1" localSheetId="17" hidden="1">HomeTrust_rates!$A$1:$B$13</definedName>
    <definedName name="ExternalData_1" localSheetId="13" hidden="1">HSBC_rates!$B$1:$C$5</definedName>
    <definedName name="ExternalData_1" localSheetId="19" hidden="1">ICICI_rates!$B$2:$D$9</definedName>
    <definedName name="ExternalData_1" localSheetId="15" hidden="1">Meridian_rates!$A$1:$C$5</definedName>
    <definedName name="ExternalData_1" localSheetId="12" hidden="1">NBC_rates!$B$1:$C$28</definedName>
    <definedName name="ExternalData_1" localSheetId="10" hidden="1">Simplii_rates!$B$10:$C$11</definedName>
    <definedName name="ExternalData_1" localSheetId="6" hidden="1">TD_rates!$B$2:$C$26</definedName>
    <definedName name="ExternalData_12" localSheetId="9" hidden="1">RBC_Rates!$B$1:$D$7</definedName>
    <definedName name="ExternalData_12" localSheetId="6" hidden="1">TD_rates!$B$39:$F$44</definedName>
    <definedName name="ExternalData_13" localSheetId="9" hidden="1">RBC_Rates!$B$12:$C$168</definedName>
    <definedName name="ExternalData_14" localSheetId="6" hidden="1">TD_rates!$B$29:$C$35</definedName>
    <definedName name="ExternalData_15" localSheetId="5" hidden="1">CIBC_rates!$B$20:$C$22</definedName>
    <definedName name="ExternalData_16" localSheetId="5" hidden="1">CIBC_rates!$B$24:$B$25</definedName>
    <definedName name="ExternalData_2" localSheetId="5" hidden="1">CIBC_rates!$B$1:$C$13</definedName>
    <definedName name="ExternalData_2" localSheetId="13" hidden="1">HSBC_rates!$B$9:$G$13</definedName>
    <definedName name="ExternalData_2" localSheetId="11" hidden="1">Manulife_rates!$B$1:$C$4</definedName>
    <definedName name="ExternalData_4" localSheetId="11" hidden="1">Manulife_rates!$B$16:$B$17</definedName>
    <definedName name="ExternalData_5" localSheetId="11" hidden="1">Manulife_rates!$B$6:$C$13</definedName>
    <definedName name="ExternalData_6" localSheetId="11" hidden="1">Manulife_rates!$C$16:$C$17</definedName>
    <definedName name="ExternalData_7" localSheetId="8" hidden="1">BNS_Rates!$B$39:$D$41</definedName>
    <definedName name="Query___BMO___SBA_SSA_PRSA" localSheetId="7" hidden="1">BMO_rates!$B$1:$C$14</definedName>
    <definedName name="Query___Column1" localSheetId="18" hidden="1">EQ_rates!#REF!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14" i="41" l="1"/>
  <c r="E15" i="41"/>
  <c r="E16" i="41"/>
  <c r="E17" i="41"/>
  <c r="E18" i="41"/>
  <c r="E19" i="41"/>
  <c r="E20" i="41"/>
  <c r="E21" i="41"/>
  <c r="E22" i="41"/>
  <c r="E23" i="41"/>
  <c r="E24" i="41"/>
  <c r="E25" i="41"/>
  <c r="E26" i="41"/>
  <c r="E27"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82" i="41"/>
  <c r="E83" i="41"/>
  <c r="E84" i="41"/>
  <c r="E85" i="41"/>
  <c r="E86" i="41"/>
  <c r="E87" i="41"/>
  <c r="E88" i="41"/>
  <c r="E89" i="41"/>
  <c r="E90" i="41"/>
  <c r="E91" i="41"/>
  <c r="E92" i="41"/>
  <c r="E93" i="41"/>
  <c r="E94" i="41"/>
  <c r="E95" i="41"/>
  <c r="E96" i="41"/>
  <c r="E97" i="41"/>
  <c r="E98" i="41"/>
  <c r="E99" i="41"/>
  <c r="E100" i="41"/>
  <c r="E101" i="41"/>
  <c r="E102" i="41"/>
  <c r="E103" i="41"/>
  <c r="E104" i="41"/>
  <c r="E105" i="41"/>
  <c r="E106" i="41"/>
  <c r="E107" i="41"/>
  <c r="E108" i="41"/>
  <c r="E109" i="41"/>
  <c r="E110" i="41"/>
  <c r="E111" i="41"/>
  <c r="E112" i="41"/>
  <c r="E113" i="41"/>
  <c r="E114" i="41"/>
  <c r="E115" i="41"/>
  <c r="E116" i="41"/>
  <c r="E117" i="41"/>
  <c r="E118" i="41"/>
  <c r="E119" i="41"/>
  <c r="E120" i="41"/>
  <c r="E121" i="41"/>
  <c r="E122" i="41"/>
  <c r="E123" i="41"/>
  <c r="E124" i="41"/>
  <c r="E125" i="41"/>
  <c r="E126" i="41"/>
  <c r="E127" i="41"/>
  <c r="E128" i="41"/>
  <c r="E129" i="41"/>
  <c r="E130" i="41"/>
  <c r="E131" i="41"/>
  <c r="E132" i="41"/>
  <c r="E133" i="41"/>
  <c r="E134" i="41"/>
  <c r="E135" i="41"/>
  <c r="E136" i="41"/>
  <c r="E137" i="41"/>
  <c r="E138" i="41"/>
  <c r="E139" i="41"/>
  <c r="E140" i="41"/>
  <c r="E141" i="41"/>
  <c r="E142" i="41"/>
  <c r="E143" i="41"/>
  <c r="E144" i="41"/>
  <c r="E145" i="41"/>
  <c r="E146" i="41"/>
  <c r="E147" i="41"/>
  <c r="E148" i="41"/>
  <c r="E149" i="41"/>
  <c r="E150" i="41"/>
  <c r="E151" i="41"/>
  <c r="E152" i="41"/>
  <c r="E153" i="41"/>
  <c r="E154" i="41"/>
  <c r="E155" i="41"/>
  <c r="E156" i="41"/>
  <c r="E157" i="41"/>
  <c r="E158" i="41"/>
  <c r="E159" i="41"/>
  <c r="E160" i="41"/>
  <c r="E161" i="41"/>
  <c r="E162" i="41"/>
  <c r="E163" i="41"/>
  <c r="E164" i="41"/>
  <c r="E165" i="41"/>
  <c r="E166" i="41"/>
  <c r="E167" i="41"/>
  <c r="E168" i="41"/>
  <c r="E13" i="41"/>
  <c r="O15" i="24" l="1"/>
  <c r="O19" i="24"/>
  <c r="O16" i="24"/>
  <c r="O13" i="24"/>
  <c r="O17" i="24"/>
  <c r="O21" i="24"/>
  <c r="O14" i="24"/>
  <c r="O18" i="24"/>
  <c r="O11" i="24"/>
  <c r="O12" i="24"/>
  <c r="O20" i="24"/>
  <c r="P13" i="24"/>
  <c r="P17" i="24"/>
  <c r="P21" i="24"/>
  <c r="P18" i="24"/>
  <c r="P11" i="24"/>
  <c r="P15" i="24"/>
  <c r="P19" i="24"/>
  <c r="P12" i="24"/>
  <c r="P16" i="24"/>
  <c r="P20" i="24"/>
  <c r="P14" i="24"/>
  <c r="G11" i="25"/>
  <c r="G15" i="25"/>
  <c r="G19" i="25"/>
  <c r="G20" i="25"/>
  <c r="G12" i="25"/>
  <c r="G13" i="25"/>
  <c r="G17" i="25"/>
  <c r="G21" i="25"/>
  <c r="G14" i="25"/>
  <c r="G18" i="25"/>
  <c r="G16" i="25"/>
  <c r="N12" i="24"/>
  <c r="N16" i="24"/>
  <c r="N20" i="24"/>
  <c r="N17" i="24"/>
  <c r="N14" i="24"/>
  <c r="N18" i="24"/>
  <c r="N11" i="24"/>
  <c r="N13" i="24"/>
  <c r="N15" i="24"/>
  <c r="N19" i="24"/>
  <c r="N21" i="24"/>
  <c r="F13" i="25"/>
  <c r="F17" i="25"/>
  <c r="F21" i="25"/>
  <c r="F14" i="25"/>
  <c r="F11" i="25"/>
  <c r="F15" i="25"/>
  <c r="F19" i="25"/>
  <c r="F12" i="25"/>
  <c r="F16" i="25"/>
  <c r="F20" i="25"/>
  <c r="F18" i="25"/>
  <c r="N12" i="25"/>
  <c r="N13" i="25"/>
  <c r="N14" i="25"/>
  <c r="N15" i="25"/>
  <c r="N16" i="25"/>
  <c r="N17" i="25"/>
  <c r="N18" i="25"/>
  <c r="N19" i="25"/>
  <c r="N20" i="25"/>
  <c r="N21" i="25"/>
  <c r="N11" i="25"/>
  <c r="I3" i="32" l="1"/>
  <c r="I4" i="32"/>
  <c r="I5" i="32"/>
  <c r="I2" i="32"/>
  <c r="I11" i="32"/>
  <c r="I12" i="32"/>
  <c r="I13" i="32"/>
  <c r="I10" i="32"/>
  <c r="P12" i="25" l="1"/>
  <c r="V13" i="24"/>
  <c r="V20" i="24"/>
  <c r="V16" i="24"/>
  <c r="V12" i="24"/>
  <c r="P19" i="25"/>
  <c r="P15" i="25"/>
  <c r="V19" i="24"/>
  <c r="V15" i="24"/>
  <c r="P11" i="25"/>
  <c r="P18" i="25"/>
  <c r="P14" i="25"/>
  <c r="V11" i="24"/>
  <c r="V18" i="24"/>
  <c r="V14" i="24"/>
  <c r="P21" i="25"/>
  <c r="P17" i="25"/>
  <c r="P13" i="25"/>
  <c r="V21" i="24"/>
  <c r="V17" i="24"/>
  <c r="P20" i="25"/>
  <c r="P16" i="25"/>
  <c r="M21" i="26"/>
  <c r="M20" i="26"/>
  <c r="M19" i="26"/>
  <c r="M18" i="26"/>
  <c r="M17" i="26"/>
  <c r="M16" i="26"/>
  <c r="M15" i="26"/>
  <c r="M14" i="26"/>
  <c r="M13" i="26"/>
  <c r="M12" i="26"/>
  <c r="M11" i="26"/>
  <c r="C20" i="25" l="1"/>
  <c r="E20" i="25"/>
  <c r="H20" i="25"/>
  <c r="J20" i="25"/>
  <c r="M20" i="25"/>
  <c r="O20" i="25"/>
  <c r="Q20" i="25"/>
  <c r="R20" i="25"/>
  <c r="C12" i="25"/>
  <c r="E12" i="25"/>
  <c r="H12" i="25"/>
  <c r="J12" i="25"/>
  <c r="M12" i="25"/>
  <c r="O12" i="25"/>
  <c r="Q12" i="25"/>
  <c r="R12" i="25"/>
  <c r="H19" i="25"/>
  <c r="H18" i="25"/>
  <c r="H17" i="25"/>
  <c r="H16" i="25"/>
  <c r="H15" i="25"/>
  <c r="H14" i="25"/>
  <c r="H13" i="25"/>
  <c r="N12" i="26" l="1"/>
  <c r="L12" i="26"/>
  <c r="K12" i="26"/>
  <c r="J12" i="26"/>
  <c r="I12" i="26"/>
  <c r="G12" i="26"/>
  <c r="F12" i="26"/>
  <c r="E12" i="26"/>
  <c r="D12" i="26"/>
  <c r="C12" i="26"/>
  <c r="B12" i="26"/>
  <c r="B20" i="26"/>
  <c r="C20" i="26"/>
  <c r="D20" i="26"/>
  <c r="E20" i="26"/>
  <c r="F20" i="26"/>
  <c r="G20" i="26"/>
  <c r="I20" i="26"/>
  <c r="J20" i="26"/>
  <c r="K20" i="26"/>
  <c r="L20" i="26"/>
  <c r="N20" i="26"/>
  <c r="K13" i="26"/>
  <c r="K14" i="26"/>
  <c r="K15" i="26"/>
  <c r="K16" i="26"/>
  <c r="K17" i="26"/>
  <c r="K18" i="26"/>
  <c r="K19" i="26"/>
  <c r="K21" i="26"/>
  <c r="K11" i="26"/>
  <c r="O13" i="25"/>
  <c r="O14" i="25"/>
  <c r="O15" i="25"/>
  <c r="O16" i="25"/>
  <c r="O17" i="25"/>
  <c r="O18" i="25"/>
  <c r="O19" i="25"/>
  <c r="O21" i="25"/>
  <c r="O11" i="25"/>
  <c r="U12" i="24"/>
  <c r="U13" i="24"/>
  <c r="U14" i="24"/>
  <c r="U15" i="24"/>
  <c r="U16" i="24"/>
  <c r="U17" i="24"/>
  <c r="U18" i="24"/>
  <c r="U19" i="24"/>
  <c r="U20" i="24"/>
  <c r="U21" i="24"/>
  <c r="U11" i="24"/>
  <c r="K12" i="24" l="1"/>
  <c r="K13" i="24"/>
  <c r="K14" i="24"/>
  <c r="K15" i="24"/>
  <c r="K16" i="24"/>
  <c r="K17" i="24"/>
  <c r="K18" i="24"/>
  <c r="K19" i="24"/>
  <c r="K20" i="24"/>
  <c r="K21" i="24"/>
  <c r="K11" i="24"/>
  <c r="G22" i="60" l="1"/>
  <c r="G23" i="60"/>
  <c r="G24" i="60"/>
  <c r="G25" i="60"/>
  <c r="G26" i="60"/>
  <c r="G27" i="60"/>
  <c r="G28" i="60"/>
  <c r="G29" i="60"/>
  <c r="G30" i="60"/>
  <c r="G31" i="60"/>
  <c r="G3" i="60"/>
  <c r="G4" i="60"/>
  <c r="G5" i="60"/>
  <c r="G6" i="60"/>
  <c r="G7" i="60"/>
  <c r="G8" i="60"/>
  <c r="G9" i="60"/>
  <c r="G10" i="60"/>
  <c r="G11" i="60"/>
  <c r="G12" i="60"/>
  <c r="G13" i="60"/>
  <c r="G14" i="60"/>
  <c r="G15" i="60"/>
  <c r="G16" i="60"/>
  <c r="G17" i="60"/>
  <c r="G18" i="60"/>
  <c r="G19" i="60"/>
  <c r="G20" i="60"/>
  <c r="G21" i="60"/>
  <c r="G2" i="60"/>
  <c r="K20" i="25" l="1"/>
  <c r="K12" i="25"/>
  <c r="K14" i="25"/>
  <c r="K18" i="25"/>
  <c r="K15" i="25"/>
  <c r="K19" i="25"/>
  <c r="K16" i="25"/>
  <c r="K21" i="25"/>
  <c r="K13" i="25"/>
  <c r="K17" i="25"/>
  <c r="K11" i="25"/>
  <c r="L12" i="24"/>
  <c r="L16" i="24"/>
  <c r="L20" i="24"/>
  <c r="L13" i="24"/>
  <c r="L17" i="24"/>
  <c r="L21" i="24"/>
  <c r="L14" i="24"/>
  <c r="L18" i="24"/>
  <c r="L11" i="24"/>
  <c r="L15" i="24"/>
  <c r="L19" i="24"/>
  <c r="M13" i="24"/>
  <c r="M17" i="24"/>
  <c r="M21" i="24"/>
  <c r="M14" i="24"/>
  <c r="M18" i="24"/>
  <c r="M11" i="24"/>
  <c r="M15" i="24"/>
  <c r="M19" i="24"/>
  <c r="M12" i="24"/>
  <c r="M16" i="24"/>
  <c r="M20" i="24"/>
  <c r="C13" i="26"/>
  <c r="C14" i="26"/>
  <c r="C15" i="26"/>
  <c r="C16" i="26"/>
  <c r="C17" i="26"/>
  <c r="C18" i="26"/>
  <c r="C19" i="26"/>
  <c r="C21" i="26"/>
  <c r="C11" i="26"/>
  <c r="C13" i="25"/>
  <c r="C14" i="25"/>
  <c r="C15" i="25"/>
  <c r="C16" i="25"/>
  <c r="C17" i="25"/>
  <c r="C18" i="25"/>
  <c r="C19" i="25"/>
  <c r="C21" i="25"/>
  <c r="C11" i="25"/>
  <c r="L13" i="26"/>
  <c r="L14" i="26"/>
  <c r="L15" i="26"/>
  <c r="L16" i="26"/>
  <c r="L17" i="26"/>
  <c r="L18" i="26"/>
  <c r="L19" i="26"/>
  <c r="L21" i="26"/>
  <c r="L11" i="26"/>
  <c r="B11" i="26"/>
  <c r="B13" i="26"/>
  <c r="B14" i="26"/>
  <c r="B15" i="26"/>
  <c r="B16" i="26"/>
  <c r="B17" i="26"/>
  <c r="B18" i="26"/>
  <c r="B19" i="26"/>
  <c r="B21" i="26"/>
  <c r="J19" i="26"/>
  <c r="N13" i="26"/>
  <c r="N11" i="26"/>
  <c r="N18" i="26"/>
  <c r="N14" i="26"/>
  <c r="N15" i="26"/>
  <c r="N16" i="26"/>
  <c r="N17" i="26"/>
  <c r="N19" i="26"/>
  <c r="J11" i="26"/>
  <c r="J13" i="26"/>
  <c r="J14" i="26"/>
  <c r="J15" i="26"/>
  <c r="J16" i="26"/>
  <c r="J17" i="26"/>
  <c r="J18" i="26"/>
  <c r="I19" i="26"/>
  <c r="I18" i="26"/>
  <c r="I17" i="26"/>
  <c r="I16" i="26"/>
  <c r="I15" i="26"/>
  <c r="I14" i="26"/>
  <c r="I13" i="26"/>
  <c r="D11" i="26"/>
  <c r="G13" i="26"/>
  <c r="G14" i="26"/>
  <c r="G15" i="26"/>
  <c r="G16" i="26"/>
  <c r="G17" i="26"/>
  <c r="G18" i="26"/>
  <c r="G19" i="26"/>
  <c r="G21" i="26"/>
  <c r="G11" i="26"/>
  <c r="F13" i="26"/>
  <c r="F14" i="26"/>
  <c r="F15" i="26"/>
  <c r="F16" i="26"/>
  <c r="F17" i="26"/>
  <c r="F18" i="26"/>
  <c r="F19" i="26"/>
  <c r="F21" i="26"/>
  <c r="F11" i="26"/>
  <c r="E13" i="26"/>
  <c r="E14" i="26"/>
  <c r="E15" i="26"/>
  <c r="E16" i="26"/>
  <c r="E17" i="26"/>
  <c r="E18" i="26"/>
  <c r="E19" i="26"/>
  <c r="E21" i="26"/>
  <c r="E11" i="26"/>
  <c r="D13" i="26"/>
  <c r="D14" i="26"/>
  <c r="D15" i="26"/>
  <c r="D16" i="26"/>
  <c r="D17" i="26"/>
  <c r="D18" i="26"/>
  <c r="D19" i="26"/>
  <c r="D21" i="26"/>
  <c r="E10" i="30"/>
  <c r="E11" i="30"/>
  <c r="E12" i="30"/>
  <c r="E8" i="30"/>
  <c r="E9" i="30"/>
  <c r="J11" i="25"/>
  <c r="E32" i="12"/>
  <c r="E34" i="12"/>
  <c r="E35" i="12"/>
  <c r="E11" i="25"/>
  <c r="E9" i="27"/>
  <c r="E10" i="27"/>
  <c r="M11" i="25"/>
  <c r="Q11" i="25"/>
  <c r="R11" i="25"/>
  <c r="J13" i="25"/>
  <c r="J14" i="25"/>
  <c r="M14" i="25"/>
  <c r="Q14" i="25"/>
  <c r="R14" i="25"/>
  <c r="E14" i="25"/>
  <c r="J16" i="25"/>
  <c r="J15" i="25"/>
  <c r="J17" i="25"/>
  <c r="J18" i="25"/>
  <c r="J19" i="25"/>
  <c r="J21" i="25"/>
  <c r="E33" i="12"/>
  <c r="E30" i="12"/>
  <c r="E31" i="12"/>
  <c r="M15" i="25"/>
  <c r="E13" i="25"/>
  <c r="E4" i="12"/>
  <c r="Q15" i="25"/>
  <c r="Q16" i="25"/>
  <c r="Q17" i="25"/>
  <c r="Q18" i="25"/>
  <c r="Q19" i="25"/>
  <c r="Q21" i="25"/>
  <c r="Q13" i="25"/>
  <c r="R15" i="25"/>
  <c r="R16" i="25"/>
  <c r="R17" i="25"/>
  <c r="R18" i="25"/>
  <c r="R19" i="25"/>
  <c r="R21" i="25"/>
  <c r="R13" i="25"/>
  <c r="M16" i="25"/>
  <c r="M17" i="25"/>
  <c r="M18" i="25"/>
  <c r="M19" i="25"/>
  <c r="M21" i="25"/>
  <c r="M13" i="25"/>
  <c r="E15" i="25"/>
  <c r="E16" i="25"/>
  <c r="E17" i="25"/>
  <c r="E18" i="25"/>
  <c r="E19" i="25"/>
  <c r="E21" i="25"/>
  <c r="S12" i="24"/>
  <c r="S13" i="24"/>
  <c r="S14" i="24"/>
  <c r="S15" i="24"/>
  <c r="S16" i="24"/>
  <c r="S17" i="24"/>
  <c r="S18" i="24"/>
  <c r="S19" i="24"/>
  <c r="S20" i="24"/>
  <c r="S21" i="24"/>
  <c r="S11" i="24"/>
  <c r="R12" i="24"/>
  <c r="R13" i="24"/>
  <c r="R14" i="24"/>
  <c r="R15" i="24"/>
  <c r="R16" i="24"/>
  <c r="R17" i="24"/>
  <c r="R18" i="24"/>
  <c r="R19" i="24"/>
  <c r="R20" i="24"/>
  <c r="R21" i="24"/>
  <c r="R11" i="24"/>
  <c r="Q13" i="24"/>
  <c r="Q14" i="24"/>
  <c r="Q15" i="24"/>
  <c r="Q16" i="24"/>
  <c r="Q17" i="24"/>
  <c r="Q18" i="24"/>
  <c r="Q19" i="24"/>
  <c r="Q20" i="24"/>
  <c r="Q21" i="24"/>
  <c r="Q12" i="24"/>
  <c r="T12" i="24"/>
  <c r="T13" i="24"/>
  <c r="T14" i="24"/>
  <c r="T15" i="24"/>
  <c r="T16" i="24"/>
  <c r="T17" i="24"/>
  <c r="T18" i="24"/>
  <c r="T19" i="24"/>
  <c r="T20" i="24"/>
  <c r="T21" i="24"/>
  <c r="T11" i="24"/>
  <c r="E3" i="22"/>
  <c r="E4" i="22"/>
  <c r="E5" i="22"/>
  <c r="E6" i="22"/>
  <c r="E7" i="22"/>
  <c r="E8" i="22"/>
  <c r="E9" i="22"/>
  <c r="E10" i="22"/>
  <c r="E11" i="22"/>
  <c r="E12" i="22"/>
  <c r="E13" i="22"/>
  <c r="E14" i="22"/>
  <c r="E15" i="22"/>
  <c r="E16" i="22"/>
  <c r="E17" i="22"/>
  <c r="E18" i="22"/>
  <c r="E19" i="22"/>
  <c r="E20" i="22"/>
  <c r="E21" i="22"/>
  <c r="E22" i="22"/>
  <c r="E23" i="22"/>
  <c r="E24" i="22"/>
  <c r="E25" i="22"/>
  <c r="E26" i="22"/>
  <c r="E27" i="22"/>
  <c r="E28" i="22"/>
  <c r="E2" i="22"/>
  <c r="W12" i="24"/>
  <c r="W13" i="24"/>
  <c r="W14" i="24"/>
  <c r="W15" i="24"/>
  <c r="W16" i="24"/>
  <c r="W17" i="24"/>
  <c r="W18" i="24"/>
  <c r="W19" i="24"/>
  <c r="W20" i="24"/>
  <c r="W21" i="24"/>
  <c r="W11" i="24"/>
  <c r="Y12" i="24"/>
  <c r="Y13" i="24"/>
  <c r="Y14" i="24"/>
  <c r="Y15" i="24"/>
  <c r="Y16" i="24"/>
  <c r="Y17" i="24"/>
  <c r="Y18" i="24"/>
  <c r="Y19" i="24"/>
  <c r="Y20" i="24"/>
  <c r="Y21" i="24"/>
  <c r="Y11" i="24"/>
  <c r="X12" i="24"/>
  <c r="X13" i="24"/>
  <c r="X14" i="24"/>
  <c r="X15" i="24"/>
  <c r="X16" i="24"/>
  <c r="X17" i="24"/>
  <c r="X18" i="24"/>
  <c r="X19" i="24"/>
  <c r="X20" i="24"/>
  <c r="X21" i="24"/>
  <c r="X11" i="24"/>
  <c r="E11" i="27"/>
  <c r="E12" i="27"/>
  <c r="E13" i="27"/>
  <c r="E14" i="27"/>
  <c r="E3" i="27"/>
  <c r="E4" i="27"/>
  <c r="E5" i="27"/>
  <c r="E6" i="27"/>
  <c r="E7" i="27"/>
  <c r="E8" i="27"/>
  <c r="E11" i="12"/>
  <c r="E12" i="12"/>
  <c r="E13" i="12"/>
  <c r="E14" i="12"/>
  <c r="E15" i="12"/>
  <c r="E16" i="12"/>
  <c r="E18" i="12"/>
  <c r="E19" i="12"/>
  <c r="E20" i="12"/>
  <c r="E21" i="12"/>
  <c r="G15" i="24" s="1"/>
  <c r="E22" i="12"/>
  <c r="E23" i="12"/>
  <c r="E25" i="12"/>
  <c r="E26" i="12"/>
  <c r="E5" i="12"/>
  <c r="E6" i="12"/>
  <c r="E18" i="24" s="1"/>
  <c r="E7" i="12"/>
  <c r="E8" i="12"/>
  <c r="E9" i="12"/>
  <c r="E2" i="27"/>
  <c r="E2" i="30"/>
  <c r="E3" i="30"/>
  <c r="E4" i="30"/>
  <c r="E5" i="30"/>
  <c r="E6" i="30"/>
  <c r="D15" i="24" s="1"/>
  <c r="E7" i="30"/>
  <c r="D21" i="24" l="1"/>
  <c r="B20" i="24"/>
  <c r="I19" i="24"/>
  <c r="B19" i="25"/>
  <c r="D18" i="25"/>
  <c r="D12" i="25"/>
  <c r="D20" i="25"/>
  <c r="I12" i="25"/>
  <c r="I20" i="25"/>
  <c r="C16" i="24"/>
  <c r="D17" i="25"/>
  <c r="B21" i="25"/>
  <c r="B20" i="25"/>
  <c r="B12" i="25"/>
  <c r="I21" i="24"/>
  <c r="J18" i="24"/>
  <c r="H19" i="24"/>
  <c r="B11" i="24"/>
  <c r="B16" i="25"/>
  <c r="B15" i="25"/>
  <c r="G19" i="24"/>
  <c r="F13" i="24"/>
  <c r="D16" i="25"/>
  <c r="F20" i="24"/>
  <c r="G11" i="24"/>
  <c r="G20" i="24"/>
  <c r="F15" i="24"/>
  <c r="D19" i="25"/>
  <c r="G17" i="24"/>
  <c r="G21" i="24"/>
  <c r="F12" i="24"/>
  <c r="E20" i="24"/>
  <c r="E12" i="24"/>
  <c r="G16" i="24"/>
  <c r="F14" i="24"/>
  <c r="F16" i="24"/>
  <c r="G18" i="24"/>
  <c r="E19" i="24"/>
  <c r="E14" i="24"/>
  <c r="F11" i="24"/>
  <c r="E21" i="24"/>
  <c r="H21" i="24"/>
  <c r="I16" i="24"/>
  <c r="J13" i="24"/>
  <c r="J15" i="24"/>
  <c r="I12" i="24"/>
  <c r="H15" i="24"/>
  <c r="I11" i="25"/>
  <c r="D17" i="24"/>
  <c r="B18" i="24"/>
  <c r="D16" i="24"/>
  <c r="D11" i="24"/>
  <c r="B13" i="24"/>
  <c r="D14" i="24"/>
  <c r="D12" i="24"/>
  <c r="B14" i="24"/>
  <c r="C12" i="24"/>
  <c r="C21" i="24"/>
  <c r="C11" i="24"/>
  <c r="C14" i="24"/>
  <c r="B11" i="25"/>
  <c r="C17" i="24"/>
  <c r="B13" i="25"/>
  <c r="D15" i="25"/>
  <c r="D13" i="25"/>
  <c r="D14" i="25"/>
  <c r="D11" i="25"/>
  <c r="D21" i="25"/>
  <c r="G12" i="24"/>
  <c r="F21" i="24"/>
  <c r="E13" i="24"/>
  <c r="G14" i="24"/>
  <c r="G13" i="24"/>
  <c r="E17" i="24"/>
  <c r="E11" i="24"/>
  <c r="F19" i="24"/>
  <c r="F18" i="24"/>
  <c r="F17" i="24"/>
  <c r="E16" i="24"/>
  <c r="E15" i="24"/>
  <c r="I20" i="24"/>
  <c r="I13" i="24"/>
  <c r="I11" i="24"/>
  <c r="I14" i="24"/>
  <c r="J19" i="24"/>
  <c r="H16" i="24"/>
  <c r="I17" i="24"/>
  <c r="I15" i="24"/>
  <c r="J12" i="24"/>
  <c r="J17" i="24"/>
  <c r="J11" i="24"/>
  <c r="H20" i="24"/>
  <c r="H18" i="24"/>
  <c r="I18" i="24"/>
  <c r="I13" i="25"/>
  <c r="I17" i="25"/>
  <c r="I18" i="25"/>
  <c r="J21" i="24"/>
  <c r="H13" i="24"/>
  <c r="H11" i="24"/>
  <c r="H14" i="24"/>
  <c r="I21" i="25"/>
  <c r="I16" i="25"/>
  <c r="J16" i="24"/>
  <c r="J20" i="24"/>
  <c r="J14" i="24"/>
  <c r="H17" i="24"/>
  <c r="H12" i="24"/>
  <c r="I19" i="25"/>
  <c r="I15" i="25"/>
  <c r="I14" i="25"/>
  <c r="B12" i="24"/>
  <c r="D18" i="24"/>
  <c r="D13" i="24"/>
  <c r="D19" i="24"/>
  <c r="B19" i="24"/>
  <c r="B21" i="24"/>
  <c r="B16" i="24"/>
  <c r="B14" i="25"/>
  <c r="D20" i="24"/>
  <c r="B15" i="24"/>
  <c r="B17" i="24"/>
  <c r="B17" i="25"/>
  <c r="C20" i="24"/>
  <c r="C15" i="24"/>
  <c r="B18" i="25"/>
  <c r="C18" i="24"/>
  <c r="C13" i="24"/>
  <c r="C19" i="2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odcFile="C:\Anila\TGRP\Competitive Tracker\competitive-tracker\Rate Scanner\Queries\Query - Altamira Rates.odc" keepAlive="1" name="Query - Altamira Rates" description="Connection to the 'Altamira Rates' query in the workbook." type="5" refreshedVersion="6" background="1" saveData="1">
    <dbPr connection="Provider=Microsoft.Mashup.OleDb.1;Data Source=$Workbook$;Location=Altamira Rates;Extended Properties=&quot;&quot;" command="SELECT * FROM [Altamira Rates]"/>
  </connection>
  <connection id="2" xr16:uid="{00000000-0015-0000-FFFF-FFFF01000000}" odcFile="C:\Anila\TGRP\Competitive Tracker\competitive-tracker\Rate Scanner\Queries\Query - B2B Rates.odc" keepAlive="1" name="Query - B2B Rates" description="Connection to the 'B2B Rates' query in the workbook." type="5" refreshedVersion="6" background="1" saveData="1">
    <dbPr connection="Provider=Microsoft.Mashup.OleDb.1;Data Source=$Workbook$;Location=B2B Rates;Extended Properties=&quot;&quot;" command="SELECT * FROM [B2B Rates]"/>
  </connection>
  <connection id="3" xr16:uid="{00000000-0015-0000-FFFF-FFFF02000000}" odcFile="C:\Anila\TGRP\Competitive Tracker\competitive-tracker\Rate Scanner\Queries\Query - BMO Savings Accounts.odc" keepAlive="1" name="Query - BMO Savings Accounts" description="Connection to the 'BMO Savings Accounts' query in the workbook." type="5" refreshedVersion="6" background="1" saveData="1">
    <dbPr connection="Provider=Microsoft.Mashup.OleDb.1;Data Source=$Workbook$;Location=BMO Savings Accounts;Extended Properties=&quot;&quot;" command="SELECT * FROM [BMO Savings Accounts]"/>
  </connection>
  <connection id="4" xr16:uid="{00000000-0015-0000-FFFF-FFFF05000000}" odcFile="C:\Anila\TGRP\Competitive Tracker\competitive-tracker\Rate Scanner\Queries\Query - BNS Cash Optimizer Investment.odc" keepAlive="1" name="Query - BNS Cash Optimizer Investment" description="Connection to the 'BNS Cash Optimizer Investment' query in the workbook." type="5" refreshedVersion="6" background="1" saveData="1">
    <dbPr connection="Provider=Microsoft.Mashup.OleDb.1;Data Source=$Workbook$;Location=&quot;BNS Cash Optimizer Investment&quot;;Extended Properties=&quot;&quot;" command="SELECT * FROM [BNS Cash Optimizer Investment]"/>
  </connection>
  <connection id="5" xr16:uid="{4244F518-BF1F-4714-9B0C-518D68279E43}" odcFile="C:\Anila\TGRP\Competitive Tracker\competitive-tracker\Rate Scanner\Queries\Query - BNS Savings Accounts.odc" keepAlive="1" name="Query - BNS Savings Accounts" description="Connection to the 'BNS Savings Accounts' query in the workbook." type="5" refreshedVersion="6" background="1" saveData="1">
    <dbPr connection="Provider=Microsoft.Mashup.OleDb.1;Data Source=$Workbook$;Location=&quot;BNS Savings Accounts&quot;;Extended Properties=&quot;&quot;" command="SELECT * FROM [BNS Savings Accounts]"/>
  </connection>
  <connection id="6" xr16:uid="{B11DB3D6-2EEF-4F98-8DC1-C6DC76DD6C1E}" odcFile="C:\Anila\TGRP\Competitive Tracker\competitive-tracker\Rate Scanner\Queries\Query - CIBC Renaissance HISA.odc" keepAlive="1" name="Query - CIBC Renaissance HISA" description="Connection to the 'CIBC Renaissance HISA' query in the workbook." type="5" refreshedVersion="6" background="1" saveData="1">
    <dbPr connection="Provider=Microsoft.Mashup.OleDb.1;Data Source=$Workbook$;Location=CIBC Renaissance HISA;Extended Properties=&quot;&quot;" command="SELECT * FROM [CIBC Renaissance HISA]"/>
  </connection>
  <connection id="7" xr16:uid="{00000000-0015-0000-FFFF-FFFF06000000}" odcFile="C:\Anila\TGRP\Competitive Tracker\competitive-tracker\Rate Scanner\Queries\Query - CIBC Savings Accounts.odc" keepAlive="1" name="Query - CIBC Savings Accounts" description="Connection to the 'CIBC Savings Accounts' query in the workbook." type="5" refreshedVersion="6" background="1" saveData="1">
    <dbPr connection="Provider=Microsoft.Mashup.OleDb.1;Data Source=$Workbook$;Location=CIBC Savings Accounts;Extended Properties=&quot;&quot;" command="SELECT * FROM [CIBC Savings Accounts]"/>
  </connection>
  <connection id="8" xr16:uid="{81DEA38E-A166-48B7-8AB9-F650712A8109}" odcFile="C:\Anila\TGRP\Competitive Tracker\competitive-tracker\Rate Scanner\Queries\Query - CIBC Wood Gundy HISA CTC.odc" keepAlive="1" name="Query - CIBC Wood Gundy HISA CTC" description="Connection to the 'CIBC Wood Gundy HISA CTC' query in the workbook." type="5" refreshedVersion="6" background="1" saveData="1">
    <dbPr connection="Provider=Microsoft.Mashup.OleDb.1;Data Source=$Workbook$;Location=CIBC Wood Gundy HISA CTC;Extended Properties=&quot;&quot;" command="SELECT * FROM [CIBC Wood Gundy HISA CTC]"/>
  </connection>
  <connection id="9" xr16:uid="{00000000-0015-0000-FFFF-FFFF07000000}" odcFile="C:\Anila\TGRP\Competitive Tracker\competitive-tracker\Rate Scanner\Queries\Query - CT HISA.odc" keepAlive="1" name="Query - CT HISA" description="Connection to the 'CT HISA' query in the workbook." type="5" refreshedVersion="6" background="1" saveData="1">
    <dbPr connection="Provider=Microsoft.Mashup.OleDb.1;Data Source=$Workbook$;Location=CT HISA;Extended Properties=&quot;&quot;" command="SELECT * FROM [CT HISA]"/>
  </connection>
  <connection id="10" xr16:uid="{E38D7A82-36FA-4AF6-872C-131BEA0ED444}" odcFile="C:\Anila\TGRP\Competitive Tracker\competitive-tracker\Rate Scanner\Queries\Query - EQ Bank Savings Plus Account.odc" keepAlive="1" name="Query - EQ Bank Savings Plus Account" description="Connection to the 'EQ Bank Savings Plus Account' query in the workbook." type="5" refreshedVersion="6" background="1" saveData="1">
    <dbPr connection="Provider=Microsoft.Mashup.OleDb.1;Data Source=$Workbook$;Location=EQ Bank Savings Plus Account;Extended Properties=&quot;&quot;" command="SELECT * FROM [EQ Bank Savings Plus Account]"/>
  </connection>
  <connection id="11" xr16:uid="{6A0854F7-C932-4E9E-9FBB-EC246ADFAFC5}" odcFile="C:\Anila\TGRP\Competitive Tracker\competitive-tracker\Rate Scanner\Queries\Query - Home Trust Company.odc" keepAlive="1" name="Query - Home Trust Company" description="Connection to the 'Home Trust Company' query in the workbook." type="5" refreshedVersion="6" background="1" saveData="1">
    <dbPr connection="Provider=Microsoft.Mashup.OleDb.1;Data Source=$Workbook$;Location=Home Trust Company;Extended Properties=&quot;&quot;" command="SELECT * FROM [Home Trust Company]"/>
  </connection>
  <connection id="12" xr16:uid="{00000000-0015-0000-FFFF-FFFF09000000}" keepAlive="1" name="Query - HSBC CAD Savings" description="Connection to the 'HSBC CAD Savings' query in the workbook." type="5" refreshedVersion="6" background="1" saveData="1">
    <dbPr connection="Provider=Microsoft.Mashup.OleDb.1;Data Source=$Workbook$;Location=HSBC CAD Savings;Extended Properties=&quot;&quot;" command="SELECT * FROM [HSBC CAD Savings]"/>
  </connection>
  <connection id="13" xr16:uid="{871479F1-40E5-4445-92FC-E9A9815491E3}" keepAlive="1" name="Query - HSBC Foreign Savings" description="Connection to the 'HSBC Foreign Savings' query in the workbook." type="5" refreshedVersion="6" background="1" saveData="1">
    <dbPr connection="Provider=Microsoft.Mashup.OleDb.1;Data Source=$Workbook$;Location=HSBC Foreign Savings;Extended Properties=&quot;&quot;" command="SELECT * FROM [HSBC Foreign Savings]"/>
  </connection>
  <connection id="14" xr16:uid="{00000000-0015-0000-FFFF-FFFF0A000000}" odcFile="C:\Anila\TGRP\Competitive Tracker\competitive-tracker\Rate Scanner\Queries\Query - ICICI Chequing Accounts.odc" keepAlive="1" name="Query - ICICI Chequing Accounts" description="Connection to the 'ICICI Chequing Accounts' query in the workbook." type="5" refreshedVersion="6" background="1" saveData="1">
    <dbPr connection="Provider=Microsoft.Mashup.OleDb.1;Data Source=$Workbook$;Location=&quot;ICICI Chequing Accounts&quot;;Extended Properties=&quot;&quot;" command="SELECT * FROM [ICICI Chequing Accounts]"/>
  </connection>
  <connection id="15" xr16:uid="{00000000-0015-0000-FFFF-FFFF0B000000}" odcFile="C:\Anila\TGRP\Competitive Tracker\competitive-tracker\Rate Scanner\Queries\Query - ICICI GICs.odc" keepAlive="1" name="Query - ICICI GICs" description="Connection to the 'ICICI GICs' query in the workbook." type="5" refreshedVersion="6" background="1" saveData="1">
    <dbPr connection="Provider=Microsoft.Mashup.OleDb.1;Data Source=$Workbook$;Location=&quot;ICICI GICs&quot;;Extended Properties=&quot;&quot;" command="SELECT * FROM [ICICI GICs]"/>
  </connection>
  <connection id="16" xr16:uid="{00000000-0015-0000-FFFF-FFFF0C000000}" odcFile="C:\Anila\TGRP\Competitive Tracker\competitive-tracker\Rate Scanner\Queries\Query - ICICI Prime Rate.odc" keepAlive="1" name="Query - ICICI Prime Rate" description="Connection to the 'ICICI Prime Rate' query in the workbook." type="5" refreshedVersion="6" background="1" saveData="1">
    <dbPr connection="Provider=Microsoft.Mashup.OleDb.1;Data Source=$Workbook$;Location=&quot;ICICI Prime Rate&quot;;Extended Properties=&quot;&quot;" command="SELECT * FROM [ICICI Prime Rate]"/>
  </connection>
  <connection id="17" xr16:uid="{00000000-0015-0000-FFFF-FFFF0D000000}" odcFile="C:\Anila\TGRP\Competitive Tracker\competitive-tracker\Rate Scanner\Queries\Query - ICICI RSP GIC.odc" keepAlive="1" name="Query - ICICI RSP GIC" description="Connection to the 'ICICI RSP GIC' query in the workbook." type="5" refreshedVersion="6" background="1" saveData="1">
    <dbPr connection="Provider=Microsoft.Mashup.OleDb.1;Data Source=$Workbook$;Location=&quot;ICICI RSP GIC&quot;;Extended Properties=&quot;&quot;" command="SELECT * FROM [ICICI RSP GIC]"/>
  </connection>
  <connection id="18" xr16:uid="{00000000-0015-0000-FFFF-FFFF0E000000}" odcFile="C:\Anila\TGRP\Competitive Tracker\competitive-tracker\Rate Scanner\Queries\Query - ICICI Tax-Free GIC.odc" keepAlive="1" name="Query - ICICI Tax-Free GIC" description="Connection to the 'ICICI Tax-Free GIC' query in the workbook." type="5" refreshedVersion="6" background="1" saveData="1">
    <dbPr connection="Provider=Microsoft.Mashup.OleDb.1;Data Source=$Workbook$;Location=&quot;ICICI Tax-Free GIC&quot;;Extended Properties=&quot;&quot;" command="SELECT * FROM [ICICI Tax-Free GIC]"/>
  </connection>
  <connection id="19" xr16:uid="{00000000-0015-0000-FFFF-FFFF0F000000}" odcFile="C:\Anila\TGRP\Competitive Tracker\competitive-tracker\Rate Scanner\Queries\Query - ICICI_Savings Accounts.odc" keepAlive="1" name="Query - ICICI_Savings Accounts" description="Connection to the 'ICICI_Savings Accounts' query in the workbook." type="5" refreshedVersion="6" background="1" saveData="1">
    <dbPr connection="Provider=Microsoft.Mashup.OleDb.1;Data Source=$Workbook$;Location=ICICI_Savings Accounts;Extended Properties=&quot;&quot;" command="SELECT * FROM [ICICI_Savings Accounts]"/>
  </connection>
  <connection id="20" xr16:uid="{C4D8D963-713F-4B53-8A5D-A20287BD2816}" odcFile="C:\Anila\TGRP\Competitive Tracker\competitive-tracker\Rate Scanner\Queries\Query - Manulife Advantage Accounts.odc" keepAlive="1" name="Query - Manulife Advantage Accounts" description="Connection to the 'Manulife Advantage Accounts' query in the workbook." type="5" refreshedVersion="6" background="1" saveData="1">
    <dbPr connection="Provider=Microsoft.Mashup.OleDb.1;Data Source=$Workbook$;Location=Manulife Advantage Accounts;Extended Properties=&quot;&quot;" command="SELECT * FROM [Manulife Advantage Accounts]"/>
  </connection>
  <connection id="21" xr16:uid="{1E60BCBB-18BA-471E-A585-F68138B3A5C7}" odcFile="C:\Anila\TGRP\Competitive Tracker\competitive-tracker\Rate Scanner\Queries\Query - Manulife All in Banking Package.odc" keepAlive="1" name="Query - Manulife All in Banking Package" description="Connection to the 'Manulife All in Banking Package' query in the workbook." type="5" refreshedVersion="6" background="1" saveData="1">
    <dbPr connection="Provider=Microsoft.Mashup.OleDb.1;Data Source=$Workbook$;Location=Manulife All in Banking Package;Extended Properties=&quot;&quot;" command="SELECT * FROM [Manulife All in Banking Package]"/>
  </connection>
  <connection id="22" xr16:uid="{3D1F0AAC-2434-4BBB-B921-1FCB76DC6F26}" odcFile="C:\Anila\TGRP\Competitive Tracker\competitive-tracker\Rate Scanner\Queries\Query - Manulife ISA CAD.odc" keepAlive="1" name="Query - Manulife ISA CAD" description="Connection to the 'Manulife ISA CAD' query in the workbook." type="5" refreshedVersion="6" background="1" saveData="1">
    <dbPr connection="Provider=Microsoft.Mashup.OleDb.1;Data Source=$Workbook$;Location=Manulife ISA CAD;Extended Properties=&quot;&quot;" command="SELECT * FROM [Manulife ISA CAD]"/>
  </connection>
  <connection id="23" xr16:uid="{176323F2-4C17-43D2-8006-DB11FA999696}" odcFile="C:\Anila\TGRP\Competitive Tracker\competitive-tracker\Rate Scanner\Queries\Query - Manulife ISA USD.odc" keepAlive="1" name="Query - Manulife ISA USD" description="Connection to the 'Manulife ISA USD' query in the workbook." type="5" refreshedVersion="6" background="1" saveData="1">
    <dbPr connection="Provider=Microsoft.Mashup.OleDb.1;Data Source=$Workbook$;Location=Manulife ISA USD;Extended Properties=&quot;&quot;" command="SELECT * FROM [Manulife ISA USD]"/>
  </connection>
  <connection id="24" xr16:uid="{00000000-0015-0000-FFFF-FFFF11000000}" odcFile="C:\Anila\TGRP\Competitive Tracker\competitive-tracker\Rate Scanner\Queries\Query - Meridian Rates.odc" keepAlive="1" name="Query - Meridian Rates" description="Connection to the 'Meridian Rates' query in the workbook." type="5" refreshedVersion="6" background="1" saveData="1">
    <dbPr connection="Provider=Microsoft.Mashup.OleDb.1;Data Source=$Workbook$;Location=Meridian Rates;Extended Properties=&quot;&quot;" command="SELECT * FROM [Meridian Rates]"/>
  </connection>
  <connection id="25" xr16:uid="{00000000-0015-0000-FFFF-FFFF12000000}" odcFile="C:\Anila\TGRP\Competitive Tracker\competitive-tracker\Rate Scanner\Queries\Query - NBC Bank Accounts.odc" keepAlive="1" name="Query - NBC Bank Accounts" description="Connection to the 'NBC Bank Accounts' query in the workbook." type="5" refreshedVersion="6" background="1" saveData="1">
    <dbPr connection="Provider=Microsoft.Mashup.OleDb.1;Data Source=$Workbook$;Location=NBC Bank Accounts;Extended Properties=&quot;&quot;" command="SELECT * FROM [NBC Bank Accounts]"/>
  </connection>
  <connection id="26" xr16:uid="{AEB7A27C-D319-4B39-A99A-B5BBB5A77274}" odcFile="C:\Anila\TGRP\Competitive Tracker\competitive-tracker\Rate Scanner\Queries\Query - NBC HISA.odc" keepAlive="1" name="Query - NBC HISA" description="Connection to the 'NBC HISA' query in the workbook." type="5" refreshedVersion="0" background="1">
    <dbPr connection="Provider=Microsoft.Mashup.OleDb.1;Data Source=$Workbook$;Location=&quot;NBC HISA&quot;;Extended Properties=&quot;&quot;" command="SELECT * FROM [NBC HISA]"/>
  </connection>
  <connection id="27" xr16:uid="{01702197-3BB6-4E09-B8F8-6247B98653B8}" odcFile="C:\Anila\TGRP\Competitive Tracker\competitive-tracker\Rate Scanner\Queries\Query - RBC Investment Savings Account.odc" keepAlive="1" name="Query - RBC Investment Savings Account" description="Connection to the 'RBC Investment Savings Account' query in the workbook." type="5" refreshedVersion="6" background="1" saveData="1">
    <dbPr connection="Provider=Microsoft.Mashup.OleDb.1;Data Source=$Workbook$;Location=RBC Investment Savings Account;Extended Properties=&quot;&quot;" command="SELECT * FROM [RBC Investment Savings Account]"/>
  </connection>
  <connection id="28" xr16:uid="{246DB2EA-63FE-4785-9CB0-24D9D4F30D2F}" odcFile="C:\Anila\TGRP\Competitive Tracker\competitive-tracker\Rate Scanner\Queries\Query - RBC Personal Accounts.odc" keepAlive="1" name="Query - RBC Personal Accounts" description="Connection to the 'RBC Personal Accounts' query in the workbook." type="5" refreshedVersion="6" background="1" saveData="1">
    <dbPr connection="Provider=Microsoft.Mashup.OleDb.1;Data Source=$Workbook$;Location=RBC Personal Accounts;Extended Properties=&quot;&quot;" command="SELECT * FROM [RBC Personal Accounts]"/>
  </connection>
  <connection id="29" xr16:uid="{00000000-0015-0000-FFFF-FFFF1C000000}" odcFile="C:\Anila\TGRP\Competitive Tracker\competitive-tracker\Rate Scanner\Queries\Query - RSP Savings Account.odc" keepAlive="1" name="Query - RSP Savings Account" description="Connection to the 'RSP Savings Account' query in the workbook." type="5" refreshedVersion="6" background="1" saveData="1">
    <dbPr connection="Provider=Microsoft.Mashup.OleDb.1;Data Source=$Workbook$;Location=&quot;RSP Savings Account&quot;;Extended Properties=&quot;&quot;" command="SELECT * FROM [RSP Savings Account]"/>
  </connection>
  <connection id="30" xr16:uid="{A012FB4C-D7CE-4ECE-A221-7773EC0D6E03}" odcFile="C:\Anila\TGRP\Competitive Tracker\competitive-tracker\Rate Scanner\Queries\Query - Simplii HISA.odc" keepAlive="1" name="Query - Simplii HISA" description="Connection to the 'Simplii HISA' query in the workbook." type="5" refreshedVersion="6" background="1" saveData="1">
    <dbPr connection="Provider=Microsoft.Mashup.OleDb.1;Data Source=$Workbook$;Location=Simplii HISA;Extended Properties=&quot;&quot;" command="SELECT * FROM [Simplii HISA]"/>
  </connection>
  <connection id="31" xr16:uid="{00000000-0015-0000-FFFF-FFFF1F000000}" odcFile="C:\Anila\TGRP\Competitive Tracker\competitive-tracker\Rate Scanner\Queries\Query - Simplii Rates.odc" keepAlive="1" name="Query - Simplii Rates" description="Connection to the 'Simplii Rates' query in the workbook." type="5" refreshedVersion="6" background="1">
    <dbPr connection="Provider=Microsoft.Mashup.OleDb.1;Data Source=$Workbook$;Location=&quot;Simplii Rates&quot;;Extended Properties=&quot;&quot;" command="SELECT * FROM [Simplii Rates]"/>
  </connection>
  <connection id="32" xr16:uid="{00000000-0015-0000-FFFF-FFFF24000000}" odcFile="C:\Anila\TGRP\Competitive Tracker\competitive-tracker\Rate Scanner\Queries\Query - TD Investment Savings Account.odc" keepAlive="1" name="Query - TD Investment Savings Account" description="Connection to the 'TD Investment Savings Account' query in the workbook." type="5" refreshedVersion="6" background="1" saveData="1">
    <dbPr connection="Provider=Microsoft.Mashup.OleDb.1;Data Source=$Workbook$;Location=TD Investment Savings Account;Extended Properties=&quot;&quot;" command="SELECT * FROM [TD Investment Savings Account]"/>
  </connection>
  <connection id="33" xr16:uid="{00000000-0015-0000-FFFF-FFFF25000000}" odcFile="C:\Anila\TGRP\Competitive Tracker\competitive-tracker\Rate Scanner\Queries\Query - TD Savings Accounts.odc" keepAlive="1" name="Query - TD Savings Accounts" description="Connection to the 'TD Savings Accounts' query in the workbook." type="5" refreshedVersion="6" background="1" saveData="1">
    <dbPr connection="Provider=Microsoft.Mashup.OleDb.1;Data Source=$Workbook$;Location=TD Savings Accounts;Extended Properties=&quot;&quot;" command="SELECT * FROM [TD Savings Accounts]"/>
  </connection>
  <connection id="34" xr16:uid="{00000000-0015-0000-FFFF-FFFF26000000}" odcFile="C:\Anila\TGRP\Competitive Tracker\competitive-tracker\Rate Scanner\Queries\Query - TD TFSA.odc" keepAlive="1" name="Query - TD TFSA" description="Connection to the 'TD TFSA' query in the workbook." type="5" refreshedVersion="6" background="1" saveData="1">
    <dbPr connection="Provider=Microsoft.Mashup.OleDb.1;Data Source=$Workbook$;Location=&quot;TD TFSA&quot;;Extended Properties=&quot;&quot;" command="SELECT * FROM [TD TFSA]"/>
  </connection>
  <connection id="35" xr16:uid="{36E7AC21-9877-429E-8F0D-FF2E922BB586}" odcFile="C:\Anila\TGRP\Competitive Tracker\competitive-tracker\Rate Scanner\Queries\Query - TD US Daily Interest.odc" keepAlive="1" name="Query - TD US Daily Interest" description="Connection to the 'TD US Daily Interest' query in the workbook." type="5" refreshedVersion="6" background="1" saveData="1">
    <dbPr connection="Provider=Microsoft.Mashup.OleDb.1;Data Source=$Workbook$;Location=TD US Daily Interest;Extended Properties=&quot;&quot;" command="SELECT * FROM [TD US Daily Interest]"/>
  </connection>
</connections>
</file>

<file path=xl/sharedStrings.xml><?xml version="1.0" encoding="utf-8"?>
<sst xmlns="http://schemas.openxmlformats.org/spreadsheetml/2006/main" count="1064" uniqueCount="508">
  <si>
    <t>CIBC</t>
  </si>
  <si>
    <t>TDCT</t>
  </si>
  <si>
    <t>BMO</t>
  </si>
  <si>
    <t xml:space="preserve">BMO </t>
  </si>
  <si>
    <t>BNS</t>
  </si>
  <si>
    <t>RBC</t>
  </si>
  <si>
    <t>Simplii</t>
  </si>
  <si>
    <t>National Bank</t>
  </si>
  <si>
    <t xml:space="preserve">Manulife </t>
  </si>
  <si>
    <t>HSBC</t>
  </si>
  <si>
    <t>CDN TIRE</t>
  </si>
  <si>
    <t>B2B Bank</t>
  </si>
  <si>
    <t>Scotia iTrade</t>
  </si>
  <si>
    <t xml:space="preserve">Meridian Credit </t>
  </si>
  <si>
    <t>EQ Bank</t>
  </si>
  <si>
    <t>eAdvantage Savings Account</t>
  </si>
  <si>
    <t>Bonus Savings Account</t>
  </si>
  <si>
    <t>Premium Growth Account</t>
  </si>
  <si>
    <t>Everyday Savings Account</t>
  </si>
  <si>
    <t>High Interest Savings Account</t>
  </si>
  <si>
    <t>ePremium Savings Account</t>
  </si>
  <si>
    <t>Savings Accelerator</t>
  </si>
  <si>
    <t>Day to Day Savings Account</t>
  </si>
  <si>
    <t>High-Interest Savings Account</t>
  </si>
  <si>
    <t>Advantage Account</t>
  </si>
  <si>
    <t>High Interest Savings</t>
  </si>
  <si>
    <t>Cash Optimizer Investment</t>
  </si>
  <si>
    <t xml:space="preserve"> Union High Interest Savings Account </t>
  </si>
  <si>
    <t>Savings Plus Account</t>
  </si>
  <si>
    <t>Rate Effective Date</t>
  </si>
  <si>
    <t>Original Launch Date</t>
  </si>
  <si>
    <t>N/A</t>
  </si>
  <si>
    <t>Market Comparative (Jul 4, 2018)</t>
  </si>
  <si>
    <t>CIBC US$ Personal Account</t>
  </si>
  <si>
    <t>Renaissance High Interest Savings Account (USD)</t>
  </si>
  <si>
    <t>$25,000 - $59,999</t>
  </si>
  <si>
    <t>$10,000 - $24,999</t>
  </si>
  <si>
    <t>$5,000 - $9,999</t>
  </si>
  <si>
    <t>$3,000 - $4,999</t>
  </si>
  <si>
    <t>$1,000 - $2,999</t>
  </si>
  <si>
    <t>$0 - $999</t>
  </si>
  <si>
    <t>Type</t>
  </si>
  <si>
    <t>Retail</t>
  </si>
  <si>
    <t>Broker</t>
  </si>
  <si>
    <t>Altamira</t>
  </si>
  <si>
    <t>Home Trust</t>
  </si>
  <si>
    <t xml:space="preserve">Renaissance High Interest Savings Account </t>
  </si>
  <si>
    <t>Investment Savings Account</t>
  </si>
  <si>
    <t>High Interest Investment Account</t>
  </si>
  <si>
    <t>High Interest Savings Account Rate</t>
  </si>
  <si>
    <t>Rate</t>
  </si>
  <si>
    <t>RBC High Interest eSavings</t>
  </si>
  <si>
    <t>GICs</t>
  </si>
  <si>
    <t>Column1</t>
  </si>
  <si>
    <t>Column2</t>
  </si>
  <si>
    <t>Column3</t>
  </si>
  <si>
    <t>Interest Rate</t>
  </si>
  <si>
    <t>Interest Rate [%]</t>
  </si>
  <si>
    <t>$60,000.00 to $99,999.99</t>
  </si>
  <si>
    <t>$25,000.00 to $59,999.99</t>
  </si>
  <si>
    <t>$10,000.00 to $24,999.99</t>
  </si>
  <si>
    <t>$5,000.00 and over</t>
  </si>
  <si>
    <t>Annual Rates</t>
  </si>
  <si>
    <t>Products</t>
  </si>
  <si>
    <t>No Fee Chequing Account</t>
  </si>
  <si>
    <t>Overdraft</t>
  </si>
  <si>
    <t>Variable Rate Mortgages</t>
  </si>
  <si>
    <t>Fixed Rate Mortgages</t>
  </si>
  <si>
    <t>Cashback Mortgages</t>
  </si>
  <si>
    <t>Convertible Mortgages</t>
  </si>
  <si>
    <t>Discontinued Mortgage Products</t>
  </si>
  <si>
    <t>GIC/RGIC</t>
  </si>
  <si>
    <t>RRSP Savings Account</t>
  </si>
  <si>
    <t>Tax-Free Savings Account</t>
  </si>
  <si>
    <t>Prime Rate</t>
  </si>
  <si>
    <t>SAVING ACCOUNTS</t>
  </si>
  <si>
    <t>HiSAVE Savings Account</t>
  </si>
  <si>
    <t>Premium Savings Account</t>
  </si>
  <si>
    <t>Young Stars Savings Account</t>
  </si>
  <si>
    <t>Canadian Dollar</t>
  </si>
  <si>
    <t>0.40% p.a.</t>
  </si>
  <si>
    <t>Daily closing balance</t>
  </si>
  <si>
    <t>Monthly</t>
  </si>
  <si>
    <t>US Dollar</t>
  </si>
  <si>
    <t>0.30% p.a.</t>
  </si>
  <si>
    <t>0.25% p.a.</t>
  </si>
  <si>
    <t>CHEQUING ACCOUNTS</t>
  </si>
  <si>
    <t>TFSA</t>
  </si>
  <si>
    <t>TF GIC</t>
  </si>
  <si>
    <t>RSP</t>
  </si>
  <si>
    <t>RSP Savings Account</t>
  </si>
  <si>
    <t>RSP GIC</t>
  </si>
  <si>
    <t>PRIME</t>
  </si>
  <si>
    <t>Savings Account</t>
  </si>
  <si>
    <t>Youth savings*</t>
  </si>
  <si>
    <t>Daily interest savings account*</t>
  </si>
  <si>
    <t>Corporate chequing-savings account*</t>
  </si>
  <si>
    <t>Corporate savings account*</t>
  </si>
  <si>
    <t>CDN $ Progress Account</t>
  </si>
  <si>
    <t>$0.00 to $1,999.99</t>
  </si>
  <si>
    <t>$2,000.00 to $9,999.99</t>
  </si>
  <si>
    <t>$100,000.00 and +</t>
  </si>
  <si>
    <t xml:space="preserve">High Interest Savings Account </t>
  </si>
  <si>
    <t>$5,000 and +</t>
  </si>
  <si>
    <t>US $ Progress Account</t>
  </si>
  <si>
    <t>$0 and +</t>
  </si>
  <si>
    <t>$1,000 and +</t>
  </si>
  <si>
    <t>$2,000 and +</t>
  </si>
  <si>
    <t>$10,000 and +</t>
  </si>
  <si>
    <t>Strategist Account or Natcan Strategist Account</t>
  </si>
  <si>
    <t>$25,000 and +</t>
  </si>
  <si>
    <t>$60,000 and +</t>
  </si>
  <si>
    <t>Crescendo Account</t>
  </si>
  <si>
    <t>$3,000 and +</t>
  </si>
  <si>
    <t>$30,000 and +</t>
  </si>
  <si>
    <t>Overdraft Rate applicable on personal and business accounts</t>
  </si>
  <si>
    <t>CDN $</t>
  </si>
  <si>
    <t>US $</t>
  </si>
  <si>
    <t>Dealer Trust Accounts</t>
  </si>
  <si>
    <t>Short-term Deposits (RSP and non-registered)</t>
  </si>
  <si>
    <t>Guaranteed Investment Certificates (RSP and non-registered)</t>
  </si>
  <si>
    <t>Tax-Free Guaranteed Investment Certificates</t>
  </si>
  <si>
    <t>Manulife One</t>
  </si>
  <si>
    <t>Manulife Bank Select</t>
  </si>
  <si>
    <t>Preferred Rate Mortgage</t>
  </si>
  <si>
    <t>Investment Loans</t>
  </si>
  <si>
    <t>RRSP Loans</t>
  </si>
  <si>
    <t>Lines of Credit</t>
  </si>
  <si>
    <t>Manuplus</t>
  </si>
  <si>
    <t>High Interest Savings*</t>
  </si>
  <si>
    <t>All Balances</t>
  </si>
  <si>
    <t>90-Day Premium Period</t>
  </si>
  <si>
    <t>180-Day Premium Period</t>
  </si>
  <si>
    <t>270-Day Premium Period</t>
  </si>
  <si>
    <t>360-Day Premium Period</t>
  </si>
  <si>
    <t>$5,000 or more</t>
  </si>
  <si>
    <t>Under $5,000</t>
  </si>
  <si>
    <t>$250,000 or more</t>
  </si>
  <si>
    <t>$5,000 - $249,999</t>
  </si>
  <si>
    <t>$0 - $4,999</t>
  </si>
  <si>
    <t>Accounts</t>
  </si>
  <si>
    <t>Cash Optimizer Investment Account</t>
  </si>
  <si>
    <t xml:space="preserve">Scotiabank® MomentumPLUS Savings Account </t>
  </si>
  <si>
    <t>Money Master® Savings Account</t>
  </si>
  <si>
    <t xml:space="preserve">Scotiabank® Savings Accelerator Account </t>
  </si>
  <si>
    <t>Banking Services</t>
  </si>
  <si>
    <t>High Interest Investment Account (HIIA)</t>
  </si>
  <si>
    <t>Money Maximizer</t>
  </si>
  <si>
    <t>High Interest Savings Account (HISA) (no longer available for sale)</t>
  </si>
  <si>
    <t>Business High Interest Savings Account (Business HISA) (no longer available for sale)</t>
  </si>
  <si>
    <t>Unlimited Chequing Account (no longer available for sale)</t>
  </si>
  <si>
    <t>Data.Daily Closing Balance</t>
  </si>
  <si>
    <t>Data.Rate</t>
  </si>
  <si>
    <t>CIBC eAdvantage® Savings Account</t>
  </si>
  <si>
    <t>CIBC Bonus Savings Account</t>
  </si>
  <si>
    <t>CIBC Premium Growth Account</t>
  </si>
  <si>
    <t>CIBC Advantage® for Youth</t>
  </si>
  <si>
    <t>Account Balance</t>
  </si>
  <si>
    <t>TD Every Day Savings Account1</t>
  </si>
  <si>
    <t>$0 to $999.99</t>
  </si>
  <si>
    <t>$1,000 to $4,999.99</t>
  </si>
  <si>
    <t>$5,000 to $9,999.99</t>
  </si>
  <si>
    <t>$10,000 to $24,999.99</t>
  </si>
  <si>
    <t>$25,000 to $59,999.99</t>
  </si>
  <si>
    <t>$60,000 and over</t>
  </si>
  <si>
    <t>TD High Interest Savings Account2</t>
  </si>
  <si>
    <t>$0 to $4,999.99</t>
  </si>
  <si>
    <t>TD ePremium Savings Account2</t>
  </si>
  <si>
    <t>Youth Account3,4</t>
  </si>
  <si>
    <t>$5,000 and over</t>
  </si>
  <si>
    <t>CAD High Rate Savings</t>
  </si>
  <si>
    <t>Product</t>
  </si>
  <si>
    <t>Get Started</t>
  </si>
  <si>
    <t>Open Online</t>
  </si>
  <si>
    <t>TFSA High Interest Savings</t>
  </si>
  <si>
    <t>RRSP High Interest Savings</t>
  </si>
  <si>
    <t>RRIF High Interest Savings</t>
  </si>
  <si>
    <t>Find a Branch</t>
  </si>
  <si>
    <t>Step 1: Scan websites for latest rates</t>
  </si>
  <si>
    <t>Step 2: Export Reports</t>
  </si>
  <si>
    <t>One Click Automation</t>
  </si>
  <si>
    <t>Interest Rates(3)</t>
  </si>
  <si>
    <t>CAD</t>
  </si>
  <si>
    <t>USD</t>
  </si>
  <si>
    <t>Series A</t>
  </si>
  <si>
    <t>Series F</t>
  </si>
  <si>
    <t>Corporate Series A</t>
  </si>
  <si>
    <t>Corporate Series F</t>
  </si>
  <si>
    <t>Notice Period Series A</t>
  </si>
  <si>
    <t>Notice Period Series F</t>
  </si>
  <si>
    <t>$60,000 or more</t>
  </si>
  <si>
    <t>$1,000 - $4,999</t>
  </si>
  <si>
    <t>Under $1,000</t>
  </si>
  <si>
    <t>Scotia U.S. Dollar Daily Interest Account</t>
  </si>
  <si>
    <t>Column4</t>
  </si>
  <si>
    <t>Column5</t>
  </si>
  <si>
    <t>Column6</t>
  </si>
  <si>
    <t>NBI Altamira_x000D_
 CashPerformerAccount and NBI_x000D_
 Altamira U.S. CashPerformer_x000D_
 Account1</t>
  </si>
  <si>
    <t>FundSERV_x000D_
 Codes</t>
  </si>
  <si>
    <t>Rates2</t>
  </si>
  <si>
    <t>Minimum_x000D_
 investment</t>
  </si>
  <si>
    <t>Maximum_x000D_
 investment3</t>
  </si>
  <si>
    <t>NBI Altamira CashPerformer Account</t>
  </si>
  <si>
    <t>National Bank of Canada (NBC) _x000D_
 A Series</t>
  </si>
  <si>
    <t>NBC100</t>
  </si>
  <si>
    <t>$1,000</t>
  </si>
  <si>
    <t>$5,000,000</t>
  </si>
  <si>
    <t>National Bank of Canada (NBC)_x000D_
 F Series</t>
  </si>
  <si>
    <t>NBC200</t>
  </si>
  <si>
    <t>1.60%</t>
  </si>
  <si>
    <t>National Bank Trust (NBT)  _x000D_
 A Series</t>
  </si>
  <si>
    <t>NBC6100</t>
  </si>
  <si>
    <t>$150,000</t>
  </si>
  <si>
    <t>National Bank Trust (NBT)  _x000D_
 F Series</t>
  </si>
  <si>
    <t>NBC6200</t>
  </si>
  <si>
    <t>Natcan Trust Company (NTC)  _x000D_
 A Series</t>
  </si>
  <si>
    <t>NBC8100</t>
  </si>
  <si>
    <t>Natcan Trust Company (NTC)  _x000D_
 F Series</t>
  </si>
  <si>
    <t>NBC8200</t>
  </si>
  <si>
    <t>NBI Altamira U.S. CashPerformer Account</t>
  </si>
  <si>
    <t>National Bank of Canada (NBC)  _x000D_
 A Series</t>
  </si>
  <si>
    <t>NBC101</t>
  </si>
  <si>
    <t>National Bank of Canada (NBC)  _x000D_
 F Series</t>
  </si>
  <si>
    <t>NBC201</t>
  </si>
  <si>
    <t>Account Name</t>
  </si>
  <si>
    <t>Currency</t>
  </si>
  <si>
    <t>Minimum1</t>
  </si>
  <si>
    <t>Maximum</t>
  </si>
  <si>
    <t>Current Rate2</t>
  </si>
  <si>
    <t>TD Investment Savings Account
_x000D_
TDB8150</t>
  </si>
  <si>
    <t>$5 Million</t>
  </si>
  <si>
    <t>TD Investment Savings Account
_x000D_
TDB8152</t>
  </si>
  <si>
    <t>TD Investment Savings Account (TDMC)
_x000D_
TDB8155</t>
  </si>
  <si>
    <t>TD Investment Savings Account (TDPMC)
_x000D_
TDB8157</t>
  </si>
  <si>
    <t>TD Investment Savings Account (CTC)
_x000D_
TDB8159</t>
  </si>
  <si>
    <t>Date</t>
  </si>
  <si>
    <t>Change Author</t>
  </si>
  <si>
    <t>Summary of changes</t>
  </si>
  <si>
    <t>Author AD ID</t>
  </si>
  <si>
    <t>Sean R. Smith</t>
  </si>
  <si>
    <t>smitsean</t>
  </si>
  <si>
    <t>Add error handler for the case of a broken query in the Refresh Data method.
   Handler notifies user of broken query with message box and continues after acknowledgment of error.
Add Dev Change Log for traceability.
Add Colours to User Tabs (Menu, reports sheets) for visual reference.</t>
  </si>
  <si>
    <r>
      <t xml:space="preserve">This table is a summary of changes made to the tool by developers. 
</t>
    </r>
    <r>
      <rPr>
        <b/>
        <sz val="11"/>
        <color theme="1"/>
        <rFont val="Calibri"/>
        <family val="2"/>
        <scheme val="minor"/>
      </rPr>
      <t>New entries should be added to the top</t>
    </r>
    <r>
      <rPr>
        <sz val="11"/>
        <color theme="1"/>
        <rFont val="Calibri"/>
        <family val="2"/>
        <scheme val="minor"/>
      </rPr>
      <t xml:space="preserve"> of the table.
 [ </t>
    </r>
    <r>
      <rPr>
        <b/>
        <sz val="11"/>
        <color theme="1"/>
        <rFont val="Calibri"/>
        <family val="2"/>
        <scheme val="minor"/>
      </rPr>
      <t xml:space="preserve">Alt + Enter </t>
    </r>
    <r>
      <rPr>
        <sz val="11"/>
        <color theme="1"/>
        <rFont val="Calibri"/>
        <family val="2"/>
        <scheme val="minor"/>
      </rPr>
      <t xml:space="preserve">] - add a new line to a cell
[ </t>
    </r>
    <r>
      <rPr>
        <b/>
        <sz val="11"/>
        <color theme="1"/>
        <rFont val="Calibri"/>
        <family val="2"/>
        <scheme val="minor"/>
      </rPr>
      <t xml:space="preserve">Ctrl + ; </t>
    </r>
    <r>
      <rPr>
        <sz val="11"/>
        <color theme="1"/>
        <rFont val="Calibri"/>
        <family val="2"/>
        <scheme val="minor"/>
      </rPr>
      <t xml:space="preserve">] - insert current date to a cell </t>
    </r>
  </si>
  <si>
    <t>Up to $24,999.99</t>
  </si>
  <si>
    <t>Between $25,000 and $49,999.99</t>
  </si>
  <si>
    <t>Between $50,000 and $99,999.99</t>
  </si>
  <si>
    <t>$100,000.00 and over</t>
  </si>
  <si>
    <t>Balance</t>
  </si>
  <si>
    <t>up to $59,999.993</t>
  </si>
  <si>
    <t>$60,000.00 and over3</t>
  </si>
  <si>
    <t>up to $250,000.00</t>
  </si>
  <si>
    <t>up to $250,000.00 when you increase your balance by $200.00 or more per month2</t>
  </si>
  <si>
    <t>$250,000.01 and over</t>
  </si>
  <si>
    <t>up to $4,999.99</t>
  </si>
  <si>
    <t>Balance up to $4,999</t>
  </si>
  <si>
    <t>Balance $5,000 or more</t>
  </si>
  <si>
    <t>Balance $3,000 or more</t>
  </si>
  <si>
    <t>Portion $60,000 and over</t>
  </si>
  <si>
    <t>Balance up to $2,999.99</t>
  </si>
  <si>
    <t>Balance $3,000 to $9,999.99</t>
  </si>
  <si>
    <t>Balance $10,000 to $24,999.99</t>
  </si>
  <si>
    <t>Balance $25,000 to $59,999.99</t>
  </si>
  <si>
    <t>Query Outcome Summary</t>
  </si>
  <si>
    <t>Number</t>
  </si>
  <si>
    <t>Table Name</t>
  </si>
  <si>
    <t>Status</t>
  </si>
  <si>
    <t>Message</t>
  </si>
  <si>
    <t>Success</t>
  </si>
  <si>
    <t>TD_Investment_Savings_Account</t>
  </si>
  <si>
    <t>Lower Bound</t>
  </si>
  <si>
    <t>Competitive Tracker</t>
  </si>
  <si>
    <t>up to $4,999.995</t>
  </si>
  <si>
    <t>$5,000.00 - $24,999.995</t>
  </si>
  <si>
    <t>$25,000.00 - $59,999.993</t>
  </si>
  <si>
    <t>$60,000 and over3</t>
  </si>
  <si>
    <t>Smart Saver Account - CAD</t>
  </si>
  <si>
    <t>Premium Rate Savings Account - CAD</t>
  </si>
  <si>
    <t>Personal accounts no longer offered - CAD</t>
  </si>
  <si>
    <t>Savings Builder Account - CAD</t>
  </si>
  <si>
    <t>Premium Rate Savings Account - US</t>
  </si>
  <si>
    <t>Special Project Savings Account*</t>
  </si>
  <si>
    <t>$100,000 and +</t>
  </si>
  <si>
    <t>Tangerine</t>
  </si>
  <si>
    <t>If Balance is</t>
  </si>
  <si>
    <t>RBC Enhanced Savings®</t>
  </si>
  <si>
    <t>RBC Day to Day Savings®</t>
  </si>
  <si>
    <t>Find &amp; Save™</t>
  </si>
  <si>
    <t>RBC Leo's Young Savers Account®</t>
  </si>
  <si>
    <t>Banking Accounts</t>
  </si>
  <si>
    <t>Banking Accounts for Students</t>
  </si>
  <si>
    <t>RBC Day to Day Banking® linked to VIP1, PRF2 or PRI3</t>
  </si>
  <si>
    <t>RBC Day to Day Savings® linked to VIP1, PRF2 or PRI3</t>
  </si>
  <si>
    <t>RBC Enhanced Savings® linked to VIP1, PRF2 or PRI3</t>
  </si>
  <si>
    <t>U.S. Personal™ Account linked to VIP1, PRF2 or PRI3</t>
  </si>
  <si>
    <t>RBC US High Interest eSavings™</t>
  </si>
  <si>
    <t>U.S. Personal™ Account</t>
  </si>
  <si>
    <t>RateLink Preference® Private Banking including linked accounts4,5</t>
  </si>
  <si>
    <t>RBC Private Banking™</t>
  </si>
  <si>
    <t>RBC Private Banking Savings™</t>
  </si>
  <si>
    <t>RBC Private Banking Enhanced Savings™</t>
  </si>
  <si>
    <t>U.S. Personal™ Private Banking</t>
  </si>
  <si>
    <t>RateLink Essential® and RateLink Preference® including linked accounts4,5</t>
  </si>
  <si>
    <t>Royal Money Maker Plus® Sixty-Plus®</t>
  </si>
  <si>
    <t>Calculator Plus® Sixty-Plus®</t>
  </si>
  <si>
    <t>Signature Plus® Sixty-Plus®</t>
  </si>
  <si>
    <t>U.S. Personal™ Sixty-Plus®</t>
  </si>
  <si>
    <t xml:space="preserve">RBC Day to Day Banking®Special </t>
  </si>
  <si>
    <t>RBC Day to Day Savings®Special</t>
  </si>
  <si>
    <t>RBC Enhanced Savings®Special</t>
  </si>
  <si>
    <t>U.S. Personal™ Account Special</t>
  </si>
  <si>
    <t>Royal Trust Alliance Plan® including linked accounts4</t>
  </si>
  <si>
    <t>Royal Trust T-Bills Savings®</t>
  </si>
  <si>
    <t>Royal Trust Daily Interest Savings</t>
  </si>
  <si>
    <t>Royal Trust Daily Interest Chequing®</t>
  </si>
  <si>
    <t>Royal Trust US Daily Interest®</t>
  </si>
  <si>
    <t>Premium Interest Rate</t>
  </si>
  <si>
    <t>Total Annual Interest Rate</t>
  </si>
  <si>
    <t>Regular Interest Rate</t>
  </si>
  <si>
    <t>Momentum</t>
  </si>
  <si>
    <t>CIBC_Savings_Accounts</t>
  </si>
  <si>
    <t>TD_Savings_Accounts</t>
  </si>
  <si>
    <t>BMO_Savings_Accounts</t>
  </si>
  <si>
    <t>Cash Optimizer Investment Account _x000D_
In effect August 22, 2016</t>
  </si>
  <si>
    <t>Prime Rate _x000D_
As of December 20, 2018</t>
  </si>
  <si>
    <t>B2B Bank Chequing Account ($0 - $49,999.99)4</t>
  </si>
  <si>
    <t>B2B Bank Chequing Account ($50,000.00 - $99,999.99)4</t>
  </si>
  <si>
    <t>B2B Bank Chequing Account ($100,000.00+)4</t>
  </si>
  <si>
    <t>1.85%</t>
  </si>
  <si>
    <t>1.65%</t>
  </si>
  <si>
    <t>1.90%</t>
  </si>
  <si>
    <t>$0 - $249,999</t>
  </si>
  <si>
    <t>CAD $</t>
  </si>
  <si>
    <t>U.S. $</t>
  </si>
  <si>
    <t xml:space="preserve">Scotiabank® Momentum Savings Account TM  </t>
  </si>
  <si>
    <t>Scotiabank® Savings Accelerator Account - Tax-Free Savings Account</t>
  </si>
  <si>
    <t>Execution Time</t>
  </si>
  <si>
    <t>RBC Investment Savings Account</t>
  </si>
  <si>
    <t>Account</t>
  </si>
  <si>
    <t>Smart Saver</t>
  </si>
  <si>
    <t>Momentum Plus Savings</t>
  </si>
  <si>
    <t>Money Master</t>
  </si>
  <si>
    <t>High Interest eSavings</t>
  </si>
  <si>
    <t>Enhanced Savings</t>
  </si>
  <si>
    <t>Savings Acount</t>
  </si>
  <si>
    <t>HiSave Savings</t>
  </si>
  <si>
    <t>Annual Rate (%)</t>
  </si>
  <si>
    <t>Daily Balance</t>
  </si>
  <si>
    <t>$0.00 and up</t>
  </si>
  <si>
    <t>x</t>
  </si>
  <si>
    <t>ICICI</t>
  </si>
  <si>
    <t>Manulife</t>
  </si>
  <si>
    <t>US$ Personal Account</t>
  </si>
  <si>
    <t>US$ Daily Interest Chequing &amp; Borderless Account</t>
  </si>
  <si>
    <t>Investment Savings Account (US$)</t>
  </si>
  <si>
    <t>US$ High Interest eSavings Account</t>
  </si>
  <si>
    <t>US$ Investment Savings Account</t>
  </si>
  <si>
    <t>US$ Premium Rate Savings Account</t>
  </si>
  <si>
    <t>US$ Daily Interest Account</t>
  </si>
  <si>
    <t>US$ Savings Account</t>
  </si>
  <si>
    <t>US$ HiSave Savings Account</t>
  </si>
  <si>
    <t>US$ Advantage Account</t>
  </si>
  <si>
    <t>US$ Cash Performer</t>
  </si>
  <si>
    <t>Cash Optimizer US$ Account</t>
  </si>
  <si>
    <t>$250,000.01 +</t>
  </si>
  <si>
    <t>$150,000 - $249,999</t>
  </si>
  <si>
    <t>$100,000 - $149,999</t>
  </si>
  <si>
    <t>$60,000 - $99,999</t>
  </si>
  <si>
    <t>$50,000 - $59,999</t>
  </si>
  <si>
    <t>$25,000 - $49,999</t>
  </si>
  <si>
    <t>Renaissance High Interest Savings Account</t>
  </si>
  <si>
    <t>Current Canadian Interest Rate</t>
  </si>
  <si>
    <t>Current U.S. Interest Rate</t>
  </si>
  <si>
    <t>TD daily interest chequing and borderless account</t>
  </si>
  <si>
    <t>US Dollar Investment Savings Account</t>
  </si>
  <si>
    <t>CIBC_Renaissance_HISA</t>
  </si>
  <si>
    <t>$0 - $99,999</t>
  </si>
  <si>
    <t xml:space="preserve">$100,000 or more </t>
  </si>
  <si>
    <t>Added US Report accounts, and fixed minor errors.</t>
  </si>
  <si>
    <t>Anila Rudrabhatla</t>
  </si>
  <si>
    <t>rudrabha</t>
  </si>
  <si>
    <t>Investment Savings Account (TDMC)</t>
  </si>
  <si>
    <t xml:space="preserve">Investment Savings Account (TDPMC) </t>
  </si>
  <si>
    <t>Investment Savings Account (CTC)</t>
  </si>
  <si>
    <t>Investment Saving Account</t>
  </si>
  <si>
    <t>Class A</t>
  </si>
  <si>
    <t>ISA Interest Rate</t>
  </si>
  <si>
    <t>Investment Savings Account (Personal)</t>
  </si>
  <si>
    <t>Column1.2</t>
  </si>
  <si>
    <t>Column1.1</t>
  </si>
  <si>
    <t>$5,000.00 to $49,999.99</t>
  </si>
  <si>
    <t>$50,000.00 to $99,999.99</t>
  </si>
  <si>
    <t>$1,00,000.00 to $249,999.99</t>
  </si>
  <si>
    <t>$250,000.00 to $1,000,000.00</t>
  </si>
  <si>
    <t>$1,000,000.01 and over</t>
  </si>
  <si>
    <t>$0 to $9,999.99</t>
  </si>
  <si>
    <t>$10,000.00 to $49,999.99</t>
  </si>
  <si>
    <t>$100,000.00 to $249,999.99</t>
  </si>
  <si>
    <t>High Interest Savings Account (CTC)</t>
  </si>
  <si>
    <t>RBC_Personal_Accounts</t>
  </si>
  <si>
    <t>RBC_Investment_Savings_Account</t>
  </si>
  <si>
    <t>Everyday Banking Account</t>
  </si>
  <si>
    <t>Secured overdraft</t>
  </si>
  <si>
    <t>Manulife_Advantage_Accounts</t>
  </si>
  <si>
    <t>NBC_Bank_Accounts</t>
  </si>
  <si>
    <t>B2B_Rates</t>
  </si>
  <si>
    <t>Meridian_Rates</t>
  </si>
  <si>
    <t>Altamira_Rates</t>
  </si>
  <si>
    <t>1.60% p.a.</t>
  </si>
  <si>
    <t>1.00% p.a.</t>
  </si>
  <si>
    <t>ISA CAD</t>
  </si>
  <si>
    <t>Under $25,000</t>
  </si>
  <si>
    <t>$25,000 - $2,000,000</t>
  </si>
  <si>
    <t>Under €4,999</t>
  </si>
  <si>
    <t>€5,000 - €9,999</t>
  </si>
  <si>
    <t>€10,000 - €24,999</t>
  </si>
  <si>
    <t>€25,000 - €59,999</t>
  </si>
  <si>
    <t>€60,000 or more</t>
  </si>
  <si>
    <t>Scotia Euro Daily Interest Savings Account</t>
  </si>
  <si>
    <t>Money Master® for business (not available)</t>
  </si>
  <si>
    <t>Scotia Power Savings Account TM (not available)</t>
  </si>
  <si>
    <t>Scotia Power Savings for business (not available)</t>
  </si>
  <si>
    <t>Scotia® Tax-Free Savings Account1 (not available)</t>
  </si>
  <si>
    <t>Investment Cash# (not available)</t>
  </si>
  <si>
    <t>Manulife_ISA_CAD</t>
  </si>
  <si>
    <t>Business Advantage Account</t>
  </si>
  <si>
    <t>Tax-Free Advantage Account</t>
  </si>
  <si>
    <t>Registered Advantage Account</t>
  </si>
  <si>
    <t>Retirement Income Advantage Account</t>
  </si>
  <si>
    <t>US$ Business Advantage Account</t>
  </si>
  <si>
    <t>ISA USD</t>
  </si>
  <si>
    <t>All in Banking Package</t>
  </si>
  <si>
    <t>High-interest Advantage Account</t>
  </si>
  <si>
    <t>$500 - $999</t>
  </si>
  <si>
    <t>$0 - $499</t>
  </si>
  <si>
    <t>$150,000 +</t>
  </si>
  <si>
    <t>TD Investment Savings Account</t>
  </si>
  <si>
    <t>TD Every Day Savings Account</t>
  </si>
  <si>
    <t>Market Comparative (Jul 18, 2018)</t>
  </si>
  <si>
    <t>Market Comparative (Jul 17, 2018)</t>
  </si>
  <si>
    <t>Canadian Dollar Savings Accounts</t>
  </si>
  <si>
    <t>Savings Builder Account</t>
  </si>
  <si>
    <t>High Rate Savings</t>
  </si>
  <si>
    <t>Premium Rate Savings Account</t>
  </si>
  <si>
    <t>CIBC_Wood_Gundy_HISA_CTC</t>
  </si>
  <si>
    <t>Simplii_HISA</t>
  </si>
  <si>
    <t>Manulife_All_in_Banking_Package</t>
  </si>
  <si>
    <t>Manulife_ISA_USD</t>
  </si>
  <si>
    <t>Added Broker Report accounts, fixed minor errors, and added total execution time to message box at end. Hid Rate Effective Date, Original Launch Date as they are not functional right now.</t>
  </si>
  <si>
    <t>High-Interest Cash Performer (NBC)</t>
  </si>
  <si>
    <t>USD High Rate Savings</t>
  </si>
  <si>
    <t>GBP High Rate Savings*</t>
  </si>
  <si>
    <t>EUR High Rate Savings*</t>
  </si>
  <si>
    <t>HKD Foreign Currency Savings</t>
  </si>
  <si>
    <t>RMB Foreign Currency Savings</t>
  </si>
  <si>
    <t>Up to $24,999.99</t>
  </si>
  <si>
    <t>$100,000.00 and over*</t>
  </si>
  <si>
    <t xml:space="preserve">USD High Rate Savings </t>
  </si>
  <si>
    <t>US$ Investment Savings Account (Personal)</t>
  </si>
  <si>
    <t>CDN Retail Accounts</t>
  </si>
  <si>
    <t>USD Retail &amp; Class A Broker Accounts</t>
  </si>
  <si>
    <t>CDN Class A Broker Accounts</t>
  </si>
  <si>
    <t>TD_US_Daily_Interest</t>
  </si>
  <si>
    <t>HSBC_CAD_Savings</t>
  </si>
  <si>
    <t>HSBC_Foreign_Savings</t>
  </si>
  <si>
    <t>$0.00 to $999.99</t>
  </si>
  <si>
    <t>0.000</t>
  </si>
  <si>
    <t>$1,000.00 to $2,999.99</t>
  </si>
  <si>
    <t>$3,000.00 to $4,999.99</t>
  </si>
  <si>
    <t>$5,000.00 to $24,999.99</t>
  </si>
  <si>
    <t>0.001</t>
  </si>
  <si>
    <t>$60,000.00 and over</t>
  </si>
  <si>
    <t>0.001 P</t>
  </si>
  <si>
    <t>0.005</t>
  </si>
  <si>
    <t>0.010</t>
  </si>
  <si>
    <t>0.010 P</t>
  </si>
  <si>
    <t>$0.00 to $4,999.99</t>
  </si>
  <si>
    <t>$5,000.00 to $9,999.99</t>
  </si>
  <si>
    <t>0.025 P</t>
  </si>
  <si>
    <t>$100,000.00 to $149,999.99</t>
  </si>
  <si>
    <t>0.050 P</t>
  </si>
  <si>
    <t>$150,000.00 to $249,999.99</t>
  </si>
  <si>
    <t>0.150 P</t>
  </si>
  <si>
    <t>$250,000.00 and over</t>
  </si>
  <si>
    <t>$0.00 and $999.99</t>
  </si>
  <si>
    <t>$1,000.00 and $2,999.99</t>
  </si>
  <si>
    <t>$3,000.00 and $4,999.99</t>
  </si>
  <si>
    <t>$5,000.00 and $9,999.99</t>
  </si>
  <si>
    <t>$10,000.00 and $24,999.99</t>
  </si>
  <si>
    <t>$25,000.00 and $59,999.99</t>
  </si>
  <si>
    <t>$60,000.00 and $99,999.99</t>
  </si>
  <si>
    <t>0.005 P</t>
  </si>
  <si>
    <t>$100,000.00 and $149,999.99</t>
  </si>
  <si>
    <t>$150,000.00 and $249,999.99</t>
  </si>
  <si>
    <t>$0.00 to $499.99</t>
  </si>
  <si>
    <t>$500.00 to $999.99</t>
  </si>
  <si>
    <t>$0.00 to $2,999.99</t>
  </si>
  <si>
    <t>0.100 P</t>
  </si>
  <si>
    <t>$250,000.00 and $499,999.99</t>
  </si>
  <si>
    <t>$500,000.00 and $999,999.99</t>
  </si>
  <si>
    <t>$1,000,000.00 and over</t>
  </si>
  <si>
    <t>All balances</t>
  </si>
  <si>
    <t>0.150</t>
  </si>
  <si>
    <t>0.500</t>
  </si>
  <si>
    <t>1.000</t>
  </si>
  <si>
    <t>Home_Trust_Company</t>
  </si>
  <si>
    <t>EQ_Bank_Savings_Plus_Account</t>
  </si>
  <si>
    <t>ICICI_Savings_Accounts</t>
  </si>
  <si>
    <t>CT_HISA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</si>
</sst>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
  </numFmts>
  <fonts count="17" x14ac:knownFonts="1">
    <font>
      <sz val="11"/>
      <color theme="1"/>
      <name val="Calibri"/>
      <family val="2"/>
      <scheme val="minor"/>
    </font>
    <font>
      <sz val="9"/>
      <color rgb="FF333333"/>
      <name val="Arial"/>
      <family val="2"/>
    </font>
    <font>
      <b/>
      <sz val="20"/>
      <name val="Times New Roman"/>
      <family val="1"/>
    </font>
    <font>
      <sz val="10"/>
      <name val="Times New Roman"/>
      <family val="1"/>
    </font>
    <font>
      <b/>
      <u/>
      <sz val="20"/>
      <name val="Times New Roman"/>
      <family val="1"/>
    </font>
    <font>
      <b/>
      <u/>
      <sz val="10"/>
      <name val="Times New Roman"/>
      <family val="1"/>
    </font>
    <font>
      <b/>
      <sz val="10"/>
      <name val="Times New Roman"/>
      <family val="1"/>
    </font>
    <font>
      <sz val="10"/>
      <name val="Arial"/>
      <family val="2"/>
    </font>
    <font>
      <b/>
      <sz val="10"/>
      <name val="Arial"/>
      <family val="2"/>
    </font>
    <font>
      <sz val="11"/>
      <color rgb="FF000000"/>
      <name val="Calibri"/>
      <family val="2"/>
    </font>
    <font>
      <sz val="22"/>
      <color theme="0"/>
      <name val="Calibri"/>
      <family val="2"/>
      <scheme val="minor"/>
    </font>
    <font>
      <b/>
      <sz val="11"/>
      <color theme="1"/>
      <name val="Calibri"/>
      <family val="2"/>
      <scheme val="minor"/>
    </font>
    <font>
      <b/>
      <sz val="12"/>
      <color theme="1"/>
      <name val="Calibri"/>
      <family val="2"/>
      <scheme val="minor"/>
    </font>
    <font>
      <sz val="11"/>
      <color theme="1"/>
      <name val="Calibri"/>
      <family val="2"/>
      <scheme val="minor"/>
    </font>
    <font>
      <sz val="11"/>
      <color rgb="FF000000"/>
      <name val="Calibri"/>
      <family val="2"/>
      <scheme val="minor"/>
    </font>
    <font>
      <i/>
      <sz val="10"/>
      <name val="Times New Roman"/>
      <family val="1"/>
    </font>
    <font>
      <b/>
      <sz val="11"/>
      <color theme="0"/>
      <name val="Calibri"/>
      <family val="2"/>
      <scheme val="minor"/>
    </font>
  </fonts>
  <fills count="14">
    <fill>
      <patternFill patternType="none"/>
    </fill>
    <fill>
      <patternFill patternType="gray125"/>
    </fill>
    <fill>
      <patternFill patternType="solid">
        <fgColor theme="2" tint="-9.9978637043366805E-2"/>
        <bgColor indexed="64"/>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9A0A0A"/>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indexed="13"/>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s>
  <cellStyleXfs count="2">
    <xf numFmtId="0" fontId="0" fillId="0" borderId="0"/>
    <xf numFmtId="9" fontId="13" fillId="0" borderId="0" applyFont="0" applyFill="0" applyBorder="0" applyAlignment="0" applyProtection="0"/>
  </cellStyleXfs>
  <cellXfs count="85">
    <xf numFmtId="0" fontId="0" fillId="0" borderId="0" xfId="0"/>
    <xf numFmtId="0" fontId="0" fillId="2" borderId="0" xfId="0" applyFill="1"/>
    <xf numFmtId="0" fontId="1" fillId="0" borderId="0" xfId="0" applyFont="1"/>
    <xf numFmtId="0" fontId="3" fillId="0" borderId="0" xfId="0" applyFont="1"/>
    <xf numFmtId="0" fontId="4" fillId="0" borderId="0" xfId="0" applyFont="1"/>
    <xf numFmtId="0" fontId="5" fillId="0" borderId="0" xfId="0" applyFont="1"/>
    <xf numFmtId="0" fontId="6" fillId="0" borderId="0" xfId="0" applyFont="1"/>
    <xf numFmtId="0" fontId="3" fillId="0" borderId="1" xfId="0" applyFont="1" applyBorder="1" applyAlignment="1">
      <alignment horizontal="center"/>
    </xf>
    <xf numFmtId="0" fontId="3" fillId="6" borderId="1" xfId="0" applyFont="1" applyFill="1" applyBorder="1" applyAlignment="1">
      <alignment horizontal="center"/>
    </xf>
    <xf numFmtId="0" fontId="3" fillId="0" borderId="0" xfId="0" applyFont="1" applyAlignment="1">
      <alignment horizontal="center"/>
    </xf>
    <xf numFmtId="0" fontId="3" fillId="0" borderId="1" xfId="0" applyFont="1" applyBorder="1" applyAlignment="1">
      <alignment horizontal="left"/>
    </xf>
    <xf numFmtId="164" fontId="3" fillId="0" borderId="1" xfId="0" applyNumberFormat="1" applyFont="1" applyBorder="1" applyAlignment="1">
      <alignment horizontal="center"/>
    </xf>
    <xf numFmtId="164" fontId="3" fillId="3" borderId="1" xfId="0" applyNumberFormat="1" applyFont="1" applyFill="1" applyBorder="1" applyAlignment="1">
      <alignment horizontal="center"/>
    </xf>
    <xf numFmtId="164" fontId="3" fillId="6" borderId="1" xfId="0" applyNumberFormat="1" applyFont="1" applyFill="1" applyBorder="1" applyAlignment="1">
      <alignment horizontal="center"/>
    </xf>
    <xf numFmtId="0" fontId="3" fillId="0" borderId="1" xfId="0" applyFont="1" applyBorder="1"/>
    <xf numFmtId="17" fontId="3" fillId="0" borderId="1" xfId="0" applyNumberFormat="1" applyFont="1" applyBorder="1" applyAlignment="1">
      <alignment horizontal="center"/>
    </xf>
    <xf numFmtId="17" fontId="3" fillId="3" borderId="1" xfId="0" applyNumberFormat="1" applyFont="1" applyFill="1" applyBorder="1" applyAlignment="1">
      <alignment horizontal="center"/>
    </xf>
    <xf numFmtId="14" fontId="0" fillId="0" borderId="0" xfId="0" applyNumberFormat="1"/>
    <xf numFmtId="0" fontId="0" fillId="0" borderId="0" xfId="0" applyNumberFormat="1"/>
    <xf numFmtId="0" fontId="0" fillId="6" borderId="0" xfId="0" applyFill="1" applyBorder="1"/>
    <xf numFmtId="0" fontId="10" fillId="7" borderId="1" xfId="0" applyFont="1" applyFill="1" applyBorder="1" applyAlignment="1">
      <alignment horizontal="center" vertical="center"/>
    </xf>
    <xf numFmtId="0" fontId="0" fillId="9" borderId="1" xfId="0" applyFill="1" applyBorder="1"/>
    <xf numFmtId="0" fontId="3" fillId="0" borderId="0" xfId="0" applyFont="1" applyFill="1" applyAlignment="1">
      <alignment horizontal="center"/>
    </xf>
    <xf numFmtId="0" fontId="12" fillId="0" borderId="0" xfId="0" applyFont="1" applyAlignment="1">
      <alignment vertical="top"/>
    </xf>
    <xf numFmtId="49" fontId="12" fillId="0" borderId="0" xfId="0" applyNumberFormat="1" applyFont="1" applyAlignment="1">
      <alignment vertical="top" wrapText="1"/>
    </xf>
    <xf numFmtId="14" fontId="12" fillId="0" borderId="0" xfId="0" applyNumberFormat="1" applyFont="1" applyAlignment="1">
      <alignment vertical="top"/>
    </xf>
    <xf numFmtId="14" fontId="0" fillId="0" borderId="0" xfId="0" applyNumberFormat="1" applyAlignment="1">
      <alignment vertical="top"/>
    </xf>
    <xf numFmtId="49" fontId="0" fillId="0" borderId="0" xfId="0" applyNumberFormat="1" applyAlignment="1">
      <alignment vertical="top" wrapText="1"/>
    </xf>
    <xf numFmtId="0" fontId="0" fillId="0" borderId="0" xfId="0" applyAlignment="1">
      <alignment vertical="top"/>
    </xf>
    <xf numFmtId="14" fontId="0" fillId="0" borderId="0" xfId="0" applyNumberFormat="1" applyAlignment="1">
      <alignment horizontal="center" vertical="center" wrapText="1"/>
    </xf>
    <xf numFmtId="14" fontId="0" fillId="0" borderId="0" xfId="0" applyNumberFormat="1" applyAlignment="1">
      <alignment horizontal="center" vertical="center"/>
    </xf>
    <xf numFmtId="10" fontId="0" fillId="0" borderId="0" xfId="1" applyNumberFormat="1" applyFont="1"/>
    <xf numFmtId="0" fontId="11" fillId="6" borderId="4" xfId="0" applyFont="1" applyFill="1" applyBorder="1" applyAlignment="1">
      <alignment horizontal="center"/>
    </xf>
    <xf numFmtId="0" fontId="0" fillId="8" borderId="4" xfId="0" applyFill="1" applyBorder="1"/>
    <xf numFmtId="0" fontId="0" fillId="8" borderId="3" xfId="0" applyFill="1" applyBorder="1"/>
    <xf numFmtId="0" fontId="0" fillId="8" borderId="2" xfId="0" applyFill="1" applyBorder="1"/>
    <xf numFmtId="0" fontId="0" fillId="9" borderId="2" xfId="0" applyFill="1" applyBorder="1"/>
    <xf numFmtId="0" fontId="0" fillId="7" borderId="2" xfId="0" applyFill="1" applyBorder="1"/>
    <xf numFmtId="0" fontId="0" fillId="6" borderId="0" xfId="0" applyFill="1" applyBorder="1" applyAlignment="1">
      <alignment horizontal="left"/>
    </xf>
    <xf numFmtId="0" fontId="11" fillId="0" borderId="0" xfId="0" applyFont="1"/>
    <xf numFmtId="0" fontId="14" fillId="0" borderId="0" xfId="0" applyFont="1" applyAlignment="1">
      <alignment vertical="center"/>
    </xf>
    <xf numFmtId="164" fontId="3" fillId="0" borderId="1" xfId="0" applyNumberFormat="1" applyFont="1" applyFill="1" applyBorder="1" applyAlignment="1">
      <alignment horizontal="center"/>
    </xf>
    <xf numFmtId="0" fontId="0" fillId="0" borderId="0" xfId="0"/>
    <xf numFmtId="0" fontId="3" fillId="0" borderId="1" xfId="0" applyFont="1" applyBorder="1" applyAlignment="1">
      <alignment horizontal="center"/>
    </xf>
    <xf numFmtId="0" fontId="3" fillId="3" borderId="1" xfId="0" applyFont="1" applyFill="1" applyBorder="1" applyAlignment="1">
      <alignment horizontal="center"/>
    </xf>
    <xf numFmtId="0" fontId="3" fillId="0" borderId="1" xfId="0" applyFont="1" applyFill="1" applyBorder="1" applyAlignment="1">
      <alignment horizontal="center"/>
    </xf>
    <xf numFmtId="0" fontId="5" fillId="0" borderId="0" xfId="0" quotePrefix="1" applyFont="1" applyFill="1" applyAlignment="1">
      <alignment horizontal="left"/>
    </xf>
    <xf numFmtId="0" fontId="2" fillId="0" borderId="0" xfId="0" applyFont="1" applyAlignment="1"/>
    <xf numFmtId="0" fontId="3" fillId="4" borderId="8" xfId="0" applyFont="1" applyFill="1" applyBorder="1"/>
    <xf numFmtId="0" fontId="3" fillId="4" borderId="9" xfId="0" applyFont="1" applyFill="1" applyBorder="1" applyAlignment="1">
      <alignment horizontal="center"/>
    </xf>
    <xf numFmtId="0" fontId="3" fillId="5" borderId="10" xfId="0" applyFont="1" applyFill="1" applyBorder="1" applyAlignment="1">
      <alignment horizontal="center" wrapText="1"/>
    </xf>
    <xf numFmtId="0" fontId="3" fillId="4" borderId="1" xfId="0" applyFont="1" applyFill="1" applyBorder="1"/>
    <xf numFmtId="0" fontId="3" fillId="4" borderId="1" xfId="0" applyFont="1" applyFill="1" applyBorder="1" applyAlignment="1">
      <alignment horizontal="center" wrapText="1"/>
    </xf>
    <xf numFmtId="0" fontId="3" fillId="5" borderId="1" xfId="0" applyFont="1" applyFill="1" applyBorder="1" applyAlignment="1">
      <alignment horizontal="center" wrapText="1"/>
    </xf>
    <xf numFmtId="0" fontId="0" fillId="3" borderId="0" xfId="0" applyFill="1" applyBorder="1"/>
    <xf numFmtId="0" fontId="8" fillId="0" borderId="0" xfId="0" applyFont="1" applyBorder="1"/>
    <xf numFmtId="0" fontId="7" fillId="0" borderId="0" xfId="0" applyFont="1" applyBorder="1"/>
    <xf numFmtId="0" fontId="7" fillId="3" borderId="0" xfId="0" applyFont="1" applyFill="1" applyBorder="1"/>
    <xf numFmtId="0" fontId="0" fillId="0" borderId="0" xfId="0" applyBorder="1"/>
    <xf numFmtId="0" fontId="3" fillId="4" borderId="10" xfId="0" applyFont="1" applyFill="1" applyBorder="1" applyAlignment="1">
      <alignment horizontal="center"/>
    </xf>
    <xf numFmtId="0" fontId="15" fillId="0" borderId="1" xfId="0" applyFont="1" applyFill="1" applyBorder="1" applyAlignment="1">
      <alignment horizontal="center"/>
    </xf>
    <xf numFmtId="0" fontId="16" fillId="11" borderId="11" xfId="0" applyFont="1" applyFill="1" applyBorder="1"/>
    <xf numFmtId="0" fontId="16" fillId="11" borderId="12" xfId="0" applyFont="1" applyFill="1" applyBorder="1"/>
    <xf numFmtId="0" fontId="16" fillId="11" borderId="13" xfId="0" applyFont="1" applyFill="1" applyBorder="1"/>
    <xf numFmtId="0" fontId="7" fillId="0" borderId="0" xfId="0" applyFont="1" applyFill="1" applyBorder="1"/>
    <xf numFmtId="0" fontId="4" fillId="0" borderId="0" xfId="0" applyFont="1" applyAlignment="1"/>
    <xf numFmtId="0" fontId="0" fillId="12" borderId="11" xfId="0" applyNumberFormat="1" applyFont="1" applyFill="1" applyBorder="1"/>
    <xf numFmtId="0" fontId="0" fillId="0" borderId="11" xfId="0" applyNumberFormat="1" applyFont="1" applyBorder="1"/>
    <xf numFmtId="0" fontId="0" fillId="12" borderId="13" xfId="0" applyFont="1" applyFill="1" applyBorder="1"/>
    <xf numFmtId="0" fontId="0" fillId="12" borderId="12" xfId="0" applyFont="1" applyFill="1" applyBorder="1"/>
    <xf numFmtId="0" fontId="0" fillId="0" borderId="13" xfId="0" applyFont="1" applyBorder="1"/>
    <xf numFmtId="0" fontId="0" fillId="0" borderId="12" xfId="0" applyFont="1" applyBorder="1"/>
    <xf numFmtId="0" fontId="3" fillId="4" borderId="7" xfId="0" applyFont="1" applyFill="1" applyBorder="1" applyAlignment="1">
      <alignment horizontal="center"/>
    </xf>
    <xf numFmtId="0" fontId="4" fillId="0" borderId="0" xfId="0" applyFont="1" applyFill="1"/>
    <xf numFmtId="0" fontId="0" fillId="0" borderId="0" xfId="0" applyNumberFormat="1" applyBorder="1"/>
    <xf numFmtId="0" fontId="4" fillId="0" borderId="0" xfId="0" applyFont="1" applyFill="1" applyAlignment="1"/>
    <xf numFmtId="2" fontId="3" fillId="0" borderId="1" xfId="0" applyNumberFormat="1" applyFont="1" applyFill="1" applyBorder="1" applyAlignment="1">
      <alignment horizontal="center"/>
    </xf>
    <xf numFmtId="17" fontId="3" fillId="0" borderId="1" xfId="0" applyNumberFormat="1" applyFont="1" applyFill="1" applyBorder="1" applyAlignment="1">
      <alignment horizontal="center"/>
    </xf>
    <xf numFmtId="0" fontId="15" fillId="0" borderId="1" xfId="0" applyNumberFormat="1" applyFont="1" applyFill="1" applyBorder="1" applyAlignment="1">
      <alignment horizontal="center"/>
    </xf>
    <xf numFmtId="0" fontId="3" fillId="13" borderId="1" xfId="0" applyFont="1" applyFill="1" applyBorder="1" applyAlignment="1">
      <alignment horizontal="center"/>
    </xf>
    <xf numFmtId="0" fontId="10" fillId="7" borderId="5" xfId="0" applyFont="1" applyFill="1" applyBorder="1" applyAlignment="1">
      <alignment horizontal="center" vertical="center"/>
    </xf>
    <xf numFmtId="0" fontId="10" fillId="7" borderId="6" xfId="0" applyFont="1" applyFill="1" applyBorder="1" applyAlignment="1">
      <alignment horizontal="center" vertical="center"/>
    </xf>
    <xf numFmtId="0" fontId="10" fillId="7" borderId="7" xfId="0" applyFont="1" applyFill="1" applyBorder="1" applyAlignment="1">
      <alignment horizontal="center" vertical="center"/>
    </xf>
    <xf numFmtId="14" fontId="0" fillId="10" borderId="0" xfId="0" applyNumberFormat="1" applyFill="1" applyAlignment="1">
      <alignment horizontal="center" vertical="center" wrapText="1"/>
    </xf>
    <xf numFmtId="14" fontId="0" fillId="10" borderId="0" xfId="0" applyNumberFormat="1" applyFill="1" applyAlignment="1">
      <alignment horizontal="center" vertical="center"/>
    </xf>
  </cellXfs>
  <cellStyles count="2">
    <cellStyle name="Normal" xfId="0" builtinId="0"/>
    <cellStyle name="Percent" xfId="1" builtinId="5"/>
  </cellStyles>
  <dxfs count="41">
    <dxf>
      <numFmt numFmtId="0" formatCode="General"/>
    </dxf>
    <dxf>
      <numFmt numFmtId="14" formatCode="0.00%"/>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4" formatCode="0.00%"/>
    </dxf>
    <dxf>
      <border diagonalUp="0" diagonalDown="0">
        <left style="thin">
          <color indexed="64"/>
        </left>
        <right style="thin">
          <color indexed="64"/>
        </right>
        <top/>
        <bottom/>
        <vertical style="thin">
          <color indexed="64"/>
        </vertical>
        <horizontal style="thin">
          <color indexed="64"/>
        </horizontal>
      </border>
    </dxf>
    <dxf>
      <numFmt numFmtId="0" formatCode="General"/>
    </dxf>
    <dxf>
      <numFmt numFmtId="0" formatCode="General"/>
    </dxf>
    <dxf>
      <alignment horizontal="general" vertical="top" textRotation="0" indent="0" justifyLastLine="0" shrinkToFit="0" readingOrder="0"/>
    </dxf>
    <dxf>
      <alignment horizontal="general" vertical="top" textRotation="0" indent="0" justifyLastLine="0" shrinkToFit="0" readingOrder="0"/>
    </dxf>
    <dxf>
      <numFmt numFmtId="30" formatCode="@"/>
      <alignment horizontal="general" vertical="top" textRotation="0" wrapText="1" indent="0" justifyLastLine="0" shrinkToFit="0" readingOrder="0"/>
    </dxf>
    <dxf>
      <numFmt numFmtId="19" formatCode="m/d/yyyy"/>
      <alignment horizontal="general" vertical="top" textRotation="0" indent="0" justifyLastLine="0" shrinkToFit="0" readingOrder="0"/>
    </dxf>
    <dxf>
      <alignment horizontal="general" vertical="top" textRotation="0" indent="0" justifyLastLine="0" shrinkToFit="0" readingOrder="0"/>
    </dxf>
    <dxf>
      <font>
        <b/>
        <i val="0"/>
        <strike val="0"/>
        <condense val="0"/>
        <extend val="0"/>
        <outline val="0"/>
        <shadow val="0"/>
        <u val="none"/>
        <vertAlign val="baseline"/>
        <sz val="12"/>
        <color theme="1"/>
        <name val="Calibri"/>
        <family val="2"/>
        <scheme val="minor"/>
      </font>
      <alignment horizontal="general" vertical="top" textRotation="0" indent="0" justifyLastLine="0" shrinkToFit="0" readingOrder="0"/>
    </dxf>
  </dxfs>
  <tableStyles count="0" defaultTableStyle="TableStyleMedium2" defaultPivotStyle="PivotStyleLight16"/>
  <colors>
    <mruColors>
      <color rgb="FF9A0A0A"/>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104775</xdr:colOff>
          <xdr:row>10</xdr:row>
          <xdr:rowOff>95250</xdr:rowOff>
        </xdr:from>
        <xdr:to>
          <xdr:col>1</xdr:col>
          <xdr:colOff>1495425</xdr:colOff>
          <xdr:row>12</xdr:row>
          <xdr:rowOff>104775</xdr:rowOff>
        </xdr:to>
        <xdr:sp macro="" textlink="">
          <xdr:nvSpPr>
            <xdr:cNvPr id="23564" name="Button 12" hidden="1">
              <a:extLst>
                <a:ext uri="{63B3BB69-23CF-44E3-9099-C40C66FF867C}">
                  <a14:compatExt spid="_x0000_s23564"/>
                </a:ext>
                <a:ext uri="{FF2B5EF4-FFF2-40B4-BE49-F238E27FC236}">
                  <a16:creationId xmlns:a16="http://schemas.microsoft.com/office/drawing/2014/main" id="{00000000-0008-0000-0000-00000C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Retail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10</xdr:row>
          <xdr:rowOff>95250</xdr:rowOff>
        </xdr:from>
        <xdr:to>
          <xdr:col>1</xdr:col>
          <xdr:colOff>3390900</xdr:colOff>
          <xdr:row>12</xdr:row>
          <xdr:rowOff>104775</xdr:rowOff>
        </xdr:to>
        <xdr:sp macro="" textlink="">
          <xdr:nvSpPr>
            <xdr:cNvPr id="23565" name="Button 13" hidden="1">
              <a:extLst>
                <a:ext uri="{63B3BB69-23CF-44E3-9099-C40C66FF867C}">
                  <a14:compatExt spid="_x0000_s23565"/>
                </a:ext>
                <a:ext uri="{FF2B5EF4-FFF2-40B4-BE49-F238E27FC236}">
                  <a16:creationId xmlns:a16="http://schemas.microsoft.com/office/drawing/2014/main" id="{00000000-0008-0000-0000-00000D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3886200</xdr:colOff>
          <xdr:row>10</xdr:row>
          <xdr:rowOff>104775</xdr:rowOff>
        </xdr:from>
        <xdr:to>
          <xdr:col>1</xdr:col>
          <xdr:colOff>5276850</xdr:colOff>
          <xdr:row>12</xdr:row>
          <xdr:rowOff>114300</xdr:rowOff>
        </xdr:to>
        <xdr:sp macro="" textlink="">
          <xdr:nvSpPr>
            <xdr:cNvPr id="23566" name="Button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Broker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13</xdr:row>
          <xdr:rowOff>85725</xdr:rowOff>
        </xdr:from>
        <xdr:to>
          <xdr:col>1</xdr:col>
          <xdr:colOff>3905250</xdr:colOff>
          <xdr:row>15</xdr:row>
          <xdr:rowOff>76200</xdr:rowOff>
        </xdr:to>
        <xdr:sp macro="" textlink="">
          <xdr:nvSpPr>
            <xdr:cNvPr id="23567" name="Button 15" hidden="1">
              <a:extLst>
                <a:ext uri="{63B3BB69-23CF-44E3-9099-C40C66FF867C}">
                  <a14:compatExt spid="_x0000_s23567"/>
                </a:ext>
                <a:ext uri="{FF2B5EF4-FFF2-40B4-BE49-F238E27FC236}">
                  <a16:creationId xmlns:a16="http://schemas.microsoft.com/office/drawing/2014/main" id="{00000000-0008-0000-0000-00000F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1495425</xdr:colOff>
          <xdr:row>18</xdr:row>
          <xdr:rowOff>152400</xdr:rowOff>
        </xdr:from>
        <xdr:to>
          <xdr:col>1</xdr:col>
          <xdr:colOff>4019550</xdr:colOff>
          <xdr:row>22</xdr:row>
          <xdr:rowOff>38100</xdr:rowOff>
        </xdr:to>
        <xdr:sp macro="" textlink="">
          <xdr:nvSpPr>
            <xdr:cNvPr id="23568" name="Button 16" hidden="1">
              <a:extLst>
                <a:ext uri="{63B3BB69-23CF-44E3-9099-C40C66FF867C}">
                  <a14:compatExt spid="_x0000_s23568"/>
                </a:ext>
                <a:ext uri="{FF2B5EF4-FFF2-40B4-BE49-F238E27FC236}">
                  <a16:creationId xmlns:a16="http://schemas.microsoft.com/office/drawing/2014/main" id="{00000000-0008-0000-0000-000010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&amp; 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5</xdr:row>
          <xdr:rowOff>104775</xdr:rowOff>
        </xdr:from>
        <xdr:to>
          <xdr:col>1</xdr:col>
          <xdr:colOff>3905250</xdr:colOff>
          <xdr:row>7</xdr:row>
          <xdr:rowOff>95250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0000-00001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All Rates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xdr:colOff>
      <xdr:row>0</xdr:row>
      <xdr:rowOff>0</xdr:rowOff>
    </xdr:from>
    <xdr:to>
      <xdr:col>0</xdr:col>
      <xdr:colOff>918882</xdr:colOff>
      <xdr:row>3</xdr:row>
      <xdr:rowOff>73959</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7" xr16:uid="{00000000-0016-0000-0500-000000000000}" autoFormatId="16" applyNumberFormats="0" applyBorderFormats="0" applyFontFormats="0" applyPatternFormats="0" applyAlignmentFormats="0" applyWidthHeightFormats="0">
  <queryTableRefresh nextId="3">
    <queryTableFields count="2">
      <queryTableField id="1" name="Data.Daily Closing Balance" tableColumnId="1"/>
      <queryTableField id="2" name="Data.Rat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5" connectionId="6" xr16:uid="{DE2D135F-A6BF-48D5-86EE-0830FB480B2A}" autoFormatId="16" applyNumberFormats="0" applyBorderFormats="0" applyFontFormats="0" applyPatternFormats="0" applyAlignmentFormats="0" applyWidthHeightFormats="0">
  <queryTableRefresh nextId="5">
    <queryTableFields count="2">
      <queryTableField id="3" name="Column1.2" tableColumnId="1"/>
      <queryTableField id="4" name="Column1.1"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6" connectionId="8" xr16:uid="{AF33AA8F-7197-41E0-86EB-A2A5AF097654}" autoFormatId="16" applyNumberFormats="0" applyBorderFormats="0" applyFontFormats="0" applyPatternFormats="0" applyAlignmentFormats="0" applyWidthHeightFormats="0">
  <queryTableRefresh nextId="2">
    <queryTableFields count="1">
      <queryTableField id="1" name="ISA Interest Rate" tableColumnId="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33" xr16:uid="{00000000-0016-0000-0600-000001000000}" autoFormatId="16" applyNumberFormats="0" applyBorderFormats="0" applyFontFormats="0" applyPatternFormats="0" applyAlignmentFormats="0" applyWidthHeightFormats="0">
  <queryTableRefresh nextId="5">
    <queryTableFields count="2">
      <queryTableField id="3" name="Account Balance" tableColumnId="1"/>
      <queryTableField id="4" name="Interest Rate"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2" connectionId="32" xr16:uid="{00000000-0016-0000-0600-000002000000}" autoFormatId="16" applyNumberFormats="0" applyBorderFormats="0" applyFontFormats="0" applyPatternFormats="0" applyAlignmentFormats="0" applyWidthHeightFormats="0">
  <queryTableRefresh nextId="6">
    <queryTableFields count="5">
      <queryTableField id="1" name="Account Name" tableColumnId="1"/>
      <queryTableField id="2" name="Currency" tableColumnId="2"/>
      <queryTableField id="3" name="Minimum1" tableColumnId="3"/>
      <queryTableField id="4" name="Maximum" tableColumnId="4"/>
      <queryTableField id="5" name="Current Rate2" tableColumnId="5"/>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4" connectionId="35" xr16:uid="{D546BCAE-BD42-47E8-B96D-8D3D6A017649}" autoFormatId="16" applyNumberFormats="0" applyBorderFormats="0" applyFontFormats="0" applyPatternFormats="0" applyAlignmentFormats="0" applyWidthHeightFormats="0">
  <queryTableRefresh nextId="6">
    <queryTableFields count="2">
      <queryTableField id="3" name="Account Balance" tableColumnId="3"/>
      <queryTableField id="4" name="Interest Rate" tableColumnId="4"/>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 BMO - SBA_SSA_PRSA" connectionId="3" xr16:uid="{00000000-0016-0000-0700-000004000000}" autoFormatId="16" applyNumberFormats="0" applyBorderFormats="0" applyFontFormats="0" applyPatternFormats="0" applyAlignmentFormats="0" applyWidthHeightFormats="0">
  <queryTableRefresh nextId="5">
    <queryTableFields count="2">
      <queryTableField id="3" name="Balance" tableColumnId="1"/>
      <queryTableField id="4" name="Interest Rate"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5" xr16:uid="{BAB0774D-8398-4A19-8FAE-0CEED781462C}" autoFormatId="16" applyNumberFormats="0" applyBorderFormats="0" applyFontFormats="0" applyPatternFormats="0" applyAlignmentFormats="0" applyWidthHeightFormats="0">
  <queryTableRefresh nextId="6">
    <queryTableFields count="4">
      <queryTableField id="1" name="Account Balance" tableColumnId="1"/>
      <queryTableField id="4" name="Total Annual Interest Rate" tableColumnId="4"/>
      <queryTableField id="2" name="Regular Interest Rate" tableColumnId="2"/>
      <queryTableField id="3" name="Premium Interest Rate" tableColumnId="3"/>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7" connectionId="4" xr16:uid="{C3AF4996-DF9E-4F7F-B0D3-ECDED83B91FC}" autoFormatId="16" applyNumberFormats="0" applyBorderFormats="0" applyFontFormats="0" applyPatternFormats="0" applyAlignmentFormats="0" applyWidthHeightFormats="0">
  <queryTableRefresh nextId="4">
    <queryTableFields count="3">
      <queryTableField id="1" name="Accounts" tableColumnId="1"/>
      <queryTableField id="2" name="CAD $" tableColumnId="2"/>
      <queryTableField id="3" name="U.S. $" tableColumnId="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2" connectionId="27" xr16:uid="{D3B35496-0E10-4E00-A3AA-D7B8D2A5A386}" autoFormatId="16" applyNumberFormats="0" applyBorderFormats="0" applyFontFormats="0" applyPatternFormats="0" applyAlignmentFormats="0" applyWidthHeightFormats="0">
  <queryTableRefresh nextId="5" unboundColumnsRight="1">
    <queryTableFields count="4">
      <queryTableField id="1" name="Interest Rates(3)" tableColumnId="1"/>
      <queryTableField id="2" name="CAD" tableColumnId="2"/>
      <queryTableField id="3" name="USD" tableColumnId="3"/>
      <queryTableField id="4" dataBound="0" tableColumnId="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3" connectionId="28" xr16:uid="{89722E4C-935A-4395-9EB4-9007175474D3}"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30" xr16:uid="{09ACF703-F04A-48B1-A42A-6CEA36049340}" autoFormatId="16" applyNumberFormats="0" applyBorderFormats="0" applyFontFormats="0" applyPatternFormats="0" applyAlignmentFormats="0" applyWidthHeightFormats="0">
  <queryTableRefresh nextId="3">
    <queryTableFields count="2">
      <queryTableField id="1" name="Daily Balance" tableColumnId="1"/>
      <queryTableField id="2" name="Annual Rate (%)"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2" connectionId="21" xr16:uid="{E5758B4B-47BE-4E4F-A419-140D3961DE07}" autoFormatId="16" applyNumberFormats="0" applyBorderFormats="0" applyFontFormats="0" applyPatternFormats="0" applyAlignmentFormats="0" applyWidthHeightFormats="0">
  <queryTableRefresh nextId="4">
    <queryTableFields count="2">
      <queryTableField id="1" name="Account" tableColumnId="1"/>
      <queryTableField id="2" name="Interest Rate"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4" connectionId="22" xr16:uid="{A6DDD184-76DA-4686-937F-58657E28C079}" autoFormatId="16" applyNumberFormats="0" applyBorderFormats="0" applyFontFormats="0" applyPatternFormats="0" applyAlignmentFormats="0" applyWidthHeightFormats="0">
  <queryTableRefresh nextId="3">
    <queryTableFields count="1">
      <queryTableField id="2" name="ISA CAD" tableColumnId="1"/>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5" connectionId="20" xr16:uid="{3CBB2965-C2BC-422A-B15A-439E59832D87}" autoFormatId="16" applyNumberFormats="0" applyBorderFormats="0" applyFontFormats="0" applyPatternFormats="0" applyAlignmentFormats="0" applyWidthHeightFormats="0">
  <queryTableRefresh nextId="3">
    <queryTableFields count="2">
      <queryTableField id="1" name="Account" tableColumnId="1"/>
      <queryTableField id="2" name="Interest Rate" tableColumnId="2"/>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6" connectionId="23" xr16:uid="{9DD6076A-DD87-4F9B-AF98-58FCF4E480D4}" autoFormatId="16" applyNumberFormats="0" applyBorderFormats="0" applyFontFormats="0" applyPatternFormats="0" applyAlignmentFormats="0" applyWidthHeightFormats="0">
  <queryTableRefresh nextId="2">
    <queryTableFields count="1">
      <queryTableField id="1" name="ISA USD" tableColumnId="1"/>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connectionId="25" xr16:uid="{00000000-0016-0000-1100-00001A000000}" autoFormatId="16" applyNumberFormats="0" applyBorderFormats="0" applyFontFormats="0" applyPatternFormats="0" applyAlignmentFormats="0" applyWidthHeightFormats="0">
  <queryTableRefresh nextId="6">
    <queryTableFields count="2">
      <queryTableField id="4" name="Balance" tableColumnId="1"/>
      <queryTableField id="5" name="Rate"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connectionId="12" xr16:uid="{00000000-0016-0000-1300-00001C000000}" autoFormatId="16" applyNumberFormats="0" applyBorderFormats="0" applyFontFormats="0" applyPatternFormats="0" applyAlignmentFormats="0" applyWidthHeightFormats="0">
  <queryTableRefresh nextId="5">
    <queryTableFields count="2">
      <queryTableField id="3" name="Daily closing balance" tableColumnId="1"/>
      <queryTableField id="2" name="CAD High Rate Savings" tableColumnId="2"/>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2" connectionId="13" xr16:uid="{AA7E78E5-993D-414C-92F6-77D7B09FE2BA}" autoFormatId="16" applyNumberFormats="0" applyBorderFormats="0" applyFontFormats="0" applyPatternFormats="0" applyAlignmentFormats="0" applyWidthHeightFormats="0">
  <queryTableRefresh nextId="7">
    <queryTableFields count="6">
      <queryTableField id="1" name="Daily closing balance" tableColumnId="1"/>
      <queryTableField id="2" name="USD High Rate Savings" tableColumnId="2"/>
      <queryTableField id="3" name="GBP High Rate Savings*" tableColumnId="3"/>
      <queryTableField id="4" name="EUR High Rate Savings*" tableColumnId="4"/>
      <queryTableField id="5" name="HKD Foreign Currency Savings" tableColumnId="5"/>
      <queryTableField id="6" name="RMB Foreign Currency Savings" tableColumnId="6"/>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 connectionId="2" xr16:uid="{00000000-0016-0000-1500-00001E000000}" autoFormatId="16" applyNumberFormats="0" applyBorderFormats="0" applyFontFormats="0" applyPatternFormats="0" applyAlignmentFormats="0" applyWidthHeightFormats="0">
  <queryTableRefresh nextId="13">
    <queryTableFields count="4">
      <queryTableField id="9" name="Column1" tableColumnId="1"/>
      <queryTableField id="10" name="Column2" tableColumnId="2"/>
      <queryTableField id="11" name="Column3" tableColumnId="3"/>
      <queryTableField id="12" name="Column4" tableColumnId="4"/>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 connectionId="24" xr16:uid="{00000000-0016-0000-1600-00001F000000}" autoFormatId="16" applyNumberFormats="0" applyBorderFormats="0" applyFontFormats="0" applyPatternFormats="0" applyAlignmentFormats="0" applyWidthHeightFormats="0">
  <queryTableRefresh nextId="4">
    <queryTableFields count="3">
      <queryTableField id="1" name="Rate" tableColumnId="1"/>
      <queryTableField id="2" name="Product" tableColumnId="2"/>
      <queryTableField id="3" name="Get Started" tableColumnId="3"/>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700-000020000000}"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1" connectionId="11" xr16:uid="{1CC826AC-34E2-4345-B527-DB503C18E162}" autoFormatId="16" applyNumberFormats="0" applyBorderFormats="0" applyFontFormats="0" applyPatternFormats="0" applyAlignmentFormats="0" applyWidthHeightFormats="0">
  <queryTableRefresh nextId="4" unboundColumnsRight="1">
    <queryTableFields count="3">
      <queryTableField id="1" name="Date" tableColumnId="1"/>
      <queryTableField id="2" name="Class A" tableColumnId="2"/>
      <queryTableField id="3" dataBound="0" tableColumnId="3"/>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1" connectionId="10" xr16:uid="{F6FDBFBC-2CE3-4A68-B969-7414F55302A8}" autoFormatId="16" applyNumberFormats="0" applyBorderFormats="0" applyFontFormats="0" applyPatternFormats="0" applyAlignmentFormats="0" applyWidthHeightFormats="0">
  <queryTableRefresh nextId="3">
    <queryTableFields count="1">
      <queryTableField id="2" name="Rate" tableColumnId="2"/>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1" connectionId="19" xr16:uid="{00000000-0016-0000-1000-000013000000}" autoFormatId="16" applyNumberFormats="0" applyBorderFormats="0" applyFontFormats="0" applyPatternFormats="0" applyAlignmentFormats="0" applyWidthHeightFormats="0">
  <queryTableRefresh nextId="7">
    <queryTableFields count="3">
      <queryTableField id="4" name="HiSAVE Savings Account" tableColumnId="1"/>
      <queryTableField id="5" name="Premium Savings Account" tableColumnId="2"/>
      <queryTableField id="6" name="Young Stars Savings Account" tableColumnId="3"/>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1" connectionId="9" xr16:uid="{00000000-0016-0000-1400-00001D000000}" autoFormatId="16" applyNumberFormats="0" applyBorderFormats="0" applyFontFormats="0" applyPatternFormats="0" applyAlignmentFormats="0" applyWidthHeightFormats="0">
  <queryTableRefresh nextId="3">
    <queryTableFields count="2">
      <queryTableField id="1" name="High Interest Savings*" tableColumnId="1"/>
      <queryTableField id="2" name="Annual Rates" tableColumnId="2"/>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78D7AF4-EF9F-4F59-AEEB-42DF006712E7}" name="Table10" displayName="Table10" ref="A3:D7" totalsRowShown="0" headerRowDxfId="40" dataDxfId="39">
  <autoFilter ref="A3:D7" xr:uid="{3B004F2E-6CE8-48E1-A8CC-1DA6CD38B36C}"/>
  <tableColumns count="4">
    <tableColumn id="1" xr3:uid="{19A4ADB4-65C8-405B-8D69-E238ABA928F0}" name="Date" dataDxfId="38"/>
    <tableColumn id="2" xr3:uid="{F6FEA65B-FF28-42C9-8CC9-61F4CED1B86F}" name="Summary of changes" dataDxfId="37"/>
    <tableColumn id="3" xr3:uid="{B7F57500-225B-47B0-ACC8-DA347AD03334}" name="Change Author" dataDxfId="36"/>
    <tableColumn id="4" xr3:uid="{F323205A-8543-43A5-8E3B-3D09061A12DB}" name="Author AD ID" dataDxfId="35"/>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01943E-7319-4273-9BE5-519A34E8DE6F}" name="CIBC_Savings_Accounts" displayName="CIBC_Savings_Accounts" ref="B1:C13" tableType="queryTable" totalsRowShown="0">
  <autoFilter ref="B1:C13" xr:uid="{78EB5C95-1C87-4C77-AD3C-94514783811B}"/>
  <tableColumns count="2">
    <tableColumn id="1" xr3:uid="{1805A14F-5D6B-441E-8BC4-691BAF9B7B84}" uniqueName="1" name="Data.Daily Closing Balance" queryTableFieldId="1" dataDxfId="30"/>
    <tableColumn id="2" xr3:uid="{DD1044A9-F59B-46D0-8718-6C3BDE63183C}" uniqueName="2" name="Data.Rate" queryTableFieldId="2" dataDxfId="29"/>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739B9C9-413C-4095-AEC7-8D62B8B59838}" name="CIBC_Renaissance_HISA" displayName="CIBC_Renaissance_HISA" ref="B20:C22" tableType="queryTable" totalsRowShown="0">
  <autoFilter ref="B20:C22" xr:uid="{7E4AD9A9-1857-4EC4-81E6-17F18A2DCC23}"/>
  <tableColumns count="2">
    <tableColumn id="1" xr3:uid="{D2B7787B-95E9-462C-9363-0F2E58976908}" uniqueName="1" name="Column1.2" queryTableFieldId="3" dataDxfId="28"/>
    <tableColumn id="2" xr3:uid="{6AB058E2-A8F2-481F-AFF5-386EE94ABCB9}" uniqueName="2" name="Column1.1" queryTableFieldId="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445108D-BC5A-4537-8ACB-9430ED9F5D3B}" name="CIBC_Wood_Gundy_HISA_CTC" displayName="CIBC_Wood_Gundy_HISA_CTC" ref="B24:B25" tableType="queryTable" totalsRowShown="0">
  <autoFilter ref="B24:B25" xr:uid="{FBA45E36-8A5E-4C3A-9523-946238175D29}"/>
  <tableColumns count="1">
    <tableColumn id="1" xr3:uid="{32D05915-4636-476A-AADA-721216AD18D7}" uniqueName="1" name="ISA Interest Rate" queryTableFieldId="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D026BB7-2379-4E78-879E-1682542E0D99}" name="TD_Savings_Accounts" displayName="TD_Savings_Accounts" ref="B2:C26" tableType="queryTable" totalsRowShown="0">
  <autoFilter ref="B2:C26" xr:uid="{E85EAF5E-63B2-4399-A916-F370715F6655}"/>
  <tableColumns count="2">
    <tableColumn id="1" xr3:uid="{51690CEF-6BC1-453F-82A2-1DEEAD5AFEA3}" uniqueName="1" name="Account Balance" queryTableFieldId="3" dataDxfId="27"/>
    <tableColumn id="2" xr3:uid="{90994A7C-F3A1-4107-BCED-1502CEAAD65A}" uniqueName="2" name="Interest Rate" queryTableField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427E5E-1FE2-4275-8594-CA161BF56BD6}" name="TD_Investment_Savings_Account" displayName="TD_Investment_Savings_Account" ref="B39:F44" tableType="queryTable" totalsRowShown="0">
  <autoFilter ref="B39:F44" xr:uid="{444F1D8B-39D1-4A95-A72C-3A111B214915}"/>
  <tableColumns count="5">
    <tableColumn id="1" xr3:uid="{CA448CAE-AEDE-4476-A37A-80F3676BE0D5}" uniqueName="1" name="Account Name" queryTableFieldId="1" dataDxfId="26"/>
    <tableColumn id="2" xr3:uid="{5B7C4811-4C53-41A6-96BF-5389107C4D47}" uniqueName="2" name="Currency" queryTableFieldId="2" dataDxfId="25"/>
    <tableColumn id="3" xr3:uid="{734665F7-5DB2-40AD-BD3B-98FD29CBE168}" uniqueName="3" name="Minimum1" queryTableFieldId="3"/>
    <tableColumn id="4" xr3:uid="{BDB4B9A1-7155-498E-B2E8-661728BDEEFB}" uniqueName="4" name="Maximum" queryTableFieldId="4" dataDxfId="24"/>
    <tableColumn id="5" xr3:uid="{EAF93AB2-FE49-4E47-8DDA-D993804F05B9}" uniqueName="5" name="Current Rate2" queryTableFieldId="5"/>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EB064D4-F1ED-4C06-B1EE-46752E21EAE4}" name="TD_US_Daily_Interest" displayName="TD_US_Daily_Interest" ref="B29:C35" tableType="queryTable" totalsRowShown="0">
  <autoFilter ref="B29:C35" xr:uid="{FDF35094-1781-42E2-B6EF-9EFADE16F104}"/>
  <tableColumns count="2">
    <tableColumn id="3" xr3:uid="{B204F1AA-EC43-48CF-A194-CEA554FDF21D}" uniqueName="3" name="Account Balance" queryTableFieldId="3" dataDxfId="23"/>
    <tableColumn id="4" xr3:uid="{5AABEE2E-2BF3-4006-B415-E5BEAE632E5A}" uniqueName="4" name="Interest Rate" queryTableFieldId="4" dataDxfId="2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901AD99-A037-42EF-9E0D-303B42DB408B}" name="BMO_Savings_Accounts" displayName="BMO_Savings_Accounts" ref="B1:C14" tableType="queryTable" totalsRowShown="0">
  <autoFilter ref="B1:C14" xr:uid="{68DC766F-4E6C-4F85-87F3-9DCA2D33FF70}"/>
  <tableColumns count="2">
    <tableColumn id="1" xr3:uid="{F1E2F3E3-8A21-40EF-9ED6-A1E4ECE4B7CB}" uniqueName="1" name="Balance" queryTableFieldId="3" dataDxfId="21"/>
    <tableColumn id="2" xr3:uid="{5CB6D22A-E46F-4EC4-A20B-0849978AFCF9}" uniqueName="2" name="Interest Rate" queryTableFieldId="4"/>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77B095-E658-48BD-8E23-DCD990C4B994}" name="BNS_Savings_Accounts" displayName="BNS_Savings_Accounts" ref="B1:E36" tableType="queryTable" totalsRowShown="0">
  <autoFilter ref="B1:E36" xr:uid="{A5638233-ACDF-49CD-B63F-B6BE846F2B19}"/>
  <tableColumns count="4">
    <tableColumn id="1" xr3:uid="{2EDC415B-0F70-4FAE-94F6-7566D41029D6}" uniqueName="1" name="Account Balance" queryTableFieldId="1" dataDxfId="34"/>
    <tableColumn id="4" xr3:uid="{9FB613F4-0AF9-4B81-A564-C24B14D3375E}" uniqueName="4" name="Total Annual Interest Rate" queryTableFieldId="4"/>
    <tableColumn id="2" xr3:uid="{64FF4DAC-F2D7-448F-9CC9-4DDD8DF4BD31}" uniqueName="2" name="Regular Interest Rate" queryTableFieldId="2"/>
    <tableColumn id="3" xr3:uid="{162D69DF-A5B6-4507-8013-D29C1D2ADC8E}" uniqueName="3" name="Premium Interest Rate" queryTableFieldId="3"/>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EA7D716B-26D8-444C-8AD2-672460782E9D}" name="BNS_Cash_Optimizer_Investment" displayName="BNS_Cash_Optimizer_Investment" ref="B39:D41" tableType="queryTable" totalsRowShown="0">
  <autoFilter ref="B39:D41" xr:uid="{A50031B5-9512-470D-8510-E74A796EAD90}"/>
  <tableColumns count="3">
    <tableColumn id="1" xr3:uid="{8BC815CA-1F9B-4E2B-9D8A-99534CCE0B27}" uniqueName="1" name="Accounts" queryTableFieldId="1" dataDxfId="33"/>
    <tableColumn id="2" xr3:uid="{80EAF0B9-9DCD-4E52-BA5A-BADB6CFD6486}" uniqueName="2" name="CAD $" queryTableFieldId="2"/>
    <tableColumn id="3" xr3:uid="{0E7A9F6C-51E4-43C7-97EA-316D3CBDDB89}" uniqueName="3" name="U.S. $" queryTableFieldId="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3415B8A-E798-405A-AF6D-52CB917CB016}" name="RBC_Investment_Savings_Account" displayName="RBC_Investment_Savings_Account" ref="B1:E7" tableType="queryTable" totalsRowShown="0">
  <autoFilter ref="B1:E7" xr:uid="{B4BA52D1-2456-4760-B228-111031831AA6}"/>
  <tableColumns count="4">
    <tableColumn id="1" xr3:uid="{5E93972D-014C-4E1C-8AB4-1BF2148E9BC7}" uniqueName="1" name="Interest Rates(3)" queryTableFieldId="1" dataDxfId="20"/>
    <tableColumn id="2" xr3:uid="{0E71B681-989C-4198-A9B6-33A336CE3130}" uniqueName="2" name="CAD" queryTableFieldId="2"/>
    <tableColumn id="3" xr3:uid="{1E893210-3E0F-435D-8A09-6BE1A676B4F3}" uniqueName="3" name="USD" queryTableFieldId="3"/>
    <tableColumn id="4" xr3:uid="{725801D2-79A4-42A7-BDDE-D9C135D30984}" uniqueName="4" name="Lower Bound" queryTableFieldId="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B3B3693-75C9-4136-A22D-7AF7DB583948}" name="RBC_Personal_Accounts" displayName="RBC_Personal_Accounts" ref="B12:C168" tableType="queryTable" totalsRowShown="0">
  <autoFilter ref="B12:C168" xr:uid="{BA294C89-B98E-4F14-87F3-A04C127E8BD3}"/>
  <tableColumns count="2">
    <tableColumn id="1" xr3:uid="{3A480683-AADE-42AA-9D45-BCD975C61A19}" uniqueName="1" name="If Balance is" queryTableFieldId="1"/>
    <tableColumn id="2" xr3:uid="{CC895A81-638F-499B-982C-84B6047CE669}" uniqueName="2" name="Interest Rate [%]" queryTableFieldId="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CCB5792-A70D-4667-AA59-47BC1D2C89D9}" name="Simplii_HISA" displayName="Simplii_HISA" ref="B10:C11" tableType="queryTable" totalsRowShown="0">
  <autoFilter ref="B10:C11" xr:uid="{89ED074A-3C7A-446D-997F-022A0C48B638}"/>
  <tableColumns count="2">
    <tableColumn id="1" xr3:uid="{733E4F21-1B7A-442E-B737-FB0F7D76FC88}" uniqueName="1" name="Daily Balance" queryTableFieldId="1" dataDxfId="19"/>
    <tableColumn id="2" xr3:uid="{49530A74-3685-4C95-B82D-38590BD1233B}" uniqueName="2" name="Annual Rate (%)" queryTableFieldId="2"/>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F447B7-F008-496D-801B-87E4DB29F922}" name="Manulife_All_in_Banking_Package" displayName="Manulife_All_in_Banking_Package" ref="B1:C4" tableType="queryTable" totalsRowShown="0">
  <autoFilter ref="B1:C4" xr:uid="{002542F2-2372-416A-8226-3BEBA4F7E330}"/>
  <tableColumns count="2">
    <tableColumn id="1" xr3:uid="{3A6D4A0B-EBD6-4216-A672-BFD2BC1DFAF5}" uniqueName="1" name="Account" queryTableFieldId="1" dataDxfId="18"/>
    <tableColumn id="2" xr3:uid="{1C664E64-3B1D-4B6F-B067-F394E342CE45}" uniqueName="2" name="Interest Rate" queryTableFieldId="2" dataDxfId="17"/>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F62CAD4-D9D1-4791-9F57-C2C7B1E631F9}" name="Manulife_ISA_CAD" displayName="Manulife_ISA_CAD" ref="B16:B17" tableType="queryTable" totalsRowShown="0" headerRowDxfId="32">
  <autoFilter ref="B16:B17" xr:uid="{D257129C-35DF-4934-ADD7-2E00150C437A}"/>
  <tableColumns count="1">
    <tableColumn id="1" xr3:uid="{149BFF07-559E-466B-B7CC-23634C2D0219}" uniqueName="1" name="ISA CAD" queryTableFieldId="2"/>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3ECF205-0C48-487C-91AC-CE0FEA0B6D6D}" name="Manulife_Advantage_Accounts" displayName="Manulife_Advantage_Accounts" ref="B6:C13" tableType="queryTable" totalsRowShown="0">
  <autoFilter ref="B6:C13" xr:uid="{33AF2B4E-D099-4719-8467-95DC41961AD9}"/>
  <tableColumns count="2">
    <tableColumn id="1" xr3:uid="{4983600D-FC27-4FD4-BF3C-BBB8E4FB39DD}" uniqueName="1" name="Account" queryTableFieldId="1" dataDxfId="16"/>
    <tableColumn id="2" xr3:uid="{28CDC393-942E-4D91-9CC4-A347C363D334}" uniqueName="2" name="Interest Rate" queryTableFieldId="2"/>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DFFD256-CBBC-497B-B408-8660D00410E2}" name="Manulife_ISA_USD" displayName="Manulife_ISA_USD" ref="C16:C17" tableType="queryTable" totalsRowShown="0">
  <autoFilter ref="C16:C17" xr:uid="{1049D624-4F5C-462D-B7AF-DE47F2B4EAB1}"/>
  <tableColumns count="1">
    <tableColumn id="1" xr3:uid="{7CF372BB-DB2F-4E2D-8E40-A073ED9807A8}" uniqueName="1" name="ISA USD" queryTableFieldId="1"/>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4FEF873-C5AF-4B16-8C17-6E4623648DA8}" name="NBC_Bank_Accounts" displayName="NBC_Bank_Accounts" ref="B1:C28" tableType="queryTable" totalsRowShown="0">
  <autoFilter ref="B1:C28" xr:uid="{DF09CF4E-3744-4A04-8A36-01B6B51FF504}"/>
  <tableColumns count="2">
    <tableColumn id="1" xr3:uid="{AF3CEA2D-FC16-4BC0-91E7-47D67E7EF153}" uniqueName="1" name="Balance" queryTableFieldId="4" dataDxfId="15"/>
    <tableColumn id="2" xr3:uid="{9BF66593-4977-46DD-B473-78BB7231D59D}" uniqueName="2" name="Rate" queryTableFieldId="5"/>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BA66B2F-B0D4-4785-BE8D-3C244D801D05}" name="HSBC_CAD_Savings" displayName="HSBC_CAD_Savings" ref="B1:C5" tableType="queryTable" totalsRowShown="0">
  <autoFilter ref="B1:C5" xr:uid="{A06E8E82-AD6A-47D3-917D-E52E53C8D099}"/>
  <tableColumns count="2">
    <tableColumn id="1" xr3:uid="{E2486B71-097C-480C-8D5B-30A0D71FDBDD}" uniqueName="1" name="Daily closing balance" queryTableFieldId="3" dataDxfId="14"/>
    <tableColumn id="2" xr3:uid="{C5FFA56D-7123-4FD4-98A8-7D3A57DF978E}" uniqueName="2" name="CAD High Rate Savings" queryTableFieldId="2"/>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A1CD25D-0033-4B3F-977B-BB381B7966FF}" name="HSBC_Foreign_Savings" displayName="HSBC_Foreign_Savings" ref="B9:G13" tableType="queryTable" totalsRowShown="0">
  <autoFilter ref="B9:G13" xr:uid="{B272EE2C-8F46-4039-8754-B6A3E9B9D7DF}"/>
  <tableColumns count="6">
    <tableColumn id="1" xr3:uid="{ED1782C5-6292-40D5-B1A2-858D38CF7016}" uniqueName="1" name="Daily closing balance" queryTableFieldId="1" dataDxfId="13"/>
    <tableColumn id="2" xr3:uid="{CE71BD7B-2A7E-4C03-80AB-4F4D375DF266}" uniqueName="2" name="USD High Rate Savings" queryTableFieldId="2"/>
    <tableColumn id="3" xr3:uid="{8945DE19-1778-43A3-95E9-5EB3497CD110}" uniqueName="3" name="GBP High Rate Savings*" queryTableFieldId="3"/>
    <tableColumn id="4" xr3:uid="{1FCB6C99-4481-4E48-8EAC-7B30758069D4}" uniqueName="4" name="EUR High Rate Savings*" queryTableFieldId="4"/>
    <tableColumn id="5" xr3:uid="{A3C5D0F7-B243-435C-8117-C3E35664AA1F}" uniqueName="5" name="HKD Foreign Currency Savings" queryTableFieldId="5"/>
    <tableColumn id="6" xr3:uid="{9782E40E-064D-4296-B901-DC5E58C5E7EC}" uniqueName="6" name="RMB Foreign Currency Savings" queryTableFieldId="6"/>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D473B69-4F58-4E75-97E3-9053278ED8DA}" name="B2B_Rates" displayName="B2B_Rates" ref="B1:E8" tableType="queryTable" totalsRowShown="0">
  <autoFilter ref="B1:E8" xr:uid="{424FCAA5-D1D1-4929-8643-CC965FD32A7B}"/>
  <tableColumns count="4">
    <tableColumn id="1" xr3:uid="{BB01D96E-4B24-401B-90BD-8E9133B26286}" uniqueName="1" name="Column1" queryTableFieldId="9" dataDxfId="12"/>
    <tableColumn id="2" xr3:uid="{D2046F38-483B-420D-B944-6BCD7B2B4D92}" uniqueName="2" name="Column2" queryTableFieldId="10" dataDxfId="11"/>
    <tableColumn id="3" xr3:uid="{6F9FDD00-3FF8-42F2-A964-44D4FA8D2A14}" uniqueName="3" name="Column3" queryTableFieldId="11"/>
    <tableColumn id="4" xr3:uid="{5A0E1CF9-6187-4D14-B37F-9EC02085A5F0}" uniqueName="4" name="Column4" queryTableFieldId="12"/>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1A08140-A143-44CD-AE72-63621B09A985}" name="Meridian_Rates" displayName="Meridian_Rates" ref="A1:C5" tableType="queryTable" totalsRowShown="0">
  <autoFilter ref="A1:C5" xr:uid="{B3512B9B-4993-4862-A620-EF2A70A52322}"/>
  <tableColumns count="3">
    <tableColumn id="1" xr3:uid="{F186E804-7331-44A4-894F-07482E179C0C}" uniqueName="1" name="Rate" queryTableFieldId="1"/>
    <tableColumn id="2" xr3:uid="{0FED587C-5ADE-4475-9FFE-8D8084F564E0}" uniqueName="2" name="Product" queryTableFieldId="2" dataDxfId="10"/>
    <tableColumn id="3" xr3:uid="{D2622B16-D1C8-4760-8BD0-953D9FAFA8F1}" uniqueName="3" name="Get Started" queryTableFieldId="3" dataDxfId="9"/>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C7074F1-5398-446C-BA36-C5826493DBFB}" name="Altamira_Rates" displayName="Altamira_Rates" ref="A1:F12" tableType="queryTable" totalsRowShown="0">
  <autoFilter ref="A1:F12" xr:uid="{FFCD51A6-B50C-483A-A4D0-237FE474F8B6}"/>
  <tableColumns count="6">
    <tableColumn id="1" xr3:uid="{3E7CB307-16E2-4226-A2DD-121C94952C80}" uniqueName="1" name="Column1" queryTableFieldId="1" dataDxfId="8"/>
    <tableColumn id="2" xr3:uid="{E833CA69-9186-43DA-874F-48DEFE4DA80F}" uniqueName="2" name="Column2" queryTableFieldId="2" dataDxfId="7"/>
    <tableColumn id="3" xr3:uid="{B093F79F-8E4B-49FF-A371-4731884C2E1B}" uniqueName="3" name="Column3" queryTableFieldId="3" dataDxfId="6"/>
    <tableColumn id="4" xr3:uid="{785FF59B-0966-4865-9D07-9033DADA44AF}" uniqueName="4" name="Column4" queryTableFieldId="4" dataDxfId="5"/>
    <tableColumn id="5" xr3:uid="{C61AE777-3A15-4C02-9B1F-136299A5FAC7}" uniqueName="5" name="Column5" queryTableFieldId="5" dataDxfId="4"/>
    <tableColumn id="6" xr3:uid="{FC09C788-CCE1-4C6F-81DC-01AAACC99B7F}" uniqueName="6" name="Column6" queryTableFieldId="6" dataDxfId="3"/>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45570CE-711C-4C55-9E5E-57D52AC28481}" name="Home_Trust_Company" displayName="Home_Trust_Company" ref="A1:C13" tableType="queryTable" totalsRowShown="0">
  <autoFilter ref="A1:C13" xr:uid="{7034E544-09DC-4C5D-AA8D-6585634AA5F7}"/>
  <tableColumns count="3">
    <tableColumn id="1" xr3:uid="{680615DF-0F13-496D-BBDC-C4E09E168737}" uniqueName="1" name="Date" queryTableFieldId="1" dataDxfId="2"/>
    <tableColumn id="2" xr3:uid="{FE5F6F50-F11B-4E8A-936C-7E8D09168D39}" uniqueName="2" name="Class A" queryTableFieldId="2"/>
    <tableColumn id="3" xr3:uid="{DBD95A4F-7159-4A0E-9887-37ADCE379925}" uniqueName="3" name="Lower Bound" queryTableFieldId="3"/>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27D037CB-2A0E-43F8-883F-2D9DA045A75B}" name="EQ_Bank_Savings_Plus_Account" displayName="EQ_Bank_Savings_Plus_Account" ref="B1:B2" tableType="queryTable" totalsRowShown="0" dataDxfId="31" dataCellStyle="Percent">
  <autoFilter ref="B1:B2" xr:uid="{C980BFDA-0405-401E-BCEB-26B225E26F58}"/>
  <tableColumns count="1">
    <tableColumn id="2" xr3:uid="{DE60F904-8EBC-4F28-A839-8683A0C60CD6}" uniqueName="2" name="Rate" queryTableFieldId="2" dataDxfId="1" dataCellStyle="Percent"/>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917AB9C-9517-4EFC-9033-86526F020593}" name="ICICI_Savings_Accounts" displayName="ICICI_Savings_Accounts" ref="B2:D9" tableType="queryTable" totalsRowShown="0">
  <autoFilter ref="B2:D9" xr:uid="{33491B27-3538-4FAA-87C0-D4F5B6016FB2}"/>
  <tableColumns count="3">
    <tableColumn id="1" xr3:uid="{2D2B38D7-76F5-4DA0-9D0B-17344D6B1AD2}" uniqueName="1" name="HiSAVE Savings Account" queryTableFieldId="4"/>
    <tableColumn id="2" xr3:uid="{F3BB5307-0992-4D0F-823A-6CBC0DBCE5D9}" uniqueName="2" name="Premium Savings Account" queryTableFieldId="5"/>
    <tableColumn id="3" xr3:uid="{974AD77F-CB34-4511-BAF3-DD698EDFAFD4}" uniqueName="3" name="Young Stars Savings Account" queryTableFieldId="6"/>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159AD5-2B66-4A34-A609-6683B89AA321}" name="CT_HISA" displayName="CT_HISA" ref="A1:B2" tableType="queryTable" totalsRowShown="0">
  <autoFilter ref="A1:B2" xr:uid="{5602733F-865F-4885-87FA-1BA021E8D78B}"/>
  <tableColumns count="2">
    <tableColumn id="1" xr3:uid="{E2734CB1-96F3-4F39-A09A-9ADAB223E264}" uniqueName="1" name="High Interest Savings*" queryTableFieldId="1" dataDxfId="0"/>
    <tableColumn id="2" xr3:uid="{A70E9728-B118-48A1-BC57-D92BEEC7A685}" uniqueName="2" name="Annual Rates" queryTableFieldId="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5.bin"/><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table" Target="../tables/table14.xml"/><Relationship Id="rId4"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table" Target="../tables/table19.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86910-9042-4D8A-9DCE-D53D00274B4D}">
  <sheetPr codeName="Sheet23">
    <tabColor theme="9" tint="-0.249977111117893"/>
  </sheetPr>
  <dimension ref="B3:I28"/>
  <sheetViews>
    <sheetView tabSelected="1" topLeftCell="E3" zoomScaleNormal="100" workbookViewId="0">
      <selection activeCell="E3" sqref="E3:I3"/>
    </sheetView>
  </sheetViews>
  <sheetFormatPr defaultRowHeight="15" outlineLevelCol="1" x14ac:dyDescent="0.25"/>
  <cols>
    <col min="1" max="1" width="9.140625" style="19"/>
    <col min="2" max="2" width="80.7109375" style="19" customWidth="1"/>
    <col min="3" max="3" width="9.140625" style="19"/>
    <col min="4" max="4" width="6.140625" style="19" customWidth="1"/>
    <col min="5" max="5" width="12" style="38" customWidth="1" outlineLevel="1"/>
    <col min="6" max="6" width="40.5703125" style="19" customWidth="1" outlineLevel="1"/>
    <col min="7" max="7" width="7.7109375" style="19" bestFit="1" customWidth="1" outlineLevel="1"/>
    <col min="8" max="8" width="14.7109375" style="19" bestFit="1" customWidth="1" outlineLevel="1"/>
    <col min="9" max="9" width="75.5703125" style="19" customWidth="1" outlineLevel="1"/>
    <col min="10" max="16384" width="9.140625" style="19"/>
  </cols>
  <sheetData>
    <row r="3" spans="2:9" ht="28.5" x14ac:dyDescent="0.25">
      <c r="B3" s="20" t="s">
        <v>270</v>
      </c>
      <c r="E3" s="80" t="s">
        <v>262</v>
      </c>
      <c r="F3" s="81"/>
      <c r="G3" s="81"/>
      <c r="H3" s="81"/>
      <c r="I3" s="82"/>
    </row>
    <row r="4" spans="2:9" x14ac:dyDescent="0.25">
      <c r="B4" s="21"/>
      <c r="E4" s="21" t="s">
        <v>263</v>
      </c>
      <c r="F4" s="21" t="s">
        <v>264</v>
      </c>
      <c r="G4" s="21" t="s">
        <v>265</v>
      </c>
      <c r="H4" s="21" t="s">
        <v>335</v>
      </c>
      <c r="I4" s="21" t="s">
        <v>266</v>
      </c>
    </row>
    <row r="5" spans="2:9" x14ac:dyDescent="0.25">
      <c r="B5" s="32" t="s">
        <v>178</v>
      </c>
      <c r="E5" s="38">
        <v>0</v>
      </c>
      <c r="F5" s="19" t="s">
        <v>319</v>
      </c>
      <c r="G5" s="19" t="s">
        <v>267</v>
      </c>
      <c r="H5" s="19">
        <v>9</v>
      </c>
    </row>
    <row r="6" spans="2:9" x14ac:dyDescent="0.25">
      <c r="B6" s="33"/>
      <c r="E6" s="38">
        <v>1</v>
      </c>
      <c r="F6" s="19" t="s">
        <v>374</v>
      </c>
      <c r="G6" s="19" t="s">
        <v>267</v>
      </c>
      <c r="H6" s="19">
        <v>1</v>
      </c>
    </row>
    <row r="7" spans="2:9" x14ac:dyDescent="0.25">
      <c r="B7" s="34"/>
      <c r="E7" s="38">
        <v>2</v>
      </c>
      <c r="F7" s="19" t="s">
        <v>443</v>
      </c>
      <c r="G7" s="19" t="s">
        <v>267</v>
      </c>
      <c r="H7" s="19">
        <v>2</v>
      </c>
    </row>
    <row r="8" spans="2:9" x14ac:dyDescent="0.25">
      <c r="B8" s="35"/>
      <c r="E8" s="38">
        <v>3</v>
      </c>
      <c r="F8" s="19" t="s">
        <v>320</v>
      </c>
      <c r="G8" s="19" t="s">
        <v>267</v>
      </c>
      <c r="H8" s="19">
        <v>31</v>
      </c>
    </row>
    <row r="9" spans="2:9" x14ac:dyDescent="0.25">
      <c r="B9" s="36"/>
      <c r="E9" s="38">
        <v>4</v>
      </c>
      <c r="F9" s="19" t="s">
        <v>268</v>
      </c>
      <c r="G9" s="19" t="s">
        <v>267</v>
      </c>
      <c r="H9" s="19">
        <v>8</v>
      </c>
    </row>
    <row r="10" spans="2:9" x14ac:dyDescent="0.25">
      <c r="B10" s="32" t="s">
        <v>179</v>
      </c>
      <c r="E10" s="38">
        <v>5</v>
      </c>
      <c r="F10" s="19" t="s">
        <v>461</v>
      </c>
      <c r="G10" s="19" t="s">
        <v>267</v>
      </c>
      <c r="H10" s="19">
        <v>17</v>
      </c>
    </row>
    <row r="11" spans="2:9" x14ac:dyDescent="0.25">
      <c r="B11" s="33"/>
      <c r="E11" s="38">
        <v>6</v>
      </c>
      <c r="F11" s="19" t="s">
        <v>321</v>
      </c>
      <c r="G11" s="19" t="s">
        <v>267</v>
      </c>
      <c r="H11" s="19">
        <v>6</v>
      </c>
    </row>
    <row r="12" spans="2:9" x14ac:dyDescent="0.25">
      <c r="B12" s="34"/>
      <c r="E12" s="38">
        <v>7</v>
      </c>
      <c r="F12" s="19" t="s">
        <v>399</v>
      </c>
      <c r="G12" s="19" t="s">
        <v>267</v>
      </c>
      <c r="H12" s="19">
        <v>9</v>
      </c>
    </row>
    <row r="13" spans="2:9" x14ac:dyDescent="0.25">
      <c r="B13" s="34"/>
      <c r="E13" s="38">
        <v>8</v>
      </c>
      <c r="F13" s="19" t="s">
        <v>398</v>
      </c>
      <c r="G13" s="19" t="s">
        <v>267</v>
      </c>
      <c r="H13" s="19">
        <v>6</v>
      </c>
    </row>
    <row r="14" spans="2:9" x14ac:dyDescent="0.25">
      <c r="B14" s="34"/>
      <c r="E14" s="38">
        <v>9</v>
      </c>
      <c r="F14" s="19" t="s">
        <v>444</v>
      </c>
      <c r="G14" s="19" t="s">
        <v>267</v>
      </c>
      <c r="H14" s="19">
        <v>3</v>
      </c>
    </row>
    <row r="15" spans="2:9" x14ac:dyDescent="0.25">
      <c r="B15" s="34"/>
      <c r="E15" s="38">
        <v>10</v>
      </c>
      <c r="F15" s="19" t="s">
        <v>445</v>
      </c>
      <c r="G15" s="19" t="s">
        <v>267</v>
      </c>
      <c r="H15" s="19">
        <v>6</v>
      </c>
    </row>
    <row r="16" spans="2:9" x14ac:dyDescent="0.25">
      <c r="B16" s="34"/>
      <c r="E16" s="38">
        <v>11</v>
      </c>
      <c r="F16" s="19" t="s">
        <v>423</v>
      </c>
      <c r="G16" s="19" t="s">
        <v>267</v>
      </c>
      <c r="H16" s="19">
        <v>2</v>
      </c>
    </row>
    <row r="17" spans="2:8" x14ac:dyDescent="0.25">
      <c r="B17" s="36"/>
      <c r="E17" s="38">
        <v>12</v>
      </c>
      <c r="F17" s="19" t="s">
        <v>402</v>
      </c>
      <c r="G17" s="19" t="s">
        <v>267</v>
      </c>
      <c r="H17" s="19">
        <v>4</v>
      </c>
    </row>
    <row r="18" spans="2:8" x14ac:dyDescent="0.25">
      <c r="B18" s="32" t="s">
        <v>180</v>
      </c>
      <c r="E18" s="38">
        <v>13</v>
      </c>
      <c r="F18" s="19" t="s">
        <v>446</v>
      </c>
      <c r="G18" s="19" t="s">
        <v>267</v>
      </c>
      <c r="H18" s="19">
        <v>1</v>
      </c>
    </row>
    <row r="19" spans="2:8" x14ac:dyDescent="0.25">
      <c r="B19" s="33"/>
      <c r="E19" s="38">
        <v>14</v>
      </c>
      <c r="F19" s="19" t="s">
        <v>403</v>
      </c>
      <c r="G19" s="19" t="s">
        <v>267</v>
      </c>
      <c r="H19" s="19">
        <v>5</v>
      </c>
    </row>
    <row r="20" spans="2:8" x14ac:dyDescent="0.25">
      <c r="B20" s="34"/>
      <c r="E20" s="38">
        <v>15</v>
      </c>
      <c r="F20" s="19" t="s">
        <v>462</v>
      </c>
      <c r="G20" s="19" t="s">
        <v>267</v>
      </c>
      <c r="H20" s="19">
        <v>2</v>
      </c>
    </row>
    <row r="21" spans="2:8" x14ac:dyDescent="0.25">
      <c r="B21" s="34"/>
      <c r="E21" s="38">
        <v>16</v>
      </c>
      <c r="F21" s="19" t="s">
        <v>463</v>
      </c>
      <c r="G21" s="19" t="s">
        <v>267</v>
      </c>
      <c r="H21" s="19">
        <v>1</v>
      </c>
    </row>
    <row r="22" spans="2:8" x14ac:dyDescent="0.25">
      <c r="B22" s="34"/>
      <c r="E22" s="38">
        <v>17</v>
      </c>
      <c r="F22" s="19" t="s">
        <v>404</v>
      </c>
      <c r="G22" s="19" t="s">
        <v>267</v>
      </c>
      <c r="H22" s="19">
        <v>3</v>
      </c>
    </row>
    <row r="23" spans="2:8" x14ac:dyDescent="0.25">
      <c r="B23" s="35"/>
      <c r="E23" s="38">
        <v>18</v>
      </c>
      <c r="F23" s="19" t="s">
        <v>405</v>
      </c>
      <c r="G23" s="19" t="s">
        <v>267</v>
      </c>
      <c r="H23" s="19">
        <v>5</v>
      </c>
    </row>
    <row r="24" spans="2:8" x14ac:dyDescent="0.25">
      <c r="B24" s="37"/>
      <c r="E24" s="38">
        <v>19</v>
      </c>
      <c r="F24" s="19" t="s">
        <v>406</v>
      </c>
      <c r="G24" s="19" t="s">
        <v>267</v>
      </c>
      <c r="H24" s="19">
        <v>11</v>
      </c>
    </row>
    <row r="25" spans="2:8" x14ac:dyDescent="0.25">
      <c r="E25" s="38">
        <v>20</v>
      </c>
      <c r="F25" s="19" t="s">
        <v>504</v>
      </c>
      <c r="G25" s="19" t="s">
        <v>267</v>
      </c>
      <c r="H25" s="19">
        <v>10</v>
      </c>
    </row>
    <row r="26" spans="2:8" x14ac:dyDescent="0.25">
      <c r="E26" s="38">
        <v>21</v>
      </c>
      <c r="F26" s="19" t="s">
        <v>505</v>
      </c>
      <c r="G26" s="19" t="s">
        <v>267</v>
      </c>
      <c r="H26" s="19">
        <v>10</v>
      </c>
    </row>
    <row r="27" spans="2:8" x14ac:dyDescent="0.25">
      <c r="E27" s="38">
        <v>22</v>
      </c>
      <c r="F27" s="19" t="s">
        <v>506</v>
      </c>
      <c r="G27" s="19" t="s">
        <v>267</v>
      </c>
      <c r="H27" s="19">
        <v>13</v>
      </c>
    </row>
    <row r="28" spans="2:8" x14ac:dyDescent="0.25">
      <c r="E28" s="38">
        <v>23</v>
      </c>
      <c r="F28" s="19" t="s">
        <v>507</v>
      </c>
      <c r="G28" s="19" t="s">
        <v>267</v>
      </c>
      <c r="H28" s="19">
        <v>101</v>
      </c>
    </row>
  </sheetData>
  <mergeCells count="1">
    <mergeCell ref="E3:I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64" r:id="rId4" name="Button 12">
              <controlPr defaultSize="0" print="0" autoFill="0" autoPict="0" macro="[0]!ArchiveRetail_Click">
                <anchor moveWithCells="1" sizeWithCells="1">
                  <from>
                    <xdr:col>1</xdr:col>
                    <xdr:colOff>104775</xdr:colOff>
                    <xdr:row>10</xdr:row>
                    <xdr:rowOff>95250</xdr:rowOff>
                  </from>
                  <to>
                    <xdr:col>1</xdr:col>
                    <xdr:colOff>1495425</xdr:colOff>
                    <xdr:row>12</xdr:row>
                    <xdr:rowOff>104775</xdr:rowOff>
                  </to>
                </anchor>
              </controlPr>
            </control>
          </mc:Choice>
        </mc:AlternateContent>
        <mc:AlternateContent xmlns:mc="http://schemas.openxmlformats.org/markup-compatibility/2006">
          <mc:Choice Requires="x14">
            <control shapeId="23565" r:id="rId5" name="Button 13">
              <controlPr defaultSize="0" print="0" autoFill="0" autoPict="0" macro="[0]!ArchiveUS_Click">
                <anchor moveWithCells="1" sizeWithCells="1">
                  <from>
                    <xdr:col>1</xdr:col>
                    <xdr:colOff>2000250</xdr:colOff>
                    <xdr:row>10</xdr:row>
                    <xdr:rowOff>95250</xdr:rowOff>
                  </from>
                  <to>
                    <xdr:col>1</xdr:col>
                    <xdr:colOff>3390900</xdr:colOff>
                    <xdr:row>12</xdr:row>
                    <xdr:rowOff>104775</xdr:rowOff>
                  </to>
                </anchor>
              </controlPr>
            </control>
          </mc:Choice>
        </mc:AlternateContent>
        <mc:AlternateContent xmlns:mc="http://schemas.openxmlformats.org/markup-compatibility/2006">
          <mc:Choice Requires="x14">
            <control shapeId="23566" r:id="rId6" name="Button 14">
              <controlPr defaultSize="0" print="0" autoFill="0" autoPict="0" macro="[0]!ArchiveBroker_Click">
                <anchor moveWithCells="1" sizeWithCells="1">
                  <from>
                    <xdr:col>1</xdr:col>
                    <xdr:colOff>3886200</xdr:colOff>
                    <xdr:row>10</xdr:row>
                    <xdr:rowOff>104775</xdr:rowOff>
                  </from>
                  <to>
                    <xdr:col>1</xdr:col>
                    <xdr:colOff>5276850</xdr:colOff>
                    <xdr:row>12</xdr:row>
                    <xdr:rowOff>114300</xdr:rowOff>
                  </to>
                </anchor>
              </controlPr>
            </control>
          </mc:Choice>
        </mc:AlternateContent>
        <mc:AlternateContent xmlns:mc="http://schemas.openxmlformats.org/markup-compatibility/2006">
          <mc:Choice Requires="x14">
            <control shapeId="23567" r:id="rId7" name="Button 15">
              <controlPr defaultSize="0" print="0" autoFill="0" autoPict="0" macro="[0]!ArchiveAll_Click">
                <anchor moveWithCells="1" sizeWithCells="1">
                  <from>
                    <xdr:col>1</xdr:col>
                    <xdr:colOff>1476375</xdr:colOff>
                    <xdr:row>13</xdr:row>
                    <xdr:rowOff>85725</xdr:rowOff>
                  </from>
                  <to>
                    <xdr:col>1</xdr:col>
                    <xdr:colOff>3905250</xdr:colOff>
                    <xdr:row>15</xdr:row>
                    <xdr:rowOff>76200</xdr:rowOff>
                  </to>
                </anchor>
              </controlPr>
            </control>
          </mc:Choice>
        </mc:AlternateContent>
        <mc:AlternateContent xmlns:mc="http://schemas.openxmlformats.org/markup-compatibility/2006">
          <mc:Choice Requires="x14">
            <control shapeId="23568" r:id="rId8" name="Button 16">
              <controlPr defaultSize="0" print="0" autoFill="0" autoPict="0" macro="[0]!RefreshArchive_Click">
                <anchor moveWithCells="1" sizeWithCells="1">
                  <from>
                    <xdr:col>1</xdr:col>
                    <xdr:colOff>1495425</xdr:colOff>
                    <xdr:row>18</xdr:row>
                    <xdr:rowOff>152400</xdr:rowOff>
                  </from>
                  <to>
                    <xdr:col>1</xdr:col>
                    <xdr:colOff>4019550</xdr:colOff>
                    <xdr:row>22</xdr:row>
                    <xdr:rowOff>38100</xdr:rowOff>
                  </to>
                </anchor>
              </controlPr>
            </control>
          </mc:Choice>
        </mc:AlternateContent>
        <mc:AlternateContent xmlns:mc="http://schemas.openxmlformats.org/markup-compatibility/2006">
          <mc:Choice Requires="x14">
            <control shapeId="23569" r:id="rId9" name="Button 17">
              <controlPr defaultSize="0" print="0" autoFill="0" autoPict="0" macro="[0]!RefreshAll_Click">
                <anchor moveWithCells="1" sizeWithCells="1">
                  <from>
                    <xdr:col>1</xdr:col>
                    <xdr:colOff>1476375</xdr:colOff>
                    <xdr:row>5</xdr:row>
                    <xdr:rowOff>104775</xdr:rowOff>
                  </from>
                  <to>
                    <xdr:col>1</xdr:col>
                    <xdr:colOff>3905250</xdr:colOff>
                    <xdr:row>7</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B02F4-7B92-4C10-A9D5-08CF4CFB3EA2}">
  <sheetPr codeName="Sheet1">
    <tabColor theme="5" tint="0.39997558519241921"/>
  </sheetPr>
  <dimension ref="A1:AB27"/>
  <sheetViews>
    <sheetView topLeftCell="N6" zoomScale="85" zoomScaleNormal="85" workbookViewId="0">
      <selection activeCell="AA26" sqref="AA26"/>
    </sheetView>
  </sheetViews>
  <sheetFormatPr defaultRowHeight="15" x14ac:dyDescent="0.25"/>
  <cols>
    <col min="1" max="1" width="31" bestFit="1" customWidth="1"/>
    <col min="2" max="2" width="10.42578125" bestFit="1" customWidth="1"/>
    <col min="6" max="6" width="9.85546875" bestFit="1" customWidth="1"/>
    <col min="11" max="11" width="20.42578125" bestFit="1" customWidth="1"/>
    <col min="13" max="13" width="9.85546875" bestFit="1" customWidth="1"/>
    <col min="17" max="17" width="9.5703125" bestFit="1" customWidth="1"/>
    <col min="20" max="20" width="11.7109375" bestFit="1" customWidth="1"/>
    <col min="21" max="21" width="9.5703125" bestFit="1" customWidth="1"/>
    <col min="22" max="22" width="9.7109375" bestFit="1" customWidth="1"/>
    <col min="23" max="23" width="9.85546875" bestFit="1" customWidth="1"/>
    <col min="24" max="24" width="13.85546875" bestFit="1" customWidth="1"/>
    <col min="25" max="25" width="10.85546875" bestFit="1" customWidth="1"/>
    <col min="26" max="26" width="13.42578125" bestFit="1" customWidth="1"/>
    <col min="27" max="27" width="10" bestFit="1" customWidth="1"/>
  </cols>
  <sheetData>
    <row r="1" spans="1:28" ht="25.5" x14ac:dyDescent="0.35">
      <c r="A1" s="47"/>
      <c r="B1" s="47"/>
      <c r="C1" s="47"/>
      <c r="D1" s="47"/>
      <c r="E1" s="47"/>
      <c r="F1" s="47"/>
      <c r="G1" s="47"/>
      <c r="H1" s="47"/>
      <c r="I1" s="47"/>
      <c r="J1" s="47"/>
      <c r="K1" s="47"/>
      <c r="L1" s="47"/>
      <c r="M1" s="47"/>
      <c r="N1" s="47"/>
      <c r="O1" s="47"/>
      <c r="P1" s="47"/>
      <c r="Q1" s="47"/>
      <c r="R1" s="47"/>
      <c r="S1" s="47"/>
      <c r="T1" s="47"/>
      <c r="U1" s="47"/>
      <c r="V1" s="47"/>
      <c r="W1" s="3"/>
      <c r="X1" s="3"/>
      <c r="Y1" s="3"/>
      <c r="Z1" s="3"/>
      <c r="AA1" s="3"/>
      <c r="AB1" s="3"/>
    </row>
    <row r="2" spans="1:28" ht="25.5" x14ac:dyDescent="0.35">
      <c r="A2" s="3"/>
      <c r="B2" s="73" t="s">
        <v>458</v>
      </c>
      <c r="C2" s="4"/>
      <c r="D2" s="4"/>
      <c r="E2" s="4"/>
      <c r="F2" s="4"/>
      <c r="G2" s="4"/>
      <c r="H2" s="4"/>
      <c r="I2" s="4"/>
      <c r="J2" s="4"/>
      <c r="K2" s="4"/>
      <c r="L2" s="4"/>
      <c r="M2" s="4"/>
      <c r="N2" s="4"/>
      <c r="O2" s="4"/>
      <c r="P2" s="4"/>
      <c r="Q2" s="4"/>
      <c r="R2" s="4"/>
      <c r="S2" s="4"/>
      <c r="T2" s="4"/>
      <c r="U2" s="4"/>
      <c r="V2" s="4"/>
      <c r="W2" s="4"/>
      <c r="X2" s="4"/>
      <c r="Y2" s="4"/>
      <c r="Z2" s="4"/>
      <c r="AA2" s="3"/>
      <c r="AB2" s="3"/>
    </row>
    <row r="3" spans="1:28" x14ac:dyDescent="0.25">
      <c r="A3" s="3"/>
      <c r="B3" s="3"/>
      <c r="C3" s="3"/>
      <c r="D3" s="3"/>
      <c r="E3" s="3"/>
      <c r="F3" s="3"/>
      <c r="G3" s="3"/>
      <c r="H3" s="3"/>
      <c r="I3" s="3"/>
      <c r="J3" s="3"/>
      <c r="K3" s="3"/>
      <c r="L3" s="3"/>
      <c r="M3" s="3"/>
      <c r="N3" s="3"/>
      <c r="O3" s="3"/>
      <c r="P3" s="3"/>
      <c r="Q3" s="3"/>
      <c r="R3" s="3"/>
      <c r="S3" s="3"/>
      <c r="T3" s="3"/>
      <c r="U3" s="3"/>
      <c r="V3" s="3"/>
      <c r="W3" s="3"/>
      <c r="X3" s="3"/>
      <c r="Y3" s="3"/>
      <c r="Z3" s="3"/>
      <c r="AA3" s="3"/>
      <c r="AB3" s="3"/>
    </row>
    <row r="4" spans="1:28" x14ac:dyDescent="0.25">
      <c r="A4" s="3"/>
      <c r="B4" s="3"/>
      <c r="C4" s="3"/>
      <c r="D4" s="3"/>
      <c r="E4" s="3"/>
      <c r="F4" s="3"/>
      <c r="G4" s="3"/>
      <c r="H4" s="3"/>
      <c r="I4" s="3"/>
      <c r="J4" s="3"/>
      <c r="K4" s="3"/>
      <c r="L4" s="3"/>
      <c r="M4" s="3"/>
      <c r="N4" s="3"/>
      <c r="O4" s="3"/>
      <c r="P4" s="3"/>
      <c r="Q4" s="3"/>
      <c r="R4" s="3"/>
      <c r="S4" s="3"/>
      <c r="T4" s="3"/>
      <c r="U4" s="3"/>
      <c r="V4" s="3"/>
      <c r="W4" s="3"/>
      <c r="X4" s="3"/>
      <c r="Y4" s="3"/>
      <c r="Z4" s="3"/>
      <c r="AA4" s="3"/>
      <c r="AB4" s="3"/>
    </row>
    <row r="5" spans="1:28" x14ac:dyDescent="0.25">
      <c r="A5" s="3"/>
      <c r="B5" s="3"/>
      <c r="C5" s="3"/>
      <c r="D5" s="3"/>
      <c r="E5" s="3"/>
      <c r="F5" s="3"/>
      <c r="G5" s="3"/>
      <c r="H5" s="3"/>
      <c r="I5" s="3"/>
      <c r="J5" s="3"/>
      <c r="K5" s="3"/>
      <c r="L5" s="3"/>
      <c r="M5" s="3"/>
      <c r="N5" s="3"/>
      <c r="O5" s="3"/>
      <c r="P5" s="3"/>
      <c r="Q5" s="3"/>
      <c r="R5" s="3"/>
      <c r="S5" s="3"/>
      <c r="T5" s="3"/>
      <c r="U5" s="3"/>
      <c r="V5" s="3"/>
      <c r="W5" s="3"/>
      <c r="X5" s="3"/>
      <c r="Y5" s="3"/>
      <c r="Z5" s="3"/>
      <c r="AA5" s="3"/>
      <c r="AB5" s="3"/>
    </row>
    <row r="6" spans="1:28" x14ac:dyDescent="0.25">
      <c r="A6" s="3"/>
      <c r="B6" s="3"/>
      <c r="C6" s="3"/>
      <c r="D6" s="3"/>
      <c r="E6" s="3"/>
      <c r="F6" s="3"/>
      <c r="G6" s="3"/>
      <c r="H6" s="3"/>
      <c r="I6" s="3"/>
      <c r="J6" s="3"/>
      <c r="K6" s="3"/>
      <c r="L6" s="3"/>
      <c r="M6" s="3"/>
      <c r="N6" s="3"/>
      <c r="O6" s="3"/>
      <c r="P6" s="3"/>
      <c r="Q6" s="3"/>
      <c r="R6" s="3"/>
      <c r="S6" s="3"/>
      <c r="T6" s="3"/>
      <c r="U6" s="3"/>
      <c r="V6" s="3"/>
      <c r="W6" s="3"/>
      <c r="X6" s="3"/>
      <c r="Y6" s="3"/>
      <c r="Z6" s="3"/>
      <c r="AA6" s="3"/>
      <c r="AB6" s="3"/>
    </row>
    <row r="7" spans="1:28" hidden="1" x14ac:dyDescent="0.25">
      <c r="A7" s="46" t="s">
        <v>437</v>
      </c>
      <c r="B7" s="5"/>
      <c r="C7" s="3"/>
      <c r="D7" s="3"/>
      <c r="E7" s="3"/>
      <c r="F7" s="3"/>
      <c r="G7" s="3"/>
      <c r="H7" s="3"/>
      <c r="I7" s="3"/>
      <c r="J7" s="3"/>
      <c r="K7" s="3"/>
      <c r="L7" s="3"/>
      <c r="M7" s="3"/>
      <c r="N7" s="3"/>
      <c r="O7" s="3"/>
      <c r="P7" s="3"/>
      <c r="Q7" s="3"/>
      <c r="R7" s="3"/>
      <c r="S7" s="3"/>
      <c r="T7" s="3"/>
      <c r="U7" s="3"/>
      <c r="V7" s="3"/>
      <c r="W7" s="3"/>
      <c r="X7" s="3"/>
      <c r="Y7" s="3"/>
      <c r="Z7" s="3"/>
      <c r="AA7" s="3"/>
      <c r="AB7" s="3"/>
    </row>
    <row r="8" spans="1:28" x14ac:dyDescent="0.25">
      <c r="A8" s="3"/>
      <c r="B8" s="3"/>
      <c r="C8" s="3"/>
      <c r="D8" s="3"/>
      <c r="E8" s="3"/>
      <c r="F8" s="3"/>
      <c r="G8" s="3"/>
      <c r="H8" s="3"/>
      <c r="I8" s="6"/>
      <c r="J8" s="6"/>
      <c r="K8" s="6"/>
      <c r="L8" s="6"/>
      <c r="M8" s="6"/>
      <c r="N8" s="6"/>
      <c r="O8" s="3"/>
      <c r="P8" s="3"/>
      <c r="Q8" s="3"/>
      <c r="R8" s="3"/>
      <c r="S8" s="3"/>
      <c r="T8" s="3"/>
      <c r="U8" s="3"/>
      <c r="V8" s="3"/>
      <c r="W8" s="3"/>
      <c r="Y8" s="3"/>
      <c r="Z8" s="3"/>
      <c r="AA8" s="3"/>
      <c r="AB8" s="3"/>
    </row>
    <row r="9" spans="1:28" x14ac:dyDescent="0.25">
      <c r="A9" s="48"/>
      <c r="B9" s="49" t="s">
        <v>0</v>
      </c>
      <c r="C9" s="49" t="s">
        <v>0</v>
      </c>
      <c r="D9" s="49" t="s">
        <v>0</v>
      </c>
      <c r="E9" s="49" t="s">
        <v>1</v>
      </c>
      <c r="F9" s="49" t="s">
        <v>1</v>
      </c>
      <c r="G9" s="49" t="s">
        <v>1</v>
      </c>
      <c r="H9" s="49" t="s">
        <v>2</v>
      </c>
      <c r="I9" s="49" t="s">
        <v>2</v>
      </c>
      <c r="J9" s="49" t="s">
        <v>3</v>
      </c>
      <c r="K9" s="49" t="s">
        <v>4</v>
      </c>
      <c r="L9" s="49" t="s">
        <v>4</v>
      </c>
      <c r="M9" s="49" t="s">
        <v>4</v>
      </c>
      <c r="N9" s="49" t="s">
        <v>5</v>
      </c>
      <c r="O9" s="49" t="s">
        <v>5</v>
      </c>
      <c r="P9" s="49" t="s">
        <v>5</v>
      </c>
      <c r="Q9" s="49" t="s">
        <v>282</v>
      </c>
      <c r="R9" s="49" t="s">
        <v>6</v>
      </c>
      <c r="S9" s="49" t="s">
        <v>349</v>
      </c>
      <c r="T9" s="49" t="s">
        <v>7</v>
      </c>
      <c r="U9" s="49" t="s">
        <v>8</v>
      </c>
      <c r="V9" s="49" t="s">
        <v>9</v>
      </c>
      <c r="W9" s="49" t="s">
        <v>10</v>
      </c>
      <c r="X9" s="49" t="s">
        <v>13</v>
      </c>
      <c r="Y9" s="50" t="s">
        <v>14</v>
      </c>
    </row>
    <row r="10" spans="1:28" ht="51.75" x14ac:dyDescent="0.25">
      <c r="A10" s="51"/>
      <c r="B10" s="52" t="s">
        <v>15</v>
      </c>
      <c r="C10" s="52" t="s">
        <v>16</v>
      </c>
      <c r="D10" s="52" t="s">
        <v>17</v>
      </c>
      <c r="E10" s="52" t="s">
        <v>18</v>
      </c>
      <c r="F10" s="52" t="s">
        <v>19</v>
      </c>
      <c r="G10" s="52" t="s">
        <v>20</v>
      </c>
      <c r="H10" s="52" t="s">
        <v>440</v>
      </c>
      <c r="I10" s="52" t="s">
        <v>338</v>
      </c>
      <c r="J10" s="53" t="s">
        <v>442</v>
      </c>
      <c r="K10" s="52" t="s">
        <v>339</v>
      </c>
      <c r="L10" s="52" t="s">
        <v>340</v>
      </c>
      <c r="M10" s="52" t="s">
        <v>21</v>
      </c>
      <c r="N10" s="52" t="s">
        <v>341</v>
      </c>
      <c r="O10" s="52" t="s">
        <v>342</v>
      </c>
      <c r="P10" s="52" t="s">
        <v>22</v>
      </c>
      <c r="Q10" s="52" t="s">
        <v>343</v>
      </c>
      <c r="R10" s="52" t="s">
        <v>19</v>
      </c>
      <c r="S10" s="52" t="s">
        <v>344</v>
      </c>
      <c r="T10" s="52" t="s">
        <v>23</v>
      </c>
      <c r="U10" s="52" t="s">
        <v>24</v>
      </c>
      <c r="V10" s="52" t="s">
        <v>441</v>
      </c>
      <c r="W10" s="52" t="s">
        <v>25</v>
      </c>
      <c r="X10" s="52" t="s">
        <v>27</v>
      </c>
      <c r="Y10" s="53" t="s">
        <v>28</v>
      </c>
    </row>
    <row r="11" spans="1:28" x14ac:dyDescent="0.25">
      <c r="A11" s="45" t="s">
        <v>363</v>
      </c>
      <c r="B11" s="45">
        <f>INDEX(CIBC_rates!$B$2:$E$3,MATCH(VALUE(LEFT(A11,FIND(" ",A11)-1)),CIBC_rates!$E$2:$E$3,1),2)*100</f>
        <v>1</v>
      </c>
      <c r="C11" s="44">
        <f>INDEX(CIBC_rates!$B$4:$E$5,MATCH(VALUE(LEFT(A11,FIND(" ",A11)-1)),CIBC_rates!$E$4:$E$5,1),2)*100</f>
        <v>0.1</v>
      </c>
      <c r="D11" s="44">
        <f>INDEX(CIBC_rates!$B$6:$E$6,MATCH(VALUE(LEFT(A11,FIND(" ",A11)-1)),CIBC_rates!$E$6:$E$6,1),2)*100</f>
        <v>0.05</v>
      </c>
      <c r="E11" s="44">
        <f>INDEX(TD_rates!$B$4:$E$9,MATCH(VALUE(LEFT(A11,FIND(" ",A11)-1)),TD_rates!$E$4:$E$9,1),2)*100</f>
        <v>0.05</v>
      </c>
      <c r="F11" s="43">
        <f>INDEX(TD_rates!$B$11:$E$16,MATCH(VALUE(LEFT(A11,FIND(" ",A11)-1)),TD_rates!$E$11:$E$16,1),2)*100</f>
        <v>0.5</v>
      </c>
      <c r="G11" s="45">
        <f>INDEX(TD_rates!$B$18:$E$23,MATCH(VALUE(LEFT(A11,FIND(" ",A11)-1)),TD_rates!$E$18:$E$23,1),2)*100</f>
        <v>1.05</v>
      </c>
      <c r="H11" s="43">
        <f>INDEX(BMO_rates!$B$2:$E$4,MATCH(VALUE(LEFT(A11,FIND(" ",A11)-1)),BMO_rates!$E$2:$E$4,1),2)*100</f>
        <v>0.2</v>
      </c>
      <c r="I11" s="45">
        <f>INDEX(BMO_rates!$B$5:$E$6,MATCH(VALUE(LEFT(A11,FIND(" ",A11)-1)),BMO_rates!$E$5:$E$6,1),2)*100</f>
        <v>0.8</v>
      </c>
      <c r="J11" s="43">
        <f>INDEX(BMO_rates!$B$7:$E$8,MATCH(VALUE(LEFT(A11,FIND(" ",A11)-1)),BMO_rates!$E$7:$E$8,1),2)*100</f>
        <v>0.05</v>
      </c>
      <c r="K11" s="43" t="str">
        <f>(BNS_Rates!$D$36)*100 &amp; " + " &amp; (BNS_Rates!$E$35)*100 &amp; ", "&amp; (BNS_Rates!$E$34)*100 &amp; ", "&amp; (BNS_Rates!$E$33)*100 &amp; ", "&amp; (BNS_Rates!$E$32)*100</f>
        <v>1 + 0.6, 0.7, 0.85, 1</v>
      </c>
      <c r="L11" s="45">
        <f>INDEX(BNS_Rates!$B$28:$G$29,MATCH(VALUE(LEFT(A11,FIND(" ",A11)-1)),BNS_Rates!$G$28:$G$29,1),2)*100</f>
        <v>0.05</v>
      </c>
      <c r="M11" s="45">
        <f>INDEX(BNS_Rates!$B$25:$G$27,MATCH(VALUE(LEFT(A11,FIND(" ",A11)-1)),BNS_Rates!$G$25:$G$27,1),2)*100</f>
        <v>1.0999999999999999</v>
      </c>
      <c r="N11" s="45" t="str">
        <f>INDEX(RBC_Rates!$A$168:$E$168,MATCH(VALUE(LEFT(A11,FIND(" ",A11)-1)),RBC_Rates!$E$168:$E$168,1),3)</f>
        <v>1.000</v>
      </c>
      <c r="O11" s="45" t="str">
        <f>INDEX(RBC_Rates!$A$160:$E$167,MATCH(VALUE(LEFT(A11,FIND(" ",A11)-1)),RBC_Rates!$E$160:$E$167,1),3)</f>
        <v>0.150 P</v>
      </c>
      <c r="P11" s="45" t="str">
        <f>INDEX(RBC_Rates!$A$156:$E$159,MATCH(VALUE(LEFT(A11,FIND(" ",A11)-1)),RBC_Rates!$E$156:$E$159,1),3)</f>
        <v>0.010 P</v>
      </c>
      <c r="Q11" s="60">
        <v>1.1499999999999999</v>
      </c>
      <c r="R11" s="79">
        <f>Simplii_rates!$C$11</f>
        <v>1.1499999999999999</v>
      </c>
      <c r="S11" s="44">
        <f>LEFT((ICICI_rates!$B$3),5)*100</f>
        <v>1.6</v>
      </c>
      <c r="T11" s="44">
        <f>(NBC_rates!$C$28)*100</f>
        <v>1</v>
      </c>
      <c r="U11" s="45">
        <f>(Manulife_rates!$C$7)*100</f>
        <v>1.5</v>
      </c>
      <c r="V11" s="43">
        <f>INDEX(HSBC_rates!$B$2:$I$5,MATCH(VALUE(LEFT(A11,FIND(" ",A11)-1)),HSBC_rates!$I$2:$I$5,1),2)*100</f>
        <v>1.1499999999999999</v>
      </c>
      <c r="W11" s="43">
        <f>(CT_rates!$B$2)*100</f>
        <v>1.5</v>
      </c>
      <c r="X11" s="79">
        <f>(Meridian_rates!$A$2)*100</f>
        <v>1.3</v>
      </c>
      <c r="Y11" s="8">
        <f>(EQ_rates!$B$2)*100</f>
        <v>2.2999999999999998</v>
      </c>
    </row>
    <row r="12" spans="1:28" x14ac:dyDescent="0.25">
      <c r="A12" s="43" t="s">
        <v>364</v>
      </c>
      <c r="B12" s="43">
        <f>INDEX(CIBC_rates!$B$2:$E$3,MATCH(VALUE(LEFT(A12,FIND(" ",A12)-1)),CIBC_rates!$E$2:$E$3,1),2)*100</f>
        <v>1</v>
      </c>
      <c r="C12" s="44">
        <f>INDEX(CIBC_rates!$B$4:$E$5,MATCH(VALUE(LEFT(A12,FIND(" ",A12)-1)),CIBC_rates!$E$4:$E$5,1),2)*100</f>
        <v>0.1</v>
      </c>
      <c r="D12" s="44">
        <f>INDEX(CIBC_rates!$B$6:$E$6,MATCH(VALUE(LEFT(A12,FIND(" ",A12)-1)),CIBC_rates!$E$6:$E$6,1),2)*100</f>
        <v>0.05</v>
      </c>
      <c r="E12" s="44">
        <f>INDEX(TD_rates!$B$4:$E$9,MATCH(VALUE(LEFT(A12,FIND(" ",A12)-1)),TD_rates!$E$4:$E$9,1),2)*100</f>
        <v>0.05</v>
      </c>
      <c r="F12" s="43">
        <f>INDEX(TD_rates!$B$11:$E$16,MATCH(VALUE(LEFT(A12,FIND(" ",A12)-1)),TD_rates!$E$11:$E$16,1),2)*100</f>
        <v>0.5</v>
      </c>
      <c r="G12" s="43">
        <f>INDEX(TD_rates!$B$18:$E$23,MATCH(VALUE(LEFT(A12,FIND(" ",A12)-1)),TD_rates!$E$18:$E$23,1),2)*100</f>
        <v>1.05</v>
      </c>
      <c r="H12" s="43">
        <f>INDEX(BMO_rates!$B$2:$E$4,MATCH(VALUE(LEFT(A12,FIND(" ",A12)-1)),BMO_rates!$E$2:$E$4,1),2)*100</f>
        <v>1.6</v>
      </c>
      <c r="I12" s="45">
        <f>INDEX(BMO_rates!$B$5:$E$6,MATCH(VALUE(LEFT(A12,FIND(" ",A12)-1)),BMO_rates!$E$5:$E$6,1),2)*100</f>
        <v>0.8</v>
      </c>
      <c r="J12" s="43">
        <f>INDEX(BMO_rates!$B$7:$E$8,MATCH(VALUE(LEFT(A12,FIND(" ",A12)-1)),BMO_rates!$E$7:$E$8,1),2)*100</f>
        <v>0.05</v>
      </c>
      <c r="K12" s="43" t="str">
        <f>(BNS_Rates!$D$36)*100 &amp; " + " &amp; (BNS_Rates!$E$35)*100 &amp; ", "&amp; (BNS_Rates!$E$34)*100 &amp; ", "&amp; (BNS_Rates!$E$33)*100 &amp; ", "&amp; (BNS_Rates!$E$32)*100</f>
        <v>1 + 0.6, 0.7, 0.85, 1</v>
      </c>
      <c r="L12" s="45">
        <f>INDEX(BNS_Rates!$B$28:$G$29,MATCH(VALUE(LEFT(A12,FIND(" ",A12)-1)),BNS_Rates!$G$28:$G$29,1),2)*100</f>
        <v>0.05</v>
      </c>
      <c r="M12" s="45">
        <f>INDEX(BNS_Rates!$B$25:$G$27,MATCH(VALUE(LEFT(A12,FIND(" ",A12)-1)),BNS_Rates!$G$25:$G$27,1),2)*100</f>
        <v>1</v>
      </c>
      <c r="N12" s="45" t="str">
        <f>INDEX(RBC_Rates!$A$168:$E$168,MATCH(VALUE(LEFT(A12,FIND(" ",A12)-1)),RBC_Rates!$E$168:$E$168,1),3)</f>
        <v>1.000</v>
      </c>
      <c r="O12" s="45" t="str">
        <f>INDEX(RBC_Rates!$A$160:$E$167,MATCH(VALUE(LEFT(A12,FIND(" ",A12)-1)),RBC_Rates!$E$160:$E$167,1),3)</f>
        <v>0.150 P</v>
      </c>
      <c r="P12" s="45" t="str">
        <f>INDEX(RBC_Rates!$A$156:$E$159,MATCH(VALUE(LEFT(A12,FIND(" ",A12)-1)),RBC_Rates!$E$156:$E$159,1),3)</f>
        <v>0.010 P</v>
      </c>
      <c r="Q12" s="60">
        <f>$Q$11</f>
        <v>1.1499999999999999</v>
      </c>
      <c r="R12" s="79">
        <f>Simplii_rates!$C$11</f>
        <v>1.1499999999999999</v>
      </c>
      <c r="S12" s="44">
        <f>LEFT((ICICI_rates!$B$3),5)*100</f>
        <v>1.6</v>
      </c>
      <c r="T12" s="44">
        <f>(NBC_rates!$C$28)*100</f>
        <v>1</v>
      </c>
      <c r="U12" s="45">
        <f>(Manulife_rates!$C$7)*100</f>
        <v>1.5</v>
      </c>
      <c r="V12" s="43">
        <f>INDEX(HSBC_rates!$B$2:$I$5,MATCH(VALUE(LEFT(A12,FIND(" ",A12)-1)),HSBC_rates!$I$2:$I$5,1),2)*100</f>
        <v>1.1499999999999999</v>
      </c>
      <c r="W12" s="43">
        <f>(CT_rates!$B$2)*100</f>
        <v>1.5</v>
      </c>
      <c r="X12" s="79">
        <f>(Meridian_rates!$A$2)*100</f>
        <v>1.3</v>
      </c>
      <c r="Y12" s="8">
        <f>(EQ_rates!$B$2)*100</f>
        <v>2.2999999999999998</v>
      </c>
    </row>
    <row r="13" spans="1:28" x14ac:dyDescent="0.25">
      <c r="A13" s="43" t="s">
        <v>365</v>
      </c>
      <c r="B13" s="43">
        <f>INDEX(CIBC_rates!$B$2:$E$3,MATCH(VALUE(LEFT(A13,FIND(" ",A13)-1)),CIBC_rates!$E$2:$E$3,1),2)*100</f>
        <v>1</v>
      </c>
      <c r="C13" s="44">
        <f>INDEX(CIBC_rates!$B$4:$E$5,MATCH(VALUE(LEFT(A13,FIND(" ",A13)-1)),CIBC_rates!$E$4:$E$5,1),2)*100</f>
        <v>0.1</v>
      </c>
      <c r="D13" s="44">
        <f>INDEX(CIBC_rates!$B$6:$E$6,MATCH(VALUE(LEFT(A13,FIND(" ",A13)-1)),CIBC_rates!$E$6:$E$6,1),2)*100</f>
        <v>0.05</v>
      </c>
      <c r="E13" s="44">
        <f>INDEX(TD_rates!$B$4:$E$9,MATCH(VALUE(LEFT(A13,FIND(" ",A13)-1)),TD_rates!$E$4:$E$9,1),2)*100</f>
        <v>0.05</v>
      </c>
      <c r="F13" s="43">
        <f>INDEX(TD_rates!$B$11:$E$16,MATCH(VALUE(LEFT(A13,FIND(" ",A13)-1)),TD_rates!$E$11:$E$16,1),2)*100</f>
        <v>0.5</v>
      </c>
      <c r="G13" s="43">
        <f>INDEX(TD_rates!$B$18:$E$23,MATCH(VALUE(LEFT(A13,FIND(" ",A13)-1)),TD_rates!$E$18:$E$23,1),2)*100</f>
        <v>1.05</v>
      </c>
      <c r="H13" s="43">
        <f>INDEX(BMO_rates!$B$2:$E$4,MATCH(VALUE(LEFT(A13,FIND(" ",A13)-1)),BMO_rates!$E$2:$E$4,1),2)*100</f>
        <v>1.6</v>
      </c>
      <c r="I13" s="45">
        <f>INDEX(BMO_rates!$B$5:$E$6,MATCH(VALUE(LEFT(A13,FIND(" ",A13)-1)),BMO_rates!$E$5:$E$6,1),2)*100</f>
        <v>0.8</v>
      </c>
      <c r="J13" s="43">
        <f>INDEX(BMO_rates!$B$7:$E$8,MATCH(VALUE(LEFT(A13,FIND(" ",A13)-1)),BMO_rates!$E$7:$E$8,1),2)*100</f>
        <v>0.05</v>
      </c>
      <c r="K13" s="43" t="str">
        <f>(BNS_Rates!$D$36)*100 &amp; " + " &amp; (BNS_Rates!$E$35)*100 &amp; ", "&amp; (BNS_Rates!$E$34)*100 &amp; ", "&amp; (BNS_Rates!$E$33)*100 &amp; ", "&amp; (BNS_Rates!$E$32)*100</f>
        <v>1 + 0.6, 0.7, 0.85, 1</v>
      </c>
      <c r="L13" s="45">
        <f>INDEX(BNS_Rates!$B$28:$G$29,MATCH(VALUE(LEFT(A13,FIND(" ",A13)-1)),BNS_Rates!$G$28:$G$29,1),2)*100</f>
        <v>0.05</v>
      </c>
      <c r="M13" s="45">
        <f>INDEX(BNS_Rates!$B$25:$G$27,MATCH(VALUE(LEFT(A13,FIND(" ",A13)-1)),BNS_Rates!$G$25:$G$27,1),2)*100</f>
        <v>1</v>
      </c>
      <c r="N13" s="45" t="str">
        <f>INDEX(RBC_Rates!$A$168:$E$168,MATCH(VALUE(LEFT(A13,FIND(" ",A13)-1)),RBC_Rates!$E$168:$E$168,1),3)</f>
        <v>1.000</v>
      </c>
      <c r="O13" s="45" t="str">
        <f>INDEX(RBC_Rates!$A$160:$E$167,MATCH(VALUE(LEFT(A13,FIND(" ",A13)-1)),RBC_Rates!$E$160:$E$167,1),3)</f>
        <v>0.050 P</v>
      </c>
      <c r="P13" s="45" t="str">
        <f>INDEX(RBC_Rates!$A$156:$E$159,MATCH(VALUE(LEFT(A13,FIND(" ",A13)-1)),RBC_Rates!$E$156:$E$159,1),3)</f>
        <v>0.010 P</v>
      </c>
      <c r="Q13" s="60">
        <f t="shared" ref="Q13:Q21" si="0">$Q$11</f>
        <v>1.1499999999999999</v>
      </c>
      <c r="R13" s="79">
        <f>Simplii_rates!$C$11</f>
        <v>1.1499999999999999</v>
      </c>
      <c r="S13" s="44">
        <f>LEFT((ICICI_rates!$B$3),5)*100</f>
        <v>1.6</v>
      </c>
      <c r="T13" s="44">
        <f>(NBC_rates!$C$28)*100</f>
        <v>1</v>
      </c>
      <c r="U13" s="45">
        <f>(Manulife_rates!$C$7)*100</f>
        <v>1.5</v>
      </c>
      <c r="V13" s="43">
        <f>INDEX(HSBC_rates!$B$2:$I$5,MATCH(VALUE(LEFT(A13,FIND(" ",A13)-1)),HSBC_rates!$I$2:$I$5,1),2)*100</f>
        <v>1.1499999999999999</v>
      </c>
      <c r="W13" s="43">
        <f>(CT_rates!$B$2)*100</f>
        <v>1.5</v>
      </c>
      <c r="X13" s="79">
        <f>(Meridian_rates!$A$2)*100</f>
        <v>1.3</v>
      </c>
      <c r="Y13" s="8">
        <f>(EQ_rates!$B$2)*100</f>
        <v>2.2999999999999998</v>
      </c>
    </row>
    <row r="14" spans="1:28" x14ac:dyDescent="0.25">
      <c r="A14" s="43" t="s">
        <v>366</v>
      </c>
      <c r="B14" s="43">
        <f>INDEX(CIBC_rates!$B$2:$E$3,MATCH(VALUE(LEFT(A14,FIND(" ",A14)-1)),CIBC_rates!$E$2:$E$3,1),2)*100</f>
        <v>1</v>
      </c>
      <c r="C14" s="44">
        <f>INDEX(CIBC_rates!$B$4:$E$5,MATCH(VALUE(LEFT(A14,FIND(" ",A14)-1)),CIBC_rates!$E$4:$E$5,1),2)*100</f>
        <v>0.1</v>
      </c>
      <c r="D14" s="44">
        <f>INDEX(CIBC_rates!$B$6:$E$6,MATCH(VALUE(LEFT(A14,FIND(" ",A14)-1)),CIBC_rates!$E$6:$E$6,1),2)*100</f>
        <v>0.05</v>
      </c>
      <c r="E14" s="44">
        <f>INDEX(TD_rates!$B$4:$E$9,MATCH(VALUE(LEFT(A14,FIND(" ",A14)-1)),TD_rates!$E$4:$E$9,1),2)*100</f>
        <v>0.05</v>
      </c>
      <c r="F14" s="43">
        <f>INDEX(TD_rates!$B$11:$E$16,MATCH(VALUE(LEFT(A14,FIND(" ",A14)-1)),TD_rates!$E$11:$E$16,1),2)*100</f>
        <v>0.5</v>
      </c>
      <c r="G14" s="43">
        <f>INDEX(TD_rates!$B$18:$E$23,MATCH(VALUE(LEFT(A14,FIND(" ",A14)-1)),TD_rates!$E$18:$E$23,1),2)*100</f>
        <v>1.05</v>
      </c>
      <c r="H14" s="43">
        <f>INDEX(BMO_rates!$B$2:$E$4,MATCH(VALUE(LEFT(A14,FIND(" ",A14)-1)),BMO_rates!$E$2:$E$4,1),2)*100</f>
        <v>1.6</v>
      </c>
      <c r="I14" s="45">
        <f>INDEX(BMO_rates!$B$5:$E$6,MATCH(VALUE(LEFT(A14,FIND(" ",A14)-1)),BMO_rates!$E$5:$E$6,1),2)*100</f>
        <v>0.8</v>
      </c>
      <c r="J14" s="43">
        <f>INDEX(BMO_rates!$B$7:$E$8,MATCH(VALUE(LEFT(A14,FIND(" ",A14)-1)),BMO_rates!$E$7:$E$8,1),2)*100</f>
        <v>0.05</v>
      </c>
      <c r="K14" s="43" t="str">
        <f>(BNS_Rates!$D$36)*100 &amp; " + " &amp; (BNS_Rates!$E$35)*100 &amp; ", "&amp; (BNS_Rates!$E$34)*100 &amp; ", "&amp; (BNS_Rates!$E$33)*100 &amp; ", "&amp; (BNS_Rates!$E$32)*100</f>
        <v>1 + 0.6, 0.7, 0.85, 1</v>
      </c>
      <c r="L14" s="45">
        <f>INDEX(BNS_Rates!$B$28:$G$29,MATCH(VALUE(LEFT(A14,FIND(" ",A14)-1)),BNS_Rates!$G$28:$G$29,1),2)*100</f>
        <v>0.05</v>
      </c>
      <c r="M14" s="45">
        <f>INDEX(BNS_Rates!$B$25:$G$27,MATCH(VALUE(LEFT(A14,FIND(" ",A14)-1)),BNS_Rates!$G$25:$G$27,1),2)*100</f>
        <v>1</v>
      </c>
      <c r="N14" s="45" t="str">
        <f>INDEX(RBC_Rates!$A$168:$E$168,MATCH(VALUE(LEFT(A14,FIND(" ",A14)-1)),RBC_Rates!$E$168:$E$168,1),3)</f>
        <v>1.000</v>
      </c>
      <c r="O14" s="45" t="str">
        <f>INDEX(RBC_Rates!$A$160:$E$167,MATCH(VALUE(LEFT(A14,FIND(" ",A14)-1)),RBC_Rates!$E$160:$E$167,1),3)</f>
        <v>0.025 P</v>
      </c>
      <c r="P14" s="45" t="str">
        <f>INDEX(RBC_Rates!$A$156:$E$159,MATCH(VALUE(LEFT(A14,FIND(" ",A14)-1)),RBC_Rates!$E$156:$E$159,1),3)</f>
        <v>0.010 P</v>
      </c>
      <c r="Q14" s="60">
        <f t="shared" si="0"/>
        <v>1.1499999999999999</v>
      </c>
      <c r="R14" s="79">
        <f>Simplii_rates!$C$11</f>
        <v>1.1499999999999999</v>
      </c>
      <c r="S14" s="44">
        <f>LEFT((ICICI_rates!$B$3),5)*100</f>
        <v>1.6</v>
      </c>
      <c r="T14" s="44">
        <f>(NBC_rates!$C$28)*100</f>
        <v>1</v>
      </c>
      <c r="U14" s="45">
        <f>(Manulife_rates!$C$7)*100</f>
        <v>1.5</v>
      </c>
      <c r="V14" s="43">
        <f>INDEX(HSBC_rates!$B$2:$I$5,MATCH(VALUE(LEFT(A14,FIND(" ",A14)-1)),HSBC_rates!$I$2:$I$5,1),2)*100</f>
        <v>1.1499999999999999</v>
      </c>
      <c r="W14" s="43">
        <f>(CT_rates!$B$2)*100</f>
        <v>1.5</v>
      </c>
      <c r="X14" s="79">
        <f>(Meridian_rates!$A$2)*100</f>
        <v>1.3</v>
      </c>
      <c r="Y14" s="8">
        <f>(EQ_rates!$B$2)*100</f>
        <v>2.2999999999999998</v>
      </c>
    </row>
    <row r="15" spans="1:28" x14ac:dyDescent="0.25">
      <c r="A15" s="43" t="s">
        <v>367</v>
      </c>
      <c r="B15" s="43">
        <f>INDEX(CIBC_rates!$B$2:$E$3,MATCH(VALUE(LEFT(A15,FIND(" ",A15)-1)),CIBC_rates!$E$2:$E$3,1),2)*100</f>
        <v>1</v>
      </c>
      <c r="C15" s="44">
        <f>INDEX(CIBC_rates!$B$4:$E$5,MATCH(VALUE(LEFT(A15,FIND(" ",A15)-1)),CIBC_rates!$E$4:$E$5,1),2)*100</f>
        <v>0.1</v>
      </c>
      <c r="D15" s="44">
        <f>INDEX(CIBC_rates!$B$6:$E$6,MATCH(VALUE(LEFT(A15,FIND(" ",A15)-1)),CIBC_rates!$E$6:$E$6,1),2)*100</f>
        <v>0.05</v>
      </c>
      <c r="E15" s="44">
        <f>INDEX(TD_rates!$B$4:$E$9,MATCH(VALUE(LEFT(A15,FIND(" ",A15)-1)),TD_rates!$E$4:$E$9,1),2)*100</f>
        <v>0.05</v>
      </c>
      <c r="F15" s="43">
        <f>INDEX(TD_rates!$B$11:$E$16,MATCH(VALUE(LEFT(A15,FIND(" ",A15)-1)),TD_rates!$E$11:$E$16,1),2)*100</f>
        <v>0.5</v>
      </c>
      <c r="G15" s="43">
        <f>INDEX(TD_rates!$B$18:$E$23,MATCH(VALUE(LEFT(A15,FIND(" ",A15)-1)),TD_rates!$E$18:$E$23,1),2)*100</f>
        <v>1.05</v>
      </c>
      <c r="H15" s="43">
        <f>INDEX(BMO_rates!$B$2:$E$4,MATCH(VALUE(LEFT(A15,FIND(" ",A15)-1)),BMO_rates!$E$2:$E$4,1),2)*100</f>
        <v>1.6</v>
      </c>
      <c r="I15" s="45">
        <f>INDEX(BMO_rates!$B$5:$E$6,MATCH(VALUE(LEFT(A15,FIND(" ",A15)-1)),BMO_rates!$E$5:$E$6,1),2)*100</f>
        <v>0.8</v>
      </c>
      <c r="J15" s="43">
        <f>INDEX(BMO_rates!$B$7:$E$8,MATCH(VALUE(LEFT(A15,FIND(" ",A15)-1)),BMO_rates!$E$7:$E$8,1),2)*100</f>
        <v>0.05</v>
      </c>
      <c r="K15" s="43" t="str">
        <f>(BNS_Rates!$D$36)*100 &amp; " + " &amp; (BNS_Rates!$E$35)*100 &amp; ", "&amp; (BNS_Rates!$E$34)*100 &amp; ", "&amp; (BNS_Rates!$E$33)*100 &amp; ", "&amp; (BNS_Rates!$E$32)*100</f>
        <v>1 + 0.6, 0.7, 0.85, 1</v>
      </c>
      <c r="L15" s="45">
        <f>INDEX(BNS_Rates!$B$28:$G$29,MATCH(VALUE(LEFT(A15,FIND(" ",A15)-1)),BNS_Rates!$G$28:$G$29,1),2)*100</f>
        <v>0.05</v>
      </c>
      <c r="M15" s="45">
        <f>INDEX(BNS_Rates!$B$25:$G$27,MATCH(VALUE(LEFT(A15,FIND(" ",A15)-1)),BNS_Rates!$G$25:$G$27,1),2)*100</f>
        <v>1</v>
      </c>
      <c r="N15" s="45" t="str">
        <f>INDEX(RBC_Rates!$A$168:$E$168,MATCH(VALUE(LEFT(A15,FIND(" ",A15)-1)),RBC_Rates!$E$168:$E$168,1),3)</f>
        <v>1.000</v>
      </c>
      <c r="O15" s="45" t="str">
        <f>INDEX(RBC_Rates!$A$160:$E$167,MATCH(VALUE(LEFT(A15,FIND(" ",A15)-1)),RBC_Rates!$E$160:$E$167,1),3)</f>
        <v>0.010</v>
      </c>
      <c r="P15" s="45" t="str">
        <f>INDEX(RBC_Rates!$A$156:$E$159,MATCH(VALUE(LEFT(A15,FIND(" ",A15)-1)),RBC_Rates!$E$156:$E$159,1),3)</f>
        <v>0.010 P</v>
      </c>
      <c r="Q15" s="60">
        <f t="shared" si="0"/>
        <v>1.1499999999999999</v>
      </c>
      <c r="R15" s="79">
        <f>Simplii_rates!$C$11</f>
        <v>1.1499999999999999</v>
      </c>
      <c r="S15" s="44">
        <f>LEFT((ICICI_rates!$B$3),5)*100</f>
        <v>1.6</v>
      </c>
      <c r="T15" s="44">
        <f>(NBC_rates!$C$28)*100</f>
        <v>1</v>
      </c>
      <c r="U15" s="45">
        <f>(Manulife_rates!$C$7)*100</f>
        <v>1.5</v>
      </c>
      <c r="V15" s="43">
        <f>INDEX(HSBC_rates!$B$2:$I$5,MATCH(VALUE(LEFT(A15,FIND(" ",A15)-1)),HSBC_rates!$I$2:$I$5,1),2)*100</f>
        <v>1.1499999999999999</v>
      </c>
      <c r="W15" s="43">
        <f>(CT_rates!$B$2)*100</f>
        <v>1.5</v>
      </c>
      <c r="X15" s="79">
        <f>(Meridian_rates!$A$2)*100</f>
        <v>1.3</v>
      </c>
      <c r="Y15" s="8">
        <f>(EQ_rates!$B$2)*100</f>
        <v>2.2999999999999998</v>
      </c>
    </row>
    <row r="16" spans="1:28" x14ac:dyDescent="0.25">
      <c r="A16" s="43" t="s">
        <v>368</v>
      </c>
      <c r="B16" s="43">
        <f>INDEX(CIBC_rates!$B$2:$E$3,MATCH(VALUE(LEFT(A16,FIND(" ",A16)-1)),CIBC_rates!$E$2:$E$3,1),2)*100</f>
        <v>1</v>
      </c>
      <c r="C16" s="44">
        <f>INDEX(CIBC_rates!$B$4:$E$5,MATCH(VALUE(LEFT(A16,FIND(" ",A16)-1)),CIBC_rates!$E$4:$E$5,1),2)*100</f>
        <v>0.1</v>
      </c>
      <c r="D16" s="44">
        <f>INDEX(CIBC_rates!$B$6:$E$6,MATCH(VALUE(LEFT(A16,FIND(" ",A16)-1)),CIBC_rates!$E$6:$E$6,1),2)*100</f>
        <v>0.05</v>
      </c>
      <c r="E16" s="44">
        <f>INDEX(TD_rates!$B$4:$E$9,MATCH(VALUE(LEFT(A16,FIND(" ",A16)-1)),TD_rates!$E$4:$E$9,1),2)*100</f>
        <v>0.05</v>
      </c>
      <c r="F16" s="43">
        <f>INDEX(TD_rates!$B$11:$E$16,MATCH(VALUE(LEFT(A16,FIND(" ",A16)-1)),TD_rates!$E$11:$E$16,1),2)*100</f>
        <v>0.5</v>
      </c>
      <c r="G16" s="43">
        <f>INDEX(TD_rates!$B$18:$E$23,MATCH(VALUE(LEFT(A16,FIND(" ",A16)-1)),TD_rates!$E$18:$E$23,1),2)*100</f>
        <v>1.05</v>
      </c>
      <c r="H16" s="43">
        <f>INDEX(BMO_rates!$B$2:$E$4,MATCH(VALUE(LEFT(A16,FIND(" ",A16)-1)),BMO_rates!$E$2:$E$4,1),2)*100</f>
        <v>1.6</v>
      </c>
      <c r="I16" s="45">
        <f>INDEX(BMO_rates!$B$5:$E$6,MATCH(VALUE(LEFT(A16,FIND(" ",A16)-1)),BMO_rates!$E$5:$E$6,1),2)*100</f>
        <v>0.8</v>
      </c>
      <c r="J16" s="43">
        <f>INDEX(BMO_rates!$B$7:$E$8,MATCH(VALUE(LEFT(A16,FIND(" ",A16)-1)),BMO_rates!$E$7:$E$8,1),2)*100</f>
        <v>0.05</v>
      </c>
      <c r="K16" s="43" t="str">
        <f>(BNS_Rates!$D$36)*100 &amp; " + " &amp; (BNS_Rates!$E$35)*100 &amp; ", "&amp; (BNS_Rates!$E$34)*100 &amp; ", "&amp; (BNS_Rates!$E$33)*100 &amp; ", "&amp; (BNS_Rates!$E$32)*100</f>
        <v>1 + 0.6, 0.7, 0.85, 1</v>
      </c>
      <c r="L16" s="45">
        <f>INDEX(BNS_Rates!$B$28:$G$29,MATCH(VALUE(LEFT(A16,FIND(" ",A16)-1)),BNS_Rates!$G$28:$G$29,1),2)*100</f>
        <v>0.05</v>
      </c>
      <c r="M16" s="45">
        <f>INDEX(BNS_Rates!$B$25:$G$27,MATCH(VALUE(LEFT(A16,FIND(" ",A16)-1)),BNS_Rates!$G$25:$G$27,1),2)*100</f>
        <v>1</v>
      </c>
      <c r="N16" s="45" t="str">
        <f>INDEX(RBC_Rates!$A$168:$E$168,MATCH(VALUE(LEFT(A16,FIND(" ",A16)-1)),RBC_Rates!$E$168:$E$168,1),3)</f>
        <v>1.000</v>
      </c>
      <c r="O16" s="45" t="str">
        <f>INDEX(RBC_Rates!$A$160:$E$167,MATCH(VALUE(LEFT(A16,FIND(" ",A16)-1)),RBC_Rates!$E$160:$E$167,1),3)</f>
        <v>0.010</v>
      </c>
      <c r="P16" s="45" t="str">
        <f>INDEX(RBC_Rates!$A$156:$E$159,MATCH(VALUE(LEFT(A16,FIND(" ",A16)-1)),RBC_Rates!$E$156:$E$159,1),3)</f>
        <v>0.010 P</v>
      </c>
      <c r="Q16" s="60">
        <f t="shared" si="0"/>
        <v>1.1499999999999999</v>
      </c>
      <c r="R16" s="79">
        <f>Simplii_rates!$C$11</f>
        <v>1.1499999999999999</v>
      </c>
      <c r="S16" s="44">
        <f>LEFT((ICICI_rates!$B$3),5)*100</f>
        <v>1.6</v>
      </c>
      <c r="T16" s="44">
        <f>(NBC_rates!$C$28)*100</f>
        <v>1</v>
      </c>
      <c r="U16" s="45">
        <f>(Manulife_rates!$C$7)*100</f>
        <v>1.5</v>
      </c>
      <c r="V16" s="43">
        <f>INDEX(HSBC_rates!$B$2:$I$5,MATCH(VALUE(LEFT(A16,FIND(" ",A16)-1)),HSBC_rates!$I$2:$I$5,1),2)*100</f>
        <v>1.05</v>
      </c>
      <c r="W16" s="43">
        <f>(CT_rates!$B$2)*100</f>
        <v>1.5</v>
      </c>
      <c r="X16" s="79">
        <f>(Meridian_rates!$A$2)*100</f>
        <v>1.3</v>
      </c>
      <c r="Y16" s="8">
        <f>(EQ_rates!$B$2)*100</f>
        <v>2.2999999999999998</v>
      </c>
    </row>
    <row r="17" spans="1:26" x14ac:dyDescent="0.25">
      <c r="A17" s="43" t="s">
        <v>36</v>
      </c>
      <c r="B17" s="43">
        <f>INDEX(CIBC_rates!$B$2:$E$3,MATCH(VALUE(LEFT(A17,FIND(" ",A17)-1)),CIBC_rates!$E$2:$E$3,1),2)*100</f>
        <v>1</v>
      </c>
      <c r="C17" s="44">
        <f>INDEX(CIBC_rates!$B$4:$E$5,MATCH(VALUE(LEFT(A17,FIND(" ",A17)-1)),CIBC_rates!$E$4:$E$5,1),2)*100</f>
        <v>0.1</v>
      </c>
      <c r="D17" s="44">
        <f>INDEX(CIBC_rates!$B$6:$E$6,MATCH(VALUE(LEFT(A17,FIND(" ",A17)-1)),CIBC_rates!$E$6:$E$6,1),2)*100</f>
        <v>0.05</v>
      </c>
      <c r="E17" s="44">
        <f>INDEX(TD_rates!$B$4:$E$9,MATCH(VALUE(LEFT(A17,FIND(" ",A17)-1)),TD_rates!$E$4:$E$9,1),2)*100</f>
        <v>0.05</v>
      </c>
      <c r="F17" s="43">
        <f>INDEX(TD_rates!$B$11:$E$16,MATCH(VALUE(LEFT(A17,FIND(" ",A17)-1)),TD_rates!$E$11:$E$16,1),2)*100</f>
        <v>0.5</v>
      </c>
      <c r="G17" s="43">
        <f>INDEX(TD_rates!$B$18:$E$23,MATCH(VALUE(LEFT(A17,FIND(" ",A17)-1)),TD_rates!$E$18:$E$23,1),2)*100</f>
        <v>1.05</v>
      </c>
      <c r="H17" s="43">
        <f>INDEX(BMO_rates!$B$2:$E$4,MATCH(VALUE(LEFT(A17,FIND(" ",A17)-1)),BMO_rates!$E$2:$E$4,1),2)*100</f>
        <v>1.6</v>
      </c>
      <c r="I17" s="45">
        <f>INDEX(BMO_rates!$B$5:$E$6,MATCH(VALUE(LEFT(A17,FIND(" ",A17)-1)),BMO_rates!$E$5:$E$6,1),2)*100</f>
        <v>0.8</v>
      </c>
      <c r="J17" s="43">
        <f>INDEX(BMO_rates!$B$7:$E$8,MATCH(VALUE(LEFT(A17,FIND(" ",A17)-1)),BMO_rates!$E$7:$E$8,1),2)*100</f>
        <v>0.05</v>
      </c>
      <c r="K17" s="43" t="str">
        <f>(BNS_Rates!$D$36)*100 &amp; " + " &amp; (BNS_Rates!$E$35)*100 &amp; ", "&amp; (BNS_Rates!$E$34)*100 &amp; ", "&amp; (BNS_Rates!$E$33)*100 &amp; ", "&amp; (BNS_Rates!$E$32)*100</f>
        <v>1 + 0.6, 0.7, 0.85, 1</v>
      </c>
      <c r="L17" s="45">
        <f>INDEX(BNS_Rates!$B$28:$G$29,MATCH(VALUE(LEFT(A17,FIND(" ",A17)-1)),BNS_Rates!$G$28:$G$29,1),2)*100</f>
        <v>0.05</v>
      </c>
      <c r="M17" s="45">
        <f>INDEX(BNS_Rates!$B$25:$G$27,MATCH(VALUE(LEFT(A17,FIND(" ",A17)-1)),BNS_Rates!$G$25:$G$27,1),2)*100</f>
        <v>1</v>
      </c>
      <c r="N17" s="45" t="str">
        <f>INDEX(RBC_Rates!$A$168:$E$168,MATCH(VALUE(LEFT(A17,FIND(" ",A17)-1)),RBC_Rates!$E$168:$E$168,1),3)</f>
        <v>1.000</v>
      </c>
      <c r="O17" s="45" t="str">
        <f>INDEX(RBC_Rates!$A$160:$E$167,MATCH(VALUE(LEFT(A17,FIND(" ",A17)-1)),RBC_Rates!$E$160:$E$167,1),3)</f>
        <v>0.005</v>
      </c>
      <c r="P17" s="45" t="str">
        <f>INDEX(RBC_Rates!$A$156:$E$159,MATCH(VALUE(LEFT(A17,FIND(" ",A17)-1)),RBC_Rates!$E$156:$E$159,1),3)</f>
        <v>0.010 P</v>
      </c>
      <c r="Q17" s="60">
        <f t="shared" si="0"/>
        <v>1.1499999999999999</v>
      </c>
      <c r="R17" s="79">
        <f>Simplii_rates!$C$11</f>
        <v>1.1499999999999999</v>
      </c>
      <c r="S17" s="44">
        <f>LEFT((ICICI_rates!$B$3),5)*100</f>
        <v>1.6</v>
      </c>
      <c r="T17" s="44">
        <f>(NBC_rates!$C$28)*100</f>
        <v>1</v>
      </c>
      <c r="U17" s="45">
        <f>(Manulife_rates!$C$7)*100</f>
        <v>1.5</v>
      </c>
      <c r="V17" s="43">
        <f>INDEX(HSBC_rates!$B$2:$I$5,MATCH(VALUE(LEFT(A17,FIND(" ",A17)-1)),HSBC_rates!$I$2:$I$5,1),2)*100</f>
        <v>0.54999999999999993</v>
      </c>
      <c r="W17" s="43">
        <f>(CT_rates!$B$2)*100</f>
        <v>1.5</v>
      </c>
      <c r="X17" s="79">
        <f>(Meridian_rates!$A$2)*100</f>
        <v>1.3</v>
      </c>
      <c r="Y17" s="8">
        <f>(EQ_rates!$B$2)*100</f>
        <v>2.2999999999999998</v>
      </c>
    </row>
    <row r="18" spans="1:26" x14ac:dyDescent="0.25">
      <c r="A18" s="43" t="s">
        <v>37</v>
      </c>
      <c r="B18" s="43">
        <f>INDEX(CIBC_rates!$B$2:$E$3,MATCH(VALUE(LEFT(A18,FIND(" ",A18)-1)),CIBC_rates!$E$2:$E$3,1),2)*100</f>
        <v>1</v>
      </c>
      <c r="C18" s="44">
        <f>INDEX(CIBC_rates!$B$4:$E$5,MATCH(VALUE(LEFT(A18,FIND(" ",A18)-1)),CIBC_rates!$E$4:$E$5,1),2)*100</f>
        <v>0.1</v>
      </c>
      <c r="D18" s="44">
        <f>INDEX(CIBC_rates!$B$6:$E$6,MATCH(VALUE(LEFT(A18,FIND(" ",A18)-1)),CIBC_rates!$E$6:$E$6,1),2)*100</f>
        <v>0.05</v>
      </c>
      <c r="E18" s="44">
        <f>INDEX(TD_rates!$B$4:$E$9,MATCH(VALUE(LEFT(A18,FIND(" ",A18)-1)),TD_rates!$E$4:$E$9,1),2)*100</f>
        <v>0.05</v>
      </c>
      <c r="F18" s="43">
        <f>INDEX(TD_rates!$B$11:$E$16,MATCH(VALUE(LEFT(A18,FIND(" ",A18)-1)),TD_rates!$E$11:$E$16,1),2)*100</f>
        <v>0.5</v>
      </c>
      <c r="G18" s="43">
        <f>INDEX(TD_rates!$B$18:$E$23,MATCH(VALUE(LEFT(A18,FIND(" ",A18)-1)),TD_rates!$E$18:$E$23,1),2)*100</f>
        <v>0</v>
      </c>
      <c r="H18" s="43">
        <f>INDEX(BMO_rates!$B$2:$E$4,MATCH(VALUE(LEFT(A18,FIND(" ",A18)-1)),BMO_rates!$E$2:$E$4,1),2)*100</f>
        <v>1.6</v>
      </c>
      <c r="I18" s="45">
        <f>INDEX(BMO_rates!$B$5:$E$6,MATCH(VALUE(LEFT(A18,FIND(" ",A18)-1)),BMO_rates!$E$5:$E$6,1),2)*100</f>
        <v>0.8</v>
      </c>
      <c r="J18" s="43">
        <f>INDEX(BMO_rates!$B$7:$E$8,MATCH(VALUE(LEFT(A18,FIND(" ",A18)-1)),BMO_rates!$E$7:$E$8,1),2)*100</f>
        <v>0.05</v>
      </c>
      <c r="K18" s="43" t="str">
        <f>(BNS_Rates!$D$36)*100 &amp; " + " &amp; (BNS_Rates!$E$35)*100 &amp; ", "&amp; (BNS_Rates!$E$34)*100 &amp; ", "&amp; (BNS_Rates!$E$33)*100 &amp; ", "&amp; (BNS_Rates!$E$32)*100</f>
        <v>1 + 0.6, 0.7, 0.85, 1</v>
      </c>
      <c r="L18" s="45">
        <f>INDEX(BNS_Rates!$B$28:$G$29,MATCH(VALUE(LEFT(A18,FIND(" ",A18)-1)),BNS_Rates!$G$28:$G$29,1),2)*100</f>
        <v>0.05</v>
      </c>
      <c r="M18" s="45">
        <f>INDEX(BNS_Rates!$B$25:$G$27,MATCH(VALUE(LEFT(A18,FIND(" ",A18)-1)),BNS_Rates!$G$25:$G$27,1),2)*100</f>
        <v>1</v>
      </c>
      <c r="N18" s="45" t="str">
        <f>INDEX(RBC_Rates!$A$168:$E$168,MATCH(VALUE(LEFT(A18,FIND(" ",A18)-1)),RBC_Rates!$E$168:$E$168,1),3)</f>
        <v>1.000</v>
      </c>
      <c r="O18" s="45" t="str">
        <f>INDEX(RBC_Rates!$A$160:$E$167,MATCH(VALUE(LEFT(A18,FIND(" ",A18)-1)),RBC_Rates!$E$160:$E$167,1),3)</f>
        <v>0.001</v>
      </c>
      <c r="P18" s="45" t="str">
        <f>INDEX(RBC_Rates!$A$156:$E$159,MATCH(VALUE(LEFT(A18,FIND(" ",A18)-1)),RBC_Rates!$E$156:$E$159,1),3)</f>
        <v>0.010 P</v>
      </c>
      <c r="Q18" s="60">
        <f t="shared" si="0"/>
        <v>1.1499999999999999</v>
      </c>
      <c r="R18" s="79">
        <f>Simplii_rates!$C$11</f>
        <v>1.1499999999999999</v>
      </c>
      <c r="S18" s="44">
        <f>LEFT((ICICI_rates!$B$3),5)*100</f>
        <v>1.6</v>
      </c>
      <c r="T18" s="44">
        <f>(NBC_rates!$C$28)*100</f>
        <v>1</v>
      </c>
      <c r="U18" s="45">
        <f>(Manulife_rates!$C$7)*100</f>
        <v>1.5</v>
      </c>
      <c r="V18" s="43">
        <f>INDEX(HSBC_rates!$B$2:$I$5,MATCH(VALUE(LEFT(A18,FIND(" ",A18)-1)),HSBC_rates!$I$2:$I$5,1),2)*100</f>
        <v>0.54999999999999993</v>
      </c>
      <c r="W18" s="43">
        <f>(CT_rates!$B$2)*100</f>
        <v>1.5</v>
      </c>
      <c r="X18" s="79">
        <f>(Meridian_rates!$A$2)*100</f>
        <v>1.3</v>
      </c>
      <c r="Y18" s="8">
        <f>(EQ_rates!$B$2)*100</f>
        <v>2.2999999999999998</v>
      </c>
    </row>
    <row r="19" spans="1:26" x14ac:dyDescent="0.25">
      <c r="A19" s="43" t="s">
        <v>38</v>
      </c>
      <c r="B19" s="43">
        <f>INDEX(CIBC_rates!$B$2:$E$3,MATCH(VALUE(LEFT(A19,FIND(" ",A19)-1)),CIBC_rates!$E$2:$E$3,1),2)*100</f>
        <v>1</v>
      </c>
      <c r="C19" s="44">
        <f>INDEX(CIBC_rates!$B$4:$E$5,MATCH(VALUE(LEFT(A19,FIND(" ",A19)-1)),CIBC_rates!$E$4:$E$5,1),2)*100</f>
        <v>0.1</v>
      </c>
      <c r="D19" s="44">
        <f>INDEX(CIBC_rates!$B$6:$E$6,MATCH(VALUE(LEFT(A19,FIND(" ",A19)-1)),CIBC_rates!$E$6:$E$6,1),2)*100</f>
        <v>0.05</v>
      </c>
      <c r="E19" s="44">
        <f>INDEX(TD_rates!$B$4:$E$9,MATCH(VALUE(LEFT(A19,FIND(" ",A19)-1)),TD_rates!$E$4:$E$9,1),2)*100</f>
        <v>0.05</v>
      </c>
      <c r="F19" s="43">
        <f>INDEX(TD_rates!$B$11:$E$16,MATCH(VALUE(LEFT(A19,FIND(" ",A19)-1)),TD_rates!$E$11:$E$16,1),2)*100</f>
        <v>0</v>
      </c>
      <c r="G19" s="43">
        <f>INDEX(TD_rates!$B$18:$E$23,MATCH(VALUE(LEFT(A19,FIND(" ",A19)-1)),TD_rates!$E$18:$E$23,1),2)*100</f>
        <v>0</v>
      </c>
      <c r="H19" s="43">
        <f>INDEX(BMO_rates!$B$2:$E$4,MATCH(VALUE(LEFT(A19,FIND(" ",A19)-1)),BMO_rates!$E$2:$E$4,1),2)*100</f>
        <v>1.6</v>
      </c>
      <c r="I19" s="45">
        <f>INDEX(BMO_rates!$B$5:$E$6,MATCH(VALUE(LEFT(A19,FIND(" ",A19)-1)),BMO_rates!$E$5:$E$6,1),2)*100</f>
        <v>0.8</v>
      </c>
      <c r="J19" s="43">
        <f>INDEX(BMO_rates!$B$7:$E$8,MATCH(VALUE(LEFT(A19,FIND(" ",A19)-1)),BMO_rates!$E$7:$E$8,1),2)*100</f>
        <v>0.05</v>
      </c>
      <c r="K19" s="43" t="str">
        <f>(BNS_Rates!$D$36)*100 &amp; " + " &amp; (BNS_Rates!$E$35)*100 &amp; ", "&amp; (BNS_Rates!$E$34)*100 &amp; ", "&amp; (BNS_Rates!$E$33)*100 &amp; ", "&amp; (BNS_Rates!$E$32)*100</f>
        <v>1 + 0.6, 0.7, 0.85, 1</v>
      </c>
      <c r="L19" s="45">
        <f>INDEX(BNS_Rates!$B$28:$G$29,MATCH(VALUE(LEFT(A19,FIND(" ",A19)-1)),BNS_Rates!$G$28:$G$29,1),2)*100</f>
        <v>0.05</v>
      </c>
      <c r="M19" s="45">
        <f>INDEX(BNS_Rates!$B$25:$G$27,MATCH(VALUE(LEFT(A19,FIND(" ",A19)-1)),BNS_Rates!$G$25:$G$27,1),2)*100</f>
        <v>0.05</v>
      </c>
      <c r="N19" s="45" t="str">
        <f>INDEX(RBC_Rates!$A$168:$E$168,MATCH(VALUE(LEFT(A19,FIND(" ",A19)-1)),RBC_Rates!$E$168:$E$168,1),3)</f>
        <v>1.000</v>
      </c>
      <c r="O19" s="45" t="str">
        <f>INDEX(RBC_Rates!$A$160:$E$167,MATCH(VALUE(LEFT(A19,FIND(" ",A19)-1)),RBC_Rates!$E$160:$E$167,1),3)</f>
        <v>0.000</v>
      </c>
      <c r="P19" s="45" t="str">
        <f>INDEX(RBC_Rates!$A$156:$E$159,MATCH(VALUE(LEFT(A19,FIND(" ",A19)-1)),RBC_Rates!$E$156:$E$159,1),3)</f>
        <v>0.010 P</v>
      </c>
      <c r="Q19" s="60">
        <f t="shared" si="0"/>
        <v>1.1499999999999999</v>
      </c>
      <c r="R19" s="79">
        <f>Simplii_rates!$C$11</f>
        <v>1.1499999999999999</v>
      </c>
      <c r="S19" s="44">
        <f>LEFT((ICICI_rates!$B$3),5)*100</f>
        <v>1.6</v>
      </c>
      <c r="T19" s="44">
        <f>(NBC_rates!$C$28)*100</f>
        <v>1</v>
      </c>
      <c r="U19" s="45">
        <f>(Manulife_rates!$C$7)*100</f>
        <v>1.5</v>
      </c>
      <c r="V19" s="43">
        <f>INDEX(HSBC_rates!$B$2:$I$5,MATCH(VALUE(LEFT(A19,FIND(" ",A19)-1)),HSBC_rates!$I$2:$I$5,1),2)*100</f>
        <v>0.54999999999999993</v>
      </c>
      <c r="W19" s="43">
        <f>(CT_rates!$B$2)*100</f>
        <v>1.5</v>
      </c>
      <c r="X19" s="79">
        <f>(Meridian_rates!$A$2)*100</f>
        <v>1.3</v>
      </c>
      <c r="Y19" s="8">
        <f>(EQ_rates!$B$2)*100</f>
        <v>2.2999999999999998</v>
      </c>
    </row>
    <row r="20" spans="1:26" x14ac:dyDescent="0.25">
      <c r="A20" s="43" t="s">
        <v>39</v>
      </c>
      <c r="B20" s="43">
        <f>INDEX(CIBC_rates!$B$2:$E$3,MATCH(VALUE(LEFT(A20,FIND(" ",A20)-1)),CIBC_rates!$E$2:$E$3,1),2)*100</f>
        <v>1</v>
      </c>
      <c r="C20" s="44">
        <f>INDEX(CIBC_rates!$B$4:$E$5,MATCH(VALUE(LEFT(A20,FIND(" ",A20)-1)),CIBC_rates!$E$4:$E$5,1),2)*100</f>
        <v>0.05</v>
      </c>
      <c r="D20" s="44">
        <f>INDEX(CIBC_rates!$B$6:$E$6,MATCH(VALUE(LEFT(A20,FIND(" ",A20)-1)),CIBC_rates!$E$6:$E$6,1),2)*100</f>
        <v>0.05</v>
      </c>
      <c r="E20" s="44">
        <f>INDEX(TD_rates!$B$4:$E$9,MATCH(VALUE(LEFT(A20,FIND(" ",A20)-1)),TD_rates!$E$4:$E$9,1),2)*100</f>
        <v>0.05</v>
      </c>
      <c r="F20" s="43">
        <f>INDEX(TD_rates!$B$11:$E$16,MATCH(VALUE(LEFT(A20,FIND(" ",A20)-1)),TD_rates!$E$11:$E$16,1),2)*100</f>
        <v>0</v>
      </c>
      <c r="G20" s="43">
        <f>INDEX(TD_rates!$B$18:$E$23,MATCH(VALUE(LEFT(A20,FIND(" ",A20)-1)),TD_rates!$E$18:$E$23,1),2)*100</f>
        <v>0</v>
      </c>
      <c r="H20" s="43">
        <f>INDEX(BMO_rates!$B$2:$E$4,MATCH(VALUE(LEFT(A20,FIND(" ",A20)-1)),BMO_rates!$E$2:$E$4,1),2)*100</f>
        <v>1.6</v>
      </c>
      <c r="I20" s="45">
        <f>INDEX(BMO_rates!$B$5:$E$6,MATCH(VALUE(LEFT(A20,FIND(" ",A20)-1)),BMO_rates!$E$5:$E$6,1),2)*100</f>
        <v>0.8</v>
      </c>
      <c r="J20" s="43">
        <f>INDEX(BMO_rates!$B$7:$E$8,MATCH(VALUE(LEFT(A20,FIND(" ",A20)-1)),BMO_rates!$E$7:$E$8,1),2)*100</f>
        <v>0.05</v>
      </c>
      <c r="K20" s="43" t="str">
        <f>(BNS_Rates!$D$36)*100 &amp; " + " &amp; (BNS_Rates!$E$35)*100 &amp; ", "&amp; (BNS_Rates!$E$34)*100 &amp; ", "&amp; (BNS_Rates!$E$33)*100 &amp; ", "&amp; (BNS_Rates!$E$32)*100</f>
        <v>1 + 0.6, 0.7, 0.85, 1</v>
      </c>
      <c r="L20" s="45">
        <f>INDEX(BNS_Rates!$B$28:$G$29,MATCH(VALUE(LEFT(A20,FIND(" ",A20)-1)),BNS_Rates!$G$28:$G$29,1),2)*100</f>
        <v>0.05</v>
      </c>
      <c r="M20" s="45">
        <f>INDEX(BNS_Rates!$B$25:$G$27,MATCH(VALUE(LEFT(A20,FIND(" ",A20)-1)),BNS_Rates!$G$25:$G$27,1),2)*100</f>
        <v>0.05</v>
      </c>
      <c r="N20" s="45" t="str">
        <f>INDEX(RBC_Rates!$A$168:$E$168,MATCH(VALUE(LEFT(A20,FIND(" ",A20)-1)),RBC_Rates!$E$168:$E$168,1),3)</f>
        <v>1.000</v>
      </c>
      <c r="O20" s="45" t="str">
        <f>INDEX(RBC_Rates!$A$160:$E$167,MATCH(VALUE(LEFT(A20,FIND(" ",A20)-1)),RBC_Rates!$E$160:$E$167,1),3)</f>
        <v>0.000</v>
      </c>
      <c r="P20" s="45" t="str">
        <f>INDEX(RBC_Rates!$A$156:$E$159,MATCH(VALUE(LEFT(A20,FIND(" ",A20)-1)),RBC_Rates!$E$156:$E$159,1),3)</f>
        <v>0.010</v>
      </c>
      <c r="Q20" s="60">
        <f t="shared" si="0"/>
        <v>1.1499999999999999</v>
      </c>
      <c r="R20" s="79">
        <f>Simplii_rates!$C$11</f>
        <v>1.1499999999999999</v>
      </c>
      <c r="S20" s="44">
        <f>LEFT((ICICI_rates!$B$3),5)*100</f>
        <v>1.6</v>
      </c>
      <c r="T20" s="44">
        <f>(NBC_rates!$C$28)*100</f>
        <v>1</v>
      </c>
      <c r="U20" s="45">
        <f>(Manulife_rates!$C$7)*100</f>
        <v>1.5</v>
      </c>
      <c r="V20" s="43">
        <f>INDEX(HSBC_rates!$B$2:$I$5,MATCH(VALUE(LEFT(A20,FIND(" ",A20)-1)),HSBC_rates!$I$2:$I$5,1),2)*100</f>
        <v>0.54999999999999993</v>
      </c>
      <c r="W20" s="43">
        <f>(CT_rates!$B$2)*100</f>
        <v>1.5</v>
      </c>
      <c r="X20" s="79">
        <f>(Meridian_rates!$A$2)*100</f>
        <v>1.3</v>
      </c>
      <c r="Y20" s="8">
        <f>(EQ_rates!$B$2)*100</f>
        <v>2.2999999999999998</v>
      </c>
    </row>
    <row r="21" spans="1:26" x14ac:dyDescent="0.25">
      <c r="A21" s="43" t="s">
        <v>40</v>
      </c>
      <c r="B21" s="43">
        <f>INDEX(CIBC_rates!$B$2:$E$3,MATCH(VALUE(LEFT(A21,FIND(" ",A21)-1)),CIBC_rates!$E$2:$E$3,1),2)*100</f>
        <v>1</v>
      </c>
      <c r="C21" s="44">
        <f>INDEX(CIBC_rates!$B$4:$E$5,MATCH(VALUE(LEFT(A21,FIND(" ",A21)-1)),CIBC_rates!$E$4:$E$5,1),2)*100</f>
        <v>0.05</v>
      </c>
      <c r="D21" s="44">
        <f>INDEX(CIBC_rates!$B$6:$E$6,MATCH(VALUE(LEFT(A21,FIND(" ",A21)-1)),CIBC_rates!$E$6:$E$6,1),2)*100</f>
        <v>0.05</v>
      </c>
      <c r="E21" s="44">
        <f>INDEX(TD_rates!$B$4:$E$9,MATCH(VALUE(LEFT(A21,FIND(" ",A21)-1)),TD_rates!$E$4:$E$9,1),2)*100</f>
        <v>0.05</v>
      </c>
      <c r="F21" s="43">
        <f>INDEX(TD_rates!$B$11:$E$16,MATCH(VALUE(LEFT(A21,FIND(" ",A21)-1)),TD_rates!$E$11:$E$16,1),2)*100</f>
        <v>0</v>
      </c>
      <c r="G21" s="43">
        <f>INDEX(TD_rates!$B$18:$E$23,MATCH(VALUE(LEFT(A21,FIND(" ",A21)-1)),TD_rates!$E$18:$E$23,1),2)*100</f>
        <v>0</v>
      </c>
      <c r="H21" s="43">
        <f>INDEX(BMO_rates!$B$2:$E$4,MATCH(VALUE(LEFT(A21,FIND(" ",A21)-1)),BMO_rates!$E$2:$E$4,1),2)*100</f>
        <v>1.6</v>
      </c>
      <c r="I21" s="45">
        <f>INDEX(BMO_rates!$B$5:$E$6,MATCH(VALUE(LEFT(A21,FIND(" ",A21)-1)),BMO_rates!$E$5:$E$6,1),2)*100</f>
        <v>0.8</v>
      </c>
      <c r="J21" s="43">
        <f>INDEX(BMO_rates!$B$7:$E$8,MATCH(VALUE(LEFT(A21,FIND(" ",A21)-1)),BMO_rates!$E$7:$E$8,1),2)*100</f>
        <v>0.05</v>
      </c>
      <c r="K21" s="43" t="str">
        <f>(BNS_Rates!$D$36)*100 &amp; " + " &amp; (BNS_Rates!$E$35)*100 &amp; ", "&amp; (BNS_Rates!$E$34)*100 &amp; ", "&amp; (BNS_Rates!$E$33)*100 &amp; ", "&amp; (BNS_Rates!$E$32)*100</f>
        <v>1 + 0.6, 0.7, 0.85, 1</v>
      </c>
      <c r="L21" s="45">
        <f>INDEX(BNS_Rates!$B$28:$G$29,MATCH(VALUE(LEFT(A21,FIND(" ",A21)-1)),BNS_Rates!$G$28:$G$29,1),2)*100</f>
        <v>0.05</v>
      </c>
      <c r="M21" s="45">
        <f>INDEX(BNS_Rates!$B$25:$G$27,MATCH(VALUE(LEFT(A21,FIND(" ",A21)-1)),BNS_Rates!$G$25:$G$27,1),2)*100</f>
        <v>0.05</v>
      </c>
      <c r="N21" s="45" t="str">
        <f>INDEX(RBC_Rates!$A$168:$E$168,MATCH(VALUE(LEFT(A21,FIND(" ",A21)-1)),RBC_Rates!$E$168:$E$168,1),3)</f>
        <v>1.000</v>
      </c>
      <c r="O21" s="45" t="str">
        <f>INDEX(RBC_Rates!$A$160:$E$167,MATCH(VALUE(LEFT(A21,FIND(" ",A21)-1)),RBC_Rates!$E$160:$E$167,1),3)</f>
        <v>0.000</v>
      </c>
      <c r="P21" s="45" t="str">
        <f>INDEX(RBC_Rates!$A$156:$E$159,MATCH(VALUE(LEFT(A21,FIND(" ",A21)-1)),RBC_Rates!$E$156:$E$159,1),3)</f>
        <v>0.005</v>
      </c>
      <c r="Q21" s="60">
        <f t="shared" si="0"/>
        <v>1.1499999999999999</v>
      </c>
      <c r="R21" s="79">
        <f>Simplii_rates!$C$11</f>
        <v>1.1499999999999999</v>
      </c>
      <c r="S21" s="44">
        <f>LEFT((ICICI_rates!$B$3),5)*100</f>
        <v>1.6</v>
      </c>
      <c r="T21" s="44">
        <f>(NBC_rates!$C$28)*100</f>
        <v>1</v>
      </c>
      <c r="U21" s="45">
        <f>(Manulife_rates!$C$7)*100</f>
        <v>1.5</v>
      </c>
      <c r="V21" s="43">
        <f>INDEX(HSBC_rates!$B$2:$I$5,MATCH(VALUE(LEFT(A21,FIND(" ",A21)-1)),HSBC_rates!$I$2:$I$5,1),2)*100</f>
        <v>0.54999999999999993</v>
      </c>
      <c r="W21" s="43">
        <f>(CT_rates!$B$2)*100</f>
        <v>1.5</v>
      </c>
      <c r="X21" s="79">
        <f>(Meridian_rates!$A$2)*100</f>
        <v>1.3</v>
      </c>
      <c r="Y21" s="8">
        <f>(EQ_rates!$B$2)*100</f>
        <v>2.2999999999999998</v>
      </c>
    </row>
    <row r="22" spans="1:26" x14ac:dyDescent="0.25">
      <c r="A22" s="9"/>
      <c r="B22" s="9"/>
      <c r="G22" s="9"/>
      <c r="H22" s="9"/>
      <c r="I22" s="9"/>
      <c r="J22" s="3"/>
      <c r="K22" s="3"/>
      <c r="L22" s="3"/>
      <c r="M22" s="3"/>
      <c r="N22" s="3"/>
      <c r="O22" s="3"/>
      <c r="P22" s="42"/>
      <c r="Q22" s="42"/>
      <c r="R22" s="42"/>
      <c r="S22" s="42"/>
      <c r="T22" s="42"/>
      <c r="U22" s="42"/>
      <c r="V22" s="9"/>
      <c r="W22" s="9"/>
      <c r="X22" s="9"/>
      <c r="Y22" s="9"/>
      <c r="Z22" s="3"/>
    </row>
    <row r="23" spans="1:26" hidden="1" x14ac:dyDescent="0.25">
      <c r="A23" s="10" t="s">
        <v>29</v>
      </c>
      <c r="B23" s="11">
        <v>43299</v>
      </c>
      <c r="C23" s="12">
        <v>42202</v>
      </c>
      <c r="D23" s="12">
        <v>42202</v>
      </c>
      <c r="E23" s="12">
        <v>42202</v>
      </c>
      <c r="F23" s="11">
        <v>42688</v>
      </c>
      <c r="G23" s="11">
        <v>43298</v>
      </c>
      <c r="H23" s="11">
        <v>43125</v>
      </c>
      <c r="I23" s="11">
        <v>43125</v>
      </c>
      <c r="J23" s="11">
        <v>42207</v>
      </c>
      <c r="K23" s="11">
        <v>43294</v>
      </c>
      <c r="L23" s="11">
        <v>42920</v>
      </c>
      <c r="M23" s="11">
        <v>42986</v>
      </c>
      <c r="N23" s="11">
        <v>43118</v>
      </c>
      <c r="O23" s="11">
        <v>42205</v>
      </c>
      <c r="P23" s="42">
        <v>42205</v>
      </c>
      <c r="Q23" s="42">
        <v>43123</v>
      </c>
      <c r="R23" s="42">
        <v>43130</v>
      </c>
      <c r="S23" s="42">
        <v>42039</v>
      </c>
      <c r="T23" s="42">
        <v>43129</v>
      </c>
      <c r="U23" s="42">
        <v>43304</v>
      </c>
      <c r="V23" s="11">
        <v>43181</v>
      </c>
      <c r="W23" s="11">
        <v>43040</v>
      </c>
      <c r="X23" s="11">
        <v>42207</v>
      </c>
      <c r="Y23" s="13">
        <v>42921</v>
      </c>
      <c r="Z23" s="11">
        <v>42859</v>
      </c>
    </row>
    <row r="24" spans="1:26" hidden="1" x14ac:dyDescent="0.25">
      <c r="A24" s="14" t="s">
        <v>30</v>
      </c>
      <c r="B24" s="15">
        <v>40140</v>
      </c>
      <c r="C24" s="16">
        <v>37775</v>
      </c>
      <c r="D24" s="16">
        <v>36982</v>
      </c>
      <c r="E24" s="15">
        <v>36039</v>
      </c>
      <c r="F24" s="15">
        <v>40385</v>
      </c>
      <c r="G24" s="15">
        <v>40385</v>
      </c>
      <c r="H24" s="15">
        <v>42095</v>
      </c>
      <c r="I24" s="15">
        <v>39790</v>
      </c>
      <c r="J24" s="15">
        <v>37043</v>
      </c>
      <c r="K24" s="11">
        <v>42940</v>
      </c>
      <c r="L24" s="15">
        <v>37196</v>
      </c>
      <c r="M24" s="15">
        <v>41989</v>
      </c>
      <c r="N24" s="15">
        <v>39173</v>
      </c>
      <c r="O24" s="15" t="s">
        <v>31</v>
      </c>
      <c r="P24" s="42"/>
      <c r="Q24" s="42">
        <v>35521</v>
      </c>
      <c r="R24" s="42">
        <v>38902</v>
      </c>
      <c r="S24" s="42">
        <v>38322</v>
      </c>
      <c r="T24" s="42" t="s">
        <v>31</v>
      </c>
      <c r="U24" s="42">
        <v>41367</v>
      </c>
      <c r="V24" s="15">
        <v>38169</v>
      </c>
      <c r="W24" s="15">
        <v>38808</v>
      </c>
      <c r="X24" s="12">
        <v>36708</v>
      </c>
      <c r="Y24" s="11">
        <v>39022</v>
      </c>
      <c r="Z24" s="11">
        <v>42235</v>
      </c>
    </row>
    <row r="25" spans="1:26" x14ac:dyDescent="0.25">
      <c r="P25" s="42"/>
      <c r="Q25" s="42"/>
      <c r="R25" s="42"/>
      <c r="S25" s="42"/>
      <c r="T25" s="42"/>
      <c r="U25" s="42"/>
    </row>
    <row r="26" spans="1:26" x14ac:dyDescent="0.25">
      <c r="P26" s="42"/>
      <c r="Q26" s="42"/>
      <c r="R26" s="42"/>
      <c r="S26" s="42"/>
      <c r="T26" s="42"/>
      <c r="U26" s="42"/>
    </row>
    <row r="27" spans="1:26" x14ac:dyDescent="0.25">
      <c r="B27" s="17"/>
      <c r="P27" s="42"/>
      <c r="Q27" s="42"/>
      <c r="R27" s="42"/>
      <c r="S27" s="42"/>
      <c r="T27" s="42"/>
      <c r="U27" s="42"/>
    </row>
  </sheetData>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925B-42D0-4B19-92C8-EF5763A3A2DC}">
  <sheetPr codeName="Sheet2">
    <tabColor theme="5" tint="0.39997558519241921"/>
  </sheetPr>
  <dimension ref="A1:AB24"/>
  <sheetViews>
    <sheetView zoomScale="85" zoomScaleNormal="85" workbookViewId="0">
      <selection activeCell="L9" sqref="L9"/>
    </sheetView>
  </sheetViews>
  <sheetFormatPr defaultRowHeight="15" x14ac:dyDescent="0.25"/>
  <cols>
    <col min="1" max="1" width="31.140625" bestFit="1" customWidth="1"/>
    <col min="2" max="2" width="9.5703125" bestFit="1" customWidth="1"/>
    <col min="3" max="3" width="12.42578125" bestFit="1" customWidth="1"/>
    <col min="4" max="4" width="12.85546875" bestFit="1" customWidth="1"/>
    <col min="5" max="5" width="10.85546875" bestFit="1" customWidth="1"/>
    <col min="6" max="6" width="9.42578125" bestFit="1" customWidth="1"/>
    <col min="7" max="7" width="10" bestFit="1" customWidth="1"/>
    <col min="8" max="8" width="10.85546875" bestFit="1" customWidth="1"/>
    <col min="9" max="9" width="9.85546875" bestFit="1" customWidth="1"/>
    <col min="10" max="10" width="10.85546875" bestFit="1" customWidth="1"/>
    <col min="11" max="11" width="10" bestFit="1" customWidth="1"/>
    <col min="12" max="12" width="10.28515625" bestFit="1" customWidth="1"/>
    <col min="13" max="13" width="9.42578125" bestFit="1" customWidth="1"/>
    <col min="14" max="14" width="10.7109375" bestFit="1" customWidth="1"/>
    <col min="15" max="15" width="10.85546875" bestFit="1" customWidth="1"/>
    <col min="16" max="16" width="10.140625" bestFit="1" customWidth="1"/>
    <col min="17" max="17" width="9.28515625" bestFit="1" customWidth="1"/>
    <col min="18" max="18" width="11.42578125" bestFit="1" customWidth="1"/>
  </cols>
  <sheetData>
    <row r="1" spans="1:28" ht="25.5" x14ac:dyDescent="0.35">
      <c r="A1" s="47"/>
      <c r="B1" s="47"/>
      <c r="C1" s="47"/>
      <c r="D1" s="47"/>
      <c r="E1" s="47"/>
      <c r="F1" s="47"/>
      <c r="G1" s="47"/>
      <c r="H1" s="47"/>
      <c r="I1" s="47"/>
      <c r="J1" s="47"/>
      <c r="K1" s="47"/>
      <c r="L1" s="47"/>
      <c r="M1" s="47"/>
      <c r="N1" s="47"/>
      <c r="O1" s="47"/>
      <c r="P1" s="47"/>
      <c r="Q1" s="47"/>
      <c r="Y1" s="3"/>
      <c r="Z1" s="3"/>
      <c r="AA1" s="3"/>
      <c r="AB1" s="3"/>
    </row>
    <row r="2" spans="1:28" ht="25.5" x14ac:dyDescent="0.35">
      <c r="A2" s="3"/>
      <c r="B2" s="73" t="s">
        <v>459</v>
      </c>
      <c r="C2" s="4"/>
      <c r="D2" s="4"/>
      <c r="E2" s="4"/>
      <c r="F2" s="4"/>
      <c r="G2" s="4"/>
      <c r="H2" s="4"/>
      <c r="I2" s="4"/>
      <c r="J2" s="4"/>
      <c r="K2" s="4"/>
      <c r="L2" s="4"/>
      <c r="M2" s="4"/>
      <c r="N2" s="4"/>
      <c r="O2" s="4"/>
      <c r="P2" s="4"/>
      <c r="Q2" s="4"/>
      <c r="Y2" s="4"/>
      <c r="Z2" s="4"/>
      <c r="AA2" s="3"/>
      <c r="AB2" s="3"/>
    </row>
    <row r="3" spans="1:28" x14ac:dyDescent="0.25">
      <c r="A3" s="3"/>
      <c r="B3" s="3"/>
      <c r="C3" s="3"/>
      <c r="D3" s="3"/>
      <c r="E3" s="3"/>
      <c r="F3" s="3"/>
      <c r="G3" s="3"/>
      <c r="H3" s="3"/>
      <c r="I3" s="3"/>
      <c r="J3" s="3"/>
      <c r="K3" s="3"/>
      <c r="L3" s="3"/>
      <c r="M3" s="3"/>
      <c r="N3" s="3"/>
      <c r="O3" s="3"/>
      <c r="P3" s="3"/>
      <c r="Q3" s="3"/>
      <c r="Y3" s="3"/>
      <c r="Z3" s="3"/>
      <c r="AA3" s="3"/>
      <c r="AB3" s="3"/>
    </row>
    <row r="4" spans="1:28" x14ac:dyDescent="0.25">
      <c r="A4" s="3"/>
      <c r="B4" s="3"/>
      <c r="C4" s="3"/>
      <c r="D4" s="3"/>
      <c r="E4" s="3"/>
      <c r="F4" s="3"/>
      <c r="G4" s="3"/>
      <c r="H4" s="3"/>
      <c r="I4" s="3"/>
      <c r="J4" s="3"/>
      <c r="K4" s="3"/>
      <c r="L4" s="3"/>
      <c r="M4" s="3"/>
      <c r="N4" s="3"/>
      <c r="O4" s="3"/>
      <c r="P4" s="3"/>
      <c r="Q4" s="3"/>
      <c r="Y4" s="3"/>
      <c r="Z4" s="3"/>
      <c r="AA4" s="3"/>
      <c r="AB4" s="3"/>
    </row>
    <row r="5" spans="1:28" x14ac:dyDescent="0.25">
      <c r="A5" s="3"/>
      <c r="B5" s="3"/>
      <c r="C5" s="3"/>
      <c r="D5" s="3"/>
      <c r="E5" s="3"/>
      <c r="F5" s="3"/>
      <c r="G5" s="3"/>
      <c r="H5" s="3"/>
      <c r="I5" s="3"/>
      <c r="J5" s="3"/>
      <c r="K5" s="3"/>
      <c r="L5" s="3"/>
      <c r="M5" s="3"/>
      <c r="N5" s="3"/>
      <c r="O5" s="3"/>
      <c r="P5" s="3"/>
      <c r="Q5" s="3"/>
      <c r="Y5" s="3"/>
      <c r="Z5" s="3"/>
      <c r="AA5" s="3"/>
      <c r="AB5" s="3"/>
    </row>
    <row r="6" spans="1:28" x14ac:dyDescent="0.25">
      <c r="A6" s="3"/>
      <c r="B6" s="3"/>
      <c r="C6" s="3"/>
      <c r="D6" s="3"/>
      <c r="E6" s="3"/>
      <c r="F6" s="3"/>
      <c r="G6" s="3"/>
      <c r="H6" s="3"/>
      <c r="I6" s="3"/>
      <c r="J6" s="3"/>
      <c r="K6" s="3"/>
      <c r="L6" s="3"/>
      <c r="M6" s="3"/>
      <c r="N6" s="3"/>
      <c r="O6" s="3"/>
      <c r="P6" s="3"/>
      <c r="Q6" s="3"/>
      <c r="Y6" s="3"/>
      <c r="Z6" s="3"/>
      <c r="AA6" s="3"/>
      <c r="AB6" s="3"/>
    </row>
    <row r="7" spans="1:28" hidden="1" x14ac:dyDescent="0.25">
      <c r="A7" s="46" t="s">
        <v>32</v>
      </c>
      <c r="B7" s="5"/>
      <c r="C7" s="3"/>
      <c r="D7" s="3"/>
      <c r="E7" s="3"/>
      <c r="F7" s="3"/>
      <c r="G7" s="3"/>
      <c r="H7" s="3"/>
      <c r="I7" s="3"/>
      <c r="J7" s="3"/>
      <c r="K7" s="3"/>
      <c r="L7" s="3"/>
      <c r="M7" s="3"/>
      <c r="N7" s="3"/>
      <c r="O7" s="3"/>
      <c r="P7" s="3"/>
      <c r="Q7" s="3"/>
      <c r="Y7" s="3"/>
      <c r="Z7" s="3"/>
      <c r="AA7" s="3"/>
      <c r="AB7" s="3"/>
    </row>
    <row r="8" spans="1:28" x14ac:dyDescent="0.25">
      <c r="A8" s="3"/>
      <c r="B8" s="3"/>
      <c r="C8" s="3"/>
      <c r="D8" s="3"/>
      <c r="E8" s="3"/>
      <c r="F8" s="3"/>
      <c r="G8" s="3"/>
      <c r="H8" s="3"/>
      <c r="I8" s="6"/>
      <c r="J8" s="6"/>
      <c r="K8" s="6"/>
      <c r="L8" s="6"/>
      <c r="M8" s="6"/>
      <c r="N8" s="6"/>
      <c r="O8" s="3"/>
      <c r="P8" s="3"/>
      <c r="Q8" s="3"/>
      <c r="Y8" s="3"/>
      <c r="Z8" s="3"/>
      <c r="AA8" s="3"/>
      <c r="AB8" s="3"/>
    </row>
    <row r="9" spans="1:28" x14ac:dyDescent="0.25">
      <c r="A9" s="49"/>
      <c r="B9" s="49" t="s">
        <v>0</v>
      </c>
      <c r="C9" s="49" t="s">
        <v>0</v>
      </c>
      <c r="D9" s="49" t="s">
        <v>1</v>
      </c>
      <c r="E9" s="49" t="s">
        <v>1</v>
      </c>
      <c r="F9" s="49" t="s">
        <v>5</v>
      </c>
      <c r="G9" s="49" t="s">
        <v>5</v>
      </c>
      <c r="H9" s="49" t="s">
        <v>5</v>
      </c>
      <c r="I9" s="49" t="s">
        <v>2</v>
      </c>
      <c r="J9" s="49" t="s">
        <v>4</v>
      </c>
      <c r="K9" s="49" t="s">
        <v>4</v>
      </c>
      <c r="L9" s="49" t="s">
        <v>282</v>
      </c>
      <c r="M9" s="49" t="s">
        <v>349</v>
      </c>
      <c r="N9" s="49" t="s">
        <v>350</v>
      </c>
      <c r="O9" s="49" t="s">
        <v>350</v>
      </c>
      <c r="P9" s="49" t="s">
        <v>9</v>
      </c>
      <c r="Q9" s="49" t="s">
        <v>44</v>
      </c>
      <c r="R9" s="59" t="s">
        <v>12</v>
      </c>
    </row>
    <row r="10" spans="1:28" ht="64.5" x14ac:dyDescent="0.25">
      <c r="A10" s="52"/>
      <c r="B10" s="52" t="s">
        <v>351</v>
      </c>
      <c r="C10" s="52" t="s">
        <v>34</v>
      </c>
      <c r="D10" s="52" t="s">
        <v>352</v>
      </c>
      <c r="E10" s="52" t="s">
        <v>353</v>
      </c>
      <c r="F10" s="52" t="s">
        <v>354</v>
      </c>
      <c r="G10" s="52" t="s">
        <v>351</v>
      </c>
      <c r="H10" s="52" t="s">
        <v>355</v>
      </c>
      <c r="I10" s="52" t="s">
        <v>356</v>
      </c>
      <c r="J10" s="52" t="s">
        <v>457</v>
      </c>
      <c r="K10" s="52" t="s">
        <v>357</v>
      </c>
      <c r="L10" s="52" t="s">
        <v>358</v>
      </c>
      <c r="M10" s="52" t="s">
        <v>359</v>
      </c>
      <c r="N10" s="52" t="s">
        <v>360</v>
      </c>
      <c r="O10" s="52" t="s">
        <v>355</v>
      </c>
      <c r="P10" s="52" t="s">
        <v>456</v>
      </c>
      <c r="Q10" s="52" t="s">
        <v>361</v>
      </c>
      <c r="R10" s="52" t="s">
        <v>362</v>
      </c>
    </row>
    <row r="11" spans="1:28" x14ac:dyDescent="0.25">
      <c r="A11" s="43" t="s">
        <v>434</v>
      </c>
      <c r="B11" s="45">
        <f>INDEX(CIBC_rates!$B$8:$E$12,MATCH(VALUE(LEFT(A11,FIND(" ",A11)-1)),CIBC_rates!$E$8:$E$12,1),2)*100</f>
        <v>0.25</v>
      </c>
      <c r="C11" s="45">
        <f>(CIBC_rates!$C$22)*100</f>
        <v>1.7000000000000002</v>
      </c>
      <c r="D11" s="45">
        <f>INDEX(TD_rates!$B$30:$E$35,MATCH(VALUE(LEFT(A11,FIND(" ",A11)-1)),TD_rates!$E$30:$E$35,1),2)*100</f>
        <v>0.1</v>
      </c>
      <c r="E11" s="45">
        <f>(TD_rates!$F$41)*100</f>
        <v>1.7000000000000002</v>
      </c>
      <c r="F11" s="79" t="str">
        <f>INDEX(RBC_Rates!$A$134:$E$134,MATCH(VALUE(LEFT(A11,FIND(" ",A11)-1)),RBC_Rates!$E$134:$E$134,1),3)</f>
        <v>0.150</v>
      </c>
      <c r="G11" s="45" t="str">
        <f>INDEX(RBC_Rates!$A$133:$E$133,MATCH(VALUE(LEFT(A11,FIND(" ",A11)-1)),RBC_Rates!$E$133:$E$133,1),3)</f>
        <v>0.000</v>
      </c>
      <c r="H11" s="45" t="s">
        <v>31</v>
      </c>
      <c r="I11" s="45">
        <f>INDEX(BMO_rates!$B$9:$E$10,MATCH(VALUE(LEFT(A11,FIND(" ",A11)-1)),BMO_rates!$E$9:$E$10,1),2)*100</f>
        <v>0.05</v>
      </c>
      <c r="J11" s="60">
        <f>BNS_Rates!$D$45</f>
        <v>1.7999999999999999E-2</v>
      </c>
      <c r="K11" s="45">
        <f>INDEX(BNS_Rates!$B$17:$G$22,MATCH(VALUE(LEFT(A11,FIND(" ",A11)-1)),BNS_Rates!$G$17:$G$22,1),2)*100</f>
        <v>0.15</v>
      </c>
      <c r="L11" s="78">
        <v>0.6</v>
      </c>
      <c r="M11" s="45">
        <f>LEFT((ICICI_rates!$B$6),5)*100</f>
        <v>0.3</v>
      </c>
      <c r="N11" s="45">
        <f>(Manulife_rates!$C$12)*100</f>
        <v>0.5</v>
      </c>
      <c r="O11" s="79">
        <f>(Manulife_ISA_USD[ISA USD])*100</f>
        <v>1.7000000000000002</v>
      </c>
      <c r="P11" s="45">
        <f>INDEX(HSBC_rates!$B$10:$I$13,MATCH(VALUE(LEFT(A11,FIND(" ",A11)-1)),HSBC_rates!$I$10:$I$13,1),2)*100</f>
        <v>0.3</v>
      </c>
      <c r="Q11" s="45">
        <f>(Altamira_rates!$D$11)*100</f>
        <v>1.6500000000000001</v>
      </c>
      <c r="R11" s="45">
        <f>(BNS_Rates!$D$40)*100</f>
        <v>0.25</v>
      </c>
    </row>
    <row r="12" spans="1:28" s="42" customFormat="1" x14ac:dyDescent="0.25">
      <c r="A12" s="43" t="s">
        <v>365</v>
      </c>
      <c r="B12" s="45">
        <f>INDEX(CIBC_rates!$B$8:$E$12,MATCH(VALUE(LEFT(A12,FIND(" ",A12)-1)),CIBC_rates!$E$8:$E$12,1),2)*100</f>
        <v>0.25</v>
      </c>
      <c r="C12" s="45">
        <f>(CIBC_rates!$C$22)*100</f>
        <v>1.7000000000000002</v>
      </c>
      <c r="D12" s="45">
        <f>INDEX(TD_rates!$B$30:$E$35,MATCH(VALUE(LEFT(A12,FIND(" ",A12)-1)),TD_rates!$E$30:$E$35,1),2)*100</f>
        <v>0.1</v>
      </c>
      <c r="E12" s="45">
        <f>(TD_rates!$F$41)*100</f>
        <v>1.7000000000000002</v>
      </c>
      <c r="F12" s="79" t="str">
        <f>INDEX(RBC_Rates!$A$134:$E$134,MATCH(VALUE(LEFT(A12,FIND(" ",A12)-1)),RBC_Rates!$E$134:$E$134,1),3)</f>
        <v>0.150</v>
      </c>
      <c r="G12" s="45" t="str">
        <f>INDEX(RBC_Rates!$A$133:$E$133,MATCH(VALUE(LEFT(A12,FIND(" ",A12)-1)),RBC_Rates!$E$133:$E$133,1),3)</f>
        <v>0.000</v>
      </c>
      <c r="H12" s="45">
        <f>(RBC_Rates!$D$2)</f>
        <v>1.7000000000000001E-2</v>
      </c>
      <c r="I12" s="45">
        <f>INDEX(BMO_rates!$B$9:$E$10,MATCH(VALUE(LEFT(A12,FIND(" ",A12)-1)),BMO_rates!$E$9:$E$10,1),2)*100</f>
        <v>0.05</v>
      </c>
      <c r="J12" s="60">
        <f>BNS_Rates!$D$45</f>
        <v>1.7999999999999999E-2</v>
      </c>
      <c r="K12" s="45">
        <f>INDEX(BNS_Rates!$B$17:$G$22,MATCH(VALUE(LEFT(A12,FIND(" ",A12)-1)),BNS_Rates!$G$17:$G$22,1),2)*100</f>
        <v>0.15</v>
      </c>
      <c r="L12" s="78">
        <v>0.6</v>
      </c>
      <c r="M12" s="45">
        <f>LEFT((ICICI_rates!$B$6),5)*100</f>
        <v>0.3</v>
      </c>
      <c r="N12" s="45">
        <f>(Manulife_rates!$C$12)*100</f>
        <v>0.5</v>
      </c>
      <c r="O12" s="79">
        <f>(Manulife_ISA_USD[ISA USD])*100</f>
        <v>1.7000000000000002</v>
      </c>
      <c r="P12" s="45">
        <f>INDEX(HSBC_rates!$B$10:$I$13,MATCH(VALUE(LEFT(A12,FIND(" ",A12)-1)),HSBC_rates!$I$10:$I$13,1),2)*100</f>
        <v>0.3</v>
      </c>
      <c r="Q12" s="45">
        <f>(Altamira_rates!$D$11)*100</f>
        <v>1.6500000000000001</v>
      </c>
      <c r="R12" s="45">
        <f>(BNS_Rates!$D$40)*100</f>
        <v>0.25</v>
      </c>
    </row>
    <row r="13" spans="1:28" x14ac:dyDescent="0.25">
      <c r="A13" s="43" t="s">
        <v>366</v>
      </c>
      <c r="B13" s="45">
        <f>INDEX(CIBC_rates!$B$8:$E$12,MATCH(VALUE(LEFT(A13,FIND(" ",A13)-1)),CIBC_rates!$E$8:$E$12,1),2)*100</f>
        <v>0.25</v>
      </c>
      <c r="C13" s="45">
        <f>(CIBC_rates!$C$22)*100</f>
        <v>1.7000000000000002</v>
      </c>
      <c r="D13" s="45">
        <f>INDEX(TD_rates!$B$30:$E$35,MATCH(VALUE(LEFT(A13,FIND(" ",A13)-1)),TD_rates!$E$30:$E$35,1),2)*100</f>
        <v>0.1</v>
      </c>
      <c r="E13" s="45">
        <f>(TD_rates!$F$41)*100</f>
        <v>1.7000000000000002</v>
      </c>
      <c r="F13" s="79" t="str">
        <f>INDEX(RBC_Rates!$A$134:$E$134,MATCH(VALUE(LEFT(A13,FIND(" ",A13)-1)),RBC_Rates!$E$134:$E$134,1),3)</f>
        <v>0.150</v>
      </c>
      <c r="G13" s="45" t="str">
        <f>INDEX(RBC_Rates!$A$133:$E$133,MATCH(VALUE(LEFT(A13,FIND(" ",A13)-1)),RBC_Rates!$E$133:$E$133,1),3)</f>
        <v>0.000</v>
      </c>
      <c r="H13" s="45">
        <f>(RBC_Rates!$D$2)</f>
        <v>1.7000000000000001E-2</v>
      </c>
      <c r="I13" s="45">
        <f>INDEX(BMO_rates!$B$9:$E$10,MATCH(VALUE(LEFT(A13,FIND(" ",A13)-1)),BMO_rates!$E$9:$E$10,1),2)*100</f>
        <v>0.05</v>
      </c>
      <c r="J13" s="60">
        <f>BNS_Rates!$D$44</f>
        <v>1.6500000000000001E-2</v>
      </c>
      <c r="K13" s="45">
        <f>INDEX(BNS_Rates!$B$17:$G$22,MATCH(VALUE(LEFT(A13,FIND(" ",A13)-1)),BNS_Rates!$G$17:$G$22,1),2)*100</f>
        <v>0.15</v>
      </c>
      <c r="L13" s="78">
        <v>0.6</v>
      </c>
      <c r="M13" s="45">
        <f>LEFT((ICICI_rates!$B$6),5)*100</f>
        <v>0.3</v>
      </c>
      <c r="N13" s="45">
        <f>(Manulife_rates!$C$12)*100</f>
        <v>0.5</v>
      </c>
      <c r="O13" s="79">
        <f>(Manulife_ISA_USD[ISA USD])*100</f>
        <v>1.7000000000000002</v>
      </c>
      <c r="P13" s="45">
        <f>INDEX(HSBC_rates!$B$10:$I$13,MATCH(VALUE(LEFT(A13,FIND(" ",A13)-1)),HSBC_rates!$I$10:$I$13,1),2)*100</f>
        <v>0.25</v>
      </c>
      <c r="Q13" s="45">
        <f>(Altamira_rates!$D$11)*100</f>
        <v>1.6500000000000001</v>
      </c>
      <c r="R13" s="45">
        <f>(BNS_Rates!$D$40)*100</f>
        <v>0.25</v>
      </c>
    </row>
    <row r="14" spans="1:28" s="42" customFormat="1" x14ac:dyDescent="0.25">
      <c r="A14" s="43" t="s">
        <v>367</v>
      </c>
      <c r="B14" s="45">
        <f>INDEX(CIBC_rates!$B$8:$E$12,MATCH(VALUE(LEFT(A14,FIND(" ",A14)-1)),CIBC_rates!$E$8:$E$12,1),2)*100</f>
        <v>0.25</v>
      </c>
      <c r="C14" s="45">
        <f>(CIBC_rates!$C$22)*100</f>
        <v>1.7000000000000002</v>
      </c>
      <c r="D14" s="45">
        <f>INDEX(TD_rates!$B$30:$E$35,MATCH(VALUE(LEFT(A14,FIND(" ",A14)-1)),TD_rates!$E$30:$E$35,1),2)*100</f>
        <v>0.1</v>
      </c>
      <c r="E14" s="45">
        <f>(TD_rates!$F$41)*100</f>
        <v>1.7000000000000002</v>
      </c>
      <c r="F14" s="79" t="str">
        <f>INDEX(RBC_Rates!$A$134:$E$134,MATCH(VALUE(LEFT(A14,FIND(" ",A14)-1)),RBC_Rates!$E$134:$E$134,1),3)</f>
        <v>0.150</v>
      </c>
      <c r="G14" s="45" t="str">
        <f>INDEX(RBC_Rates!$A$133:$E$133,MATCH(VALUE(LEFT(A14,FIND(" ",A14)-1)),RBC_Rates!$E$133:$E$133,1),3)</f>
        <v>0.000</v>
      </c>
      <c r="H14" s="45">
        <f>(RBC_Rates!$D$2)</f>
        <v>1.7000000000000001E-2</v>
      </c>
      <c r="I14" s="45">
        <f>INDEX(BMO_rates!$B$9:$E$10,MATCH(VALUE(LEFT(A14,FIND(" ",A14)-1)),BMO_rates!$E$9:$E$10,1),2)*100</f>
        <v>0.05</v>
      </c>
      <c r="J14" s="60">
        <f>BNS_Rates!$D$44</f>
        <v>1.6500000000000001E-2</v>
      </c>
      <c r="K14" s="45">
        <f>INDEX(BNS_Rates!$B$17:$G$22,MATCH(VALUE(LEFT(A14,FIND(" ",A14)-1)),BNS_Rates!$G$17:$G$22,1),2)*100</f>
        <v>0.1</v>
      </c>
      <c r="L14" s="78">
        <v>0.6</v>
      </c>
      <c r="M14" s="45">
        <f>LEFT((ICICI_rates!$B$6),5)*100</f>
        <v>0.3</v>
      </c>
      <c r="N14" s="45">
        <f>(Manulife_rates!$C$12)*100</f>
        <v>0.5</v>
      </c>
      <c r="O14" s="79">
        <f>(Manulife_ISA_USD[ISA USD])*100</f>
        <v>1.7000000000000002</v>
      </c>
      <c r="P14" s="45">
        <f>INDEX(HSBC_rates!$B$10:$I$13,MATCH(VALUE(LEFT(A14,FIND(" ",A14)-1)),HSBC_rates!$I$10:$I$13,1),2)*100</f>
        <v>0.25</v>
      </c>
      <c r="Q14" s="45">
        <f>(Altamira_rates!$D$11)*100</f>
        <v>1.6500000000000001</v>
      </c>
      <c r="R14" s="45">
        <f>(BNS_Rates!$D$40)*100</f>
        <v>0.25</v>
      </c>
      <c r="S14"/>
      <c r="T14"/>
      <c r="U14"/>
      <c r="V14"/>
      <c r="W14"/>
      <c r="X14"/>
      <c r="Y14"/>
    </row>
    <row r="15" spans="1:28" x14ac:dyDescent="0.25">
      <c r="A15" s="43" t="s">
        <v>368</v>
      </c>
      <c r="B15" s="45">
        <f>INDEX(CIBC_rates!$B$8:$E$12,MATCH(VALUE(LEFT(A15,FIND(" ",A15)-1)),CIBC_rates!$E$8:$E$12,1),2)*100</f>
        <v>0.25</v>
      </c>
      <c r="C15" s="45">
        <f>(CIBC_rates!$C$22)*100</f>
        <v>1.7000000000000002</v>
      </c>
      <c r="D15" s="45">
        <f>INDEX(TD_rates!$B$30:$E$35,MATCH(VALUE(LEFT(A15,FIND(" ",A15)-1)),TD_rates!$E$30:$E$35,1),2)*100</f>
        <v>0.1</v>
      </c>
      <c r="E15" s="45">
        <f>(TD_rates!$F$41)*100</f>
        <v>1.7000000000000002</v>
      </c>
      <c r="F15" s="79" t="str">
        <f>INDEX(RBC_Rates!$A$134:$E$134,MATCH(VALUE(LEFT(A15,FIND(" ",A15)-1)),RBC_Rates!$E$134:$E$134,1),3)</f>
        <v>0.150</v>
      </c>
      <c r="G15" s="45" t="str">
        <f>INDEX(RBC_Rates!$A$133:$E$133,MATCH(VALUE(LEFT(A15,FIND(" ",A15)-1)),RBC_Rates!$E$133:$E$133,1),3)</f>
        <v>0.000</v>
      </c>
      <c r="H15" s="45">
        <f>(RBC_Rates!$D$2)</f>
        <v>1.7000000000000001E-2</v>
      </c>
      <c r="I15" s="45">
        <f>INDEX(BMO_rates!$B$9:$E$10,MATCH(VALUE(LEFT(A15,FIND(" ",A15)-1)),BMO_rates!$E$9:$E$10,1),2)*100</f>
        <v>0.05</v>
      </c>
      <c r="J15" s="60">
        <f>BNS_Rates!$D$44</f>
        <v>1.6500000000000001E-2</v>
      </c>
      <c r="K15" s="45">
        <f>INDEX(BNS_Rates!$B$17:$G$22,MATCH(VALUE(LEFT(A15,FIND(" ",A15)-1)),BNS_Rates!$G$17:$G$22,1),2)*100</f>
        <v>0.1</v>
      </c>
      <c r="L15" s="78">
        <v>0.6</v>
      </c>
      <c r="M15" s="45">
        <f>LEFT((ICICI_rates!$B$6),5)*100</f>
        <v>0.3</v>
      </c>
      <c r="N15" s="45">
        <f>(Manulife_rates!$C$12)*100</f>
        <v>0.5</v>
      </c>
      <c r="O15" s="79">
        <f>(Manulife_ISA_USD[ISA USD])*100</f>
        <v>1.7000000000000002</v>
      </c>
      <c r="P15" s="45">
        <f>INDEX(HSBC_rates!$B$10:$I$13,MATCH(VALUE(LEFT(A15,FIND(" ",A15)-1)),HSBC_rates!$I$10:$I$13,1),2)*100</f>
        <v>0.2</v>
      </c>
      <c r="Q15" s="45">
        <f>(Altamira_rates!$D$11)*100</f>
        <v>1.6500000000000001</v>
      </c>
      <c r="R15" s="45">
        <f>(BNS_Rates!$D$40)*100</f>
        <v>0.25</v>
      </c>
    </row>
    <row r="16" spans="1:28" x14ac:dyDescent="0.25">
      <c r="A16" s="43" t="s">
        <v>36</v>
      </c>
      <c r="B16" s="45">
        <f>INDEX(CIBC_rates!$B$8:$E$12,MATCH(VALUE(LEFT(A16,FIND(" ",A16)-1)),CIBC_rates!$E$8:$E$12,1),2)*100</f>
        <v>0.25</v>
      </c>
      <c r="C16" s="45">
        <f>(CIBC_rates!$C$22)*100</f>
        <v>1.7000000000000002</v>
      </c>
      <c r="D16" s="45">
        <f>INDEX(TD_rates!$B$30:$E$35,MATCH(VALUE(LEFT(A16,FIND(" ",A16)-1)),TD_rates!$E$30:$E$35,1),2)*100</f>
        <v>0.05</v>
      </c>
      <c r="E16" s="45">
        <f>(TD_rates!$F$41)*100</f>
        <v>1.7000000000000002</v>
      </c>
      <c r="F16" s="79" t="str">
        <f>INDEX(RBC_Rates!$A$134:$E$134,MATCH(VALUE(LEFT(A16,FIND(" ",A16)-1)),RBC_Rates!$E$134:$E$134,1),3)</f>
        <v>0.150</v>
      </c>
      <c r="G16" s="45" t="str">
        <f>INDEX(RBC_Rates!$A$133:$E$133,MATCH(VALUE(LEFT(A16,FIND(" ",A16)-1)),RBC_Rates!$E$133:$E$133,1),3)</f>
        <v>0.000</v>
      </c>
      <c r="H16" s="45">
        <f>(RBC_Rates!$D$2)</f>
        <v>1.7000000000000001E-2</v>
      </c>
      <c r="I16" s="45">
        <f>INDEX(BMO_rates!$B$9:$E$10,MATCH(VALUE(LEFT(A16,FIND(" ",A16)-1)),BMO_rates!$E$9:$E$10,1),2)*100</f>
        <v>0.05</v>
      </c>
      <c r="J16" s="60">
        <f>BNS_Rates!$D$44</f>
        <v>1.6500000000000001E-2</v>
      </c>
      <c r="K16" s="45">
        <f>INDEX(BNS_Rates!$B$17:$G$22,MATCH(VALUE(LEFT(A16,FIND(" ",A16)-1)),BNS_Rates!$G$17:$G$22,1),2)*100</f>
        <v>0.05</v>
      </c>
      <c r="L16" s="78">
        <v>0.6</v>
      </c>
      <c r="M16" s="45">
        <f>LEFT((ICICI_rates!$B$6),5)*100</f>
        <v>0.3</v>
      </c>
      <c r="N16" s="45">
        <f>(Manulife_rates!$C$12)*100</f>
        <v>0.5</v>
      </c>
      <c r="O16" s="79">
        <f>(Manulife_ISA_USD[ISA USD])*100</f>
        <v>1.7000000000000002</v>
      </c>
      <c r="P16" s="45">
        <f>INDEX(HSBC_rates!$B$10:$I$13,MATCH(VALUE(LEFT(A16,FIND(" ",A16)-1)),HSBC_rates!$I$10:$I$13,1),2)*100</f>
        <v>0.1</v>
      </c>
      <c r="Q16" s="45">
        <f>(Altamira_rates!$D$11)*100</f>
        <v>1.6500000000000001</v>
      </c>
      <c r="R16" s="45">
        <f>(BNS_Rates!$D$40)*100</f>
        <v>0.25</v>
      </c>
    </row>
    <row r="17" spans="1:18" x14ac:dyDescent="0.25">
      <c r="A17" s="43" t="s">
        <v>37</v>
      </c>
      <c r="B17" s="45">
        <f>INDEX(CIBC_rates!$B$8:$E$12,MATCH(VALUE(LEFT(A17,FIND(" ",A17)-1)),CIBC_rates!$E$8:$E$12,1),2)*100</f>
        <v>0.25</v>
      </c>
      <c r="C17" s="45">
        <f>(CIBC_rates!$C$22)*100</f>
        <v>1.7000000000000002</v>
      </c>
      <c r="D17" s="45">
        <f>INDEX(TD_rates!$B$30:$E$35,MATCH(VALUE(LEFT(A17,FIND(" ",A17)-1)),TD_rates!$E$30:$E$35,1),2)*100</f>
        <v>2.5000000000000001E-2</v>
      </c>
      <c r="E17" s="45">
        <f>(TD_rates!$F$41)*100</f>
        <v>1.7000000000000002</v>
      </c>
      <c r="F17" s="79" t="str">
        <f>INDEX(RBC_Rates!$A$134:$E$134,MATCH(VALUE(LEFT(A17,FIND(" ",A17)-1)),RBC_Rates!$E$134:$E$134,1),3)</f>
        <v>0.150</v>
      </c>
      <c r="G17" s="45" t="str">
        <f>INDEX(RBC_Rates!$A$133:$E$133,MATCH(VALUE(LEFT(A17,FIND(" ",A17)-1)),RBC_Rates!$E$133:$E$133,1),3)</f>
        <v>0.000</v>
      </c>
      <c r="H17" s="45">
        <f>(RBC_Rates!$D$2)</f>
        <v>1.7000000000000001E-2</v>
      </c>
      <c r="I17" s="45">
        <f>INDEX(BMO_rates!$B$9:$E$10,MATCH(VALUE(LEFT(A17,FIND(" ",A17)-1)),BMO_rates!$E$9:$E$10,1),2)*100</f>
        <v>0.05</v>
      </c>
      <c r="J17" s="60">
        <f>BNS_Rates!$D$44</f>
        <v>1.6500000000000001E-2</v>
      </c>
      <c r="K17" s="45">
        <f>INDEX(BNS_Rates!$B$17:$G$22,MATCH(VALUE(LEFT(A17,FIND(" ",A17)-1)),BNS_Rates!$G$17:$G$22,1),2)*100</f>
        <v>2.5000000000000001E-2</v>
      </c>
      <c r="L17" s="78">
        <v>0.6</v>
      </c>
      <c r="M17" s="45">
        <f>LEFT((ICICI_rates!$B$6),5)*100</f>
        <v>0.3</v>
      </c>
      <c r="N17" s="45">
        <f>(Manulife_rates!$C$12)*100</f>
        <v>0.5</v>
      </c>
      <c r="O17" s="79">
        <f>(Manulife_ISA_USD[ISA USD])*100</f>
        <v>1.7000000000000002</v>
      </c>
      <c r="P17" s="45">
        <f>INDEX(HSBC_rates!$B$10:$I$13,MATCH(VALUE(LEFT(A17,FIND(" ",A17)-1)),HSBC_rates!$I$10:$I$13,1),2)*100</f>
        <v>0.1</v>
      </c>
      <c r="Q17" s="45">
        <f>(Altamira_rates!$D$11)*100</f>
        <v>1.6500000000000001</v>
      </c>
      <c r="R17" s="45">
        <f>(BNS_Rates!$D$40)*100</f>
        <v>0.25</v>
      </c>
    </row>
    <row r="18" spans="1:18" x14ac:dyDescent="0.25">
      <c r="A18" s="43" t="s">
        <v>38</v>
      </c>
      <c r="B18" s="45">
        <f>INDEX(CIBC_rates!$B$8:$E$12,MATCH(VALUE(LEFT(A18,FIND(" ",A18)-1)),CIBC_rates!$E$8:$E$12,1),2)*100</f>
        <v>0.25</v>
      </c>
      <c r="C18" s="45">
        <f>(CIBC_rates!$C$22)*100</f>
        <v>1.7000000000000002</v>
      </c>
      <c r="D18" s="45">
        <f>INDEX(TD_rates!$B$30:$E$35,MATCH(VALUE(LEFT(A18,FIND(" ",A18)-1)),TD_rates!$E$30:$E$35,1),2)*100</f>
        <v>0.01</v>
      </c>
      <c r="E18" s="45">
        <f>(TD_rates!$F$41)*100</f>
        <v>1.7000000000000002</v>
      </c>
      <c r="F18" s="79" t="str">
        <f>INDEX(RBC_Rates!$A$134:$E$134,MATCH(VALUE(LEFT(A18,FIND(" ",A18)-1)),RBC_Rates!$E$134:$E$134,1),3)</f>
        <v>0.150</v>
      </c>
      <c r="G18" s="45" t="str">
        <f>INDEX(RBC_Rates!$A$133:$E$133,MATCH(VALUE(LEFT(A18,FIND(" ",A18)-1)),RBC_Rates!$E$133:$E$133,1),3)</f>
        <v>0.000</v>
      </c>
      <c r="H18" s="45">
        <f>(RBC_Rates!$D$2)</f>
        <v>1.7000000000000001E-2</v>
      </c>
      <c r="I18" s="45">
        <f>INDEX(BMO_rates!$B$9:$E$10,MATCH(VALUE(LEFT(A18,FIND(" ",A18)-1)),BMO_rates!$E$9:$E$10,1),2)*100</f>
        <v>0.05</v>
      </c>
      <c r="J18" s="60">
        <f>BNS_Rates!$D$44</f>
        <v>1.6500000000000001E-2</v>
      </c>
      <c r="K18" s="45">
        <f>INDEX(BNS_Rates!$B$17:$G$22,MATCH(VALUE(LEFT(A18,FIND(" ",A18)-1)),BNS_Rates!$G$17:$G$22,1),2)*100</f>
        <v>0.01</v>
      </c>
      <c r="L18" s="78">
        <v>0.6</v>
      </c>
      <c r="M18" s="45">
        <f>LEFT((ICICI_rates!$B$6),5)*100</f>
        <v>0.3</v>
      </c>
      <c r="N18" s="45">
        <f>(Manulife_rates!$C$12)*100</f>
        <v>0.5</v>
      </c>
      <c r="O18" s="79">
        <f>(Manulife_ISA_USD[ISA USD])*100</f>
        <v>1.7000000000000002</v>
      </c>
      <c r="P18" s="45">
        <f>INDEX(HSBC_rates!$B$10:$I$13,MATCH(VALUE(LEFT(A18,FIND(" ",A18)-1)),HSBC_rates!$I$10:$I$13,1),2)*100</f>
        <v>0.1</v>
      </c>
      <c r="Q18" s="45">
        <f>(Altamira_rates!$D$11)*100</f>
        <v>1.6500000000000001</v>
      </c>
      <c r="R18" s="45">
        <f>(BNS_Rates!$D$40)*100</f>
        <v>0.25</v>
      </c>
    </row>
    <row r="19" spans="1:18" x14ac:dyDescent="0.25">
      <c r="A19" s="43" t="s">
        <v>39</v>
      </c>
      <c r="B19" s="45">
        <f>INDEX(CIBC_rates!$B$8:$E$12,MATCH(VALUE(LEFT(A19,FIND(" ",A19)-1)),CIBC_rates!$E$8:$E$12,1),2)*100</f>
        <v>0.25</v>
      </c>
      <c r="C19" s="45">
        <f>(CIBC_rates!$C$22)*100</f>
        <v>1.7000000000000002</v>
      </c>
      <c r="D19" s="45">
        <f>INDEX(TD_rates!$B$30:$E$35,MATCH(VALUE(LEFT(A19,FIND(" ",A19)-1)),TD_rates!$E$30:$E$35,1),2)*100</f>
        <v>0.01</v>
      </c>
      <c r="E19" s="45">
        <f>(TD_rates!$F$41)*100</f>
        <v>1.7000000000000002</v>
      </c>
      <c r="F19" s="79" t="str">
        <f>INDEX(RBC_Rates!$A$134:$E$134,MATCH(VALUE(LEFT(A19,FIND(" ",A19)-1)),RBC_Rates!$E$134:$E$134,1),3)</f>
        <v>0.150</v>
      </c>
      <c r="G19" s="45" t="str">
        <f>INDEX(RBC_Rates!$A$133:$E$133,MATCH(VALUE(LEFT(A19,FIND(" ",A19)-1)),RBC_Rates!$E$133:$E$133,1),3)</f>
        <v>0.000</v>
      </c>
      <c r="H19" s="45">
        <f>(RBC_Rates!$D$2)</f>
        <v>1.7000000000000001E-2</v>
      </c>
      <c r="I19" s="45">
        <f>INDEX(BMO_rates!$B$9:$E$10,MATCH(VALUE(LEFT(A19,FIND(" ",A19)-1)),BMO_rates!$E$9:$E$10,1),2)*100</f>
        <v>0.05</v>
      </c>
      <c r="J19" s="60">
        <f>BNS_Rates!$D$44</f>
        <v>1.6500000000000001E-2</v>
      </c>
      <c r="K19" s="45">
        <f>INDEX(BNS_Rates!$B$17:$G$22,MATCH(VALUE(LEFT(A19,FIND(" ",A19)-1)),BNS_Rates!$G$17:$G$22,1),2)*100</f>
        <v>0.01</v>
      </c>
      <c r="L19" s="78">
        <v>0.6</v>
      </c>
      <c r="M19" s="45">
        <f>LEFT((ICICI_rates!$B$6),5)*100</f>
        <v>0.3</v>
      </c>
      <c r="N19" s="45">
        <f>(Manulife_rates!$C$12)*100</f>
        <v>0.5</v>
      </c>
      <c r="O19" s="79">
        <f>(Manulife_ISA_USD[ISA USD])*100</f>
        <v>1.7000000000000002</v>
      </c>
      <c r="P19" s="45">
        <f>INDEX(HSBC_rates!$B$10:$I$13,MATCH(VALUE(LEFT(A19,FIND(" ",A19)-1)),HSBC_rates!$I$10:$I$13,1),2)*100</f>
        <v>0.1</v>
      </c>
      <c r="Q19" s="45">
        <f>(Altamira_rates!$D$11)*100</f>
        <v>1.6500000000000001</v>
      </c>
      <c r="R19" s="45">
        <f>(BNS_Rates!$D$40)*100</f>
        <v>0.25</v>
      </c>
    </row>
    <row r="20" spans="1:18" s="42" customFormat="1" x14ac:dyDescent="0.25">
      <c r="A20" s="43" t="s">
        <v>432</v>
      </c>
      <c r="B20" s="45">
        <f>INDEX(CIBC_rates!$B$8:$E$12,MATCH(VALUE(LEFT(A20,FIND(" ",A20)-1)),CIBC_rates!$E$8:$E$12,1),2)*100</f>
        <v>0.25</v>
      </c>
      <c r="C20" s="45">
        <f>(CIBC_rates!$C$22)*100</f>
        <v>1.7000000000000002</v>
      </c>
      <c r="D20" s="45">
        <f>INDEX(TD_rates!$B$30:$E$35,MATCH(VALUE(LEFT(A20,FIND(" ",A20)-1)),TD_rates!$E$30:$E$35,1),2)*100</f>
        <v>0</v>
      </c>
      <c r="E20" s="45">
        <f>(TD_rates!$F$41)*100</f>
        <v>1.7000000000000002</v>
      </c>
      <c r="F20" s="79" t="str">
        <f>INDEX(RBC_Rates!$A$134:$E$134,MATCH(VALUE(LEFT(A20,FIND(" ",A20)-1)),RBC_Rates!$E$134:$E$134,1),3)</f>
        <v>0.150</v>
      </c>
      <c r="G20" s="45" t="str">
        <f>INDEX(RBC_Rates!$A$133:$E$133,MATCH(VALUE(LEFT(A20,FIND(" ",A20)-1)),RBC_Rates!$E$133:$E$133,1),3)</f>
        <v>0.000</v>
      </c>
      <c r="H20" s="45">
        <f>(RBC_Rates!$D$2)</f>
        <v>1.7000000000000001E-2</v>
      </c>
      <c r="I20" s="45">
        <f>INDEX(BMO_rates!$B$9:$E$10,MATCH(VALUE(LEFT(A20,FIND(" ",A20)-1)),BMO_rates!$E$9:$E$10,1),2)*100</f>
        <v>0.05</v>
      </c>
      <c r="J20" s="60">
        <f>BNS_Rates!$D$44</f>
        <v>1.6500000000000001E-2</v>
      </c>
      <c r="K20" s="45">
        <f>INDEX(BNS_Rates!$B$17:$G$22,MATCH(VALUE(LEFT(A20,FIND(" ",A20)-1)),BNS_Rates!$G$17:$G$22,1),2)*100</f>
        <v>0</v>
      </c>
      <c r="L20" s="78">
        <v>0.6</v>
      </c>
      <c r="M20" s="45">
        <f>LEFT((ICICI_rates!$B$6),5)*100</f>
        <v>0.3</v>
      </c>
      <c r="N20" s="45">
        <f>(Manulife_rates!$C$12)*100</f>
        <v>0.5</v>
      </c>
      <c r="O20" s="79">
        <f>(Manulife_ISA_USD[ISA USD])*100</f>
        <v>1.7000000000000002</v>
      </c>
      <c r="P20" s="45">
        <f>INDEX(HSBC_rates!$B$10:$I$13,MATCH(VALUE(LEFT(A20,FIND(" ",A20)-1)),HSBC_rates!$I$10:$I$13,1),2)*100</f>
        <v>0.1</v>
      </c>
      <c r="Q20" s="45">
        <f>(Altamira_rates!$D$11)*100</f>
        <v>1.6500000000000001</v>
      </c>
      <c r="R20" s="45">
        <f>(BNS_Rates!$D$40)*100</f>
        <v>0.25</v>
      </c>
    </row>
    <row r="21" spans="1:18" x14ac:dyDescent="0.25">
      <c r="A21" s="43" t="s">
        <v>433</v>
      </c>
      <c r="B21" s="45">
        <f>INDEX(CIBC_rates!$B$8:$E$12,MATCH(VALUE(LEFT(A21,FIND(" ",A21)-1)),CIBC_rates!$E$8:$E$12,1),2)*100</f>
        <v>0.25</v>
      </c>
      <c r="C21" s="45">
        <f>(CIBC_rates!$C$22)*100</f>
        <v>1.7000000000000002</v>
      </c>
      <c r="D21" s="45">
        <f>INDEX(TD_rates!$B$30:$E$35,MATCH(VALUE(LEFT(A21,FIND(" ",A21)-1)),TD_rates!$E$30:$E$35,1),2)*100</f>
        <v>0</v>
      </c>
      <c r="E21" s="45">
        <f>(TD_rates!$F$41)*100</f>
        <v>1.7000000000000002</v>
      </c>
      <c r="F21" s="79" t="str">
        <f>INDEX(RBC_Rates!$A$134:$E$134,MATCH(VALUE(LEFT(A21,FIND(" ",A21)-1)),RBC_Rates!$E$134:$E$134,1),3)</f>
        <v>0.150</v>
      </c>
      <c r="G21" s="45" t="str">
        <f>INDEX(RBC_Rates!$A$133:$E$133,MATCH(VALUE(LEFT(A21,FIND(" ",A21)-1)),RBC_Rates!$E$133:$E$133,1),3)</f>
        <v>0.000</v>
      </c>
      <c r="H21" s="45" t="s">
        <v>31</v>
      </c>
      <c r="I21" s="45">
        <f>INDEX(BMO_rates!$B$9:$E$10,MATCH(VALUE(LEFT(A21,FIND(" ",A21)-1)),BMO_rates!$E$9:$E$10,1),2)*100</f>
        <v>0.05</v>
      </c>
      <c r="J21" s="60">
        <f>BNS_Rates!$D$44</f>
        <v>1.6500000000000001E-2</v>
      </c>
      <c r="K21" s="45">
        <f>INDEX(BNS_Rates!$B$17:$G$22,MATCH(VALUE(LEFT(A21,FIND(" ",A21)-1)),BNS_Rates!$G$17:$G$22,1),2)*100</f>
        <v>0</v>
      </c>
      <c r="L21" s="78">
        <v>0.6</v>
      </c>
      <c r="M21" s="45">
        <f>LEFT((ICICI_rates!$B$6),5)*100</f>
        <v>0.3</v>
      </c>
      <c r="N21" s="45">
        <f>(Manulife_rates!$C$12)*100</f>
        <v>0.5</v>
      </c>
      <c r="O21" s="79">
        <f>(Manulife_ISA_USD[ISA USD])*100</f>
        <v>1.7000000000000002</v>
      </c>
      <c r="P21" s="45">
        <f>INDEX(HSBC_rates!$B$10:$I$13,MATCH(VALUE(LEFT(A21,FIND(" ",A21)-1)),HSBC_rates!$I$10:$I$13,1),2)*100</f>
        <v>0.1</v>
      </c>
      <c r="Q21" s="45">
        <f>(Altamira_rates!$D$11)*100</f>
        <v>1.6500000000000001</v>
      </c>
      <c r="R21" s="45">
        <f>(BNS_Rates!$D$40)*100</f>
        <v>0.25</v>
      </c>
    </row>
    <row r="22" spans="1:18" x14ac:dyDescent="0.25">
      <c r="A22" s="54"/>
      <c r="B22" s="55"/>
      <c r="C22" s="56"/>
      <c r="D22" s="57"/>
      <c r="E22" s="57"/>
      <c r="F22" s="57"/>
      <c r="G22" s="57"/>
      <c r="H22" s="56"/>
      <c r="I22" s="58"/>
      <c r="J22" s="64"/>
      <c r="K22" s="57"/>
      <c r="L22" s="56"/>
      <c r="M22" s="55"/>
      <c r="N22" s="56"/>
      <c r="O22" s="56"/>
      <c r="P22" s="56"/>
      <c r="Q22" s="56"/>
      <c r="R22" s="54"/>
    </row>
    <row r="23" spans="1:18" hidden="1" x14ac:dyDescent="0.25">
      <c r="A23" s="10" t="s">
        <v>29</v>
      </c>
      <c r="B23" s="11">
        <v>43625</v>
      </c>
      <c r="C23" s="11">
        <v>43626</v>
      </c>
      <c r="D23" s="11">
        <v>43627</v>
      </c>
      <c r="E23" s="11">
        <v>43628</v>
      </c>
      <c r="F23" s="11">
        <v>43629</v>
      </c>
      <c r="G23" s="11">
        <v>43630</v>
      </c>
      <c r="H23" s="11">
        <v>43631</v>
      </c>
      <c r="I23" s="11">
        <v>43632</v>
      </c>
      <c r="J23" s="11">
        <v>43633</v>
      </c>
      <c r="K23" s="11">
        <v>43634</v>
      </c>
      <c r="L23" s="11">
        <v>43635</v>
      </c>
      <c r="M23" s="11">
        <v>43636</v>
      </c>
      <c r="N23" s="11">
        <v>43637</v>
      </c>
      <c r="O23" s="11">
        <v>43638</v>
      </c>
      <c r="P23" s="11"/>
      <c r="Q23" s="11">
        <v>43639</v>
      </c>
      <c r="R23" s="11">
        <v>43640</v>
      </c>
    </row>
    <row r="24" spans="1:18" x14ac:dyDescent="0.25">
      <c r="A24" s="14" t="s">
        <v>41</v>
      </c>
      <c r="B24" s="43" t="s">
        <v>42</v>
      </c>
      <c r="C24" s="43" t="s">
        <v>43</v>
      </c>
      <c r="D24" s="43" t="s">
        <v>42</v>
      </c>
      <c r="E24" s="43" t="s">
        <v>43</v>
      </c>
      <c r="F24" s="43" t="s">
        <v>42</v>
      </c>
      <c r="G24" s="43" t="s">
        <v>42</v>
      </c>
      <c r="H24" s="43" t="s">
        <v>43</v>
      </c>
      <c r="I24" s="43" t="s">
        <v>42</v>
      </c>
      <c r="J24" s="43" t="s">
        <v>43</v>
      </c>
      <c r="K24" s="43" t="s">
        <v>42</v>
      </c>
      <c r="L24" s="43" t="s">
        <v>42</v>
      </c>
      <c r="M24" s="43" t="s">
        <v>42</v>
      </c>
      <c r="N24" s="43" t="s">
        <v>42</v>
      </c>
      <c r="O24" s="43" t="s">
        <v>43</v>
      </c>
      <c r="P24" s="43" t="s">
        <v>42</v>
      </c>
      <c r="Q24" s="43" t="s">
        <v>43</v>
      </c>
      <c r="R24" s="43" t="s">
        <v>43</v>
      </c>
    </row>
  </sheetData>
  <pageMargins left="0.7" right="0.7" top="0.75" bottom="0.75" header="0.3" footer="0.3"/>
  <pageSetup orientation="portrait" horizontalDpi="4294967295" verticalDpi="4294967295"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2DAC-F2B1-4974-9966-4B39C40987DE}">
  <sheetPr codeName="Sheet3">
    <tabColor theme="5" tint="0.39997558519241921"/>
  </sheetPr>
  <dimension ref="A1:N24"/>
  <sheetViews>
    <sheetView zoomScale="85" zoomScaleNormal="85" workbookViewId="0">
      <selection activeCell="J9" sqref="J9"/>
    </sheetView>
  </sheetViews>
  <sheetFormatPr defaultRowHeight="15" x14ac:dyDescent="0.25"/>
  <cols>
    <col min="1" max="1" width="28.42578125" bestFit="1" customWidth="1"/>
    <col min="2" max="2" width="13" customWidth="1"/>
    <col min="3" max="3" width="11" bestFit="1" customWidth="1"/>
    <col min="4" max="4" width="10" bestFit="1" customWidth="1"/>
    <col min="5" max="8" width="10" style="42" bestFit="1" customWidth="1"/>
    <col min="9" max="9" width="10" bestFit="1" customWidth="1"/>
    <col min="10" max="10" width="12.5703125" bestFit="1" customWidth="1"/>
    <col min="11" max="12" width="10" bestFit="1" customWidth="1"/>
    <col min="13" max="13" width="11.42578125" bestFit="1" customWidth="1"/>
    <col min="14" max="14" width="10.5703125" bestFit="1" customWidth="1"/>
  </cols>
  <sheetData>
    <row r="1" spans="1:14" ht="25.5" x14ac:dyDescent="0.35">
      <c r="A1" s="47"/>
      <c r="B1" s="47"/>
      <c r="C1" s="47"/>
      <c r="D1" s="47"/>
      <c r="E1" s="47"/>
      <c r="F1" s="47"/>
      <c r="G1" s="47"/>
      <c r="H1" s="47"/>
      <c r="I1" s="47"/>
      <c r="J1" s="47"/>
      <c r="K1" s="47"/>
      <c r="L1" s="3"/>
      <c r="M1" s="3"/>
      <c r="N1" s="3"/>
    </row>
    <row r="2" spans="1:14" ht="25.5" x14ac:dyDescent="0.35">
      <c r="A2" s="65"/>
      <c r="B2" s="75" t="s">
        <v>460</v>
      </c>
      <c r="C2" s="65"/>
      <c r="D2" s="65"/>
      <c r="E2" s="65"/>
      <c r="F2" s="65"/>
      <c r="G2" s="65"/>
      <c r="H2" s="65"/>
      <c r="I2" s="65"/>
      <c r="J2" s="65"/>
      <c r="K2" s="65"/>
      <c r="L2" s="3"/>
      <c r="M2" s="3"/>
      <c r="N2" s="3"/>
    </row>
    <row r="3" spans="1:14" x14ac:dyDescent="0.25">
      <c r="A3" s="3"/>
      <c r="B3" s="3"/>
      <c r="C3" s="3"/>
      <c r="D3" s="3"/>
      <c r="E3" s="3"/>
      <c r="F3" s="3"/>
      <c r="G3" s="3"/>
      <c r="H3" s="3"/>
      <c r="I3" s="3"/>
      <c r="J3" s="3"/>
      <c r="K3" s="3"/>
      <c r="L3" s="3"/>
      <c r="M3" s="3"/>
      <c r="N3" s="3"/>
    </row>
    <row r="4" spans="1:14" x14ac:dyDescent="0.25">
      <c r="A4" s="3"/>
      <c r="B4" s="3"/>
      <c r="C4" s="3"/>
      <c r="D4" s="3"/>
      <c r="E4" s="3"/>
      <c r="F4" s="3"/>
      <c r="G4" s="3"/>
      <c r="H4" s="3"/>
      <c r="I4" s="3"/>
      <c r="J4" s="3"/>
      <c r="K4" s="3"/>
      <c r="L4" s="3"/>
      <c r="M4" s="3"/>
      <c r="N4" s="3"/>
    </row>
    <row r="5" spans="1:14" x14ac:dyDescent="0.25">
      <c r="A5" s="3"/>
      <c r="B5" s="3"/>
      <c r="C5" s="3"/>
      <c r="D5" s="3"/>
      <c r="E5" s="3"/>
      <c r="F5" s="3"/>
      <c r="G5" s="3"/>
      <c r="H5" s="3"/>
      <c r="I5" s="3"/>
      <c r="J5" s="3"/>
      <c r="K5" s="3"/>
      <c r="L5" s="3"/>
      <c r="M5" s="3"/>
      <c r="N5" s="3"/>
    </row>
    <row r="6" spans="1:14" x14ac:dyDescent="0.25">
      <c r="A6" s="3"/>
      <c r="B6" s="3"/>
      <c r="C6" s="3"/>
      <c r="D6" s="3"/>
      <c r="E6" s="3"/>
      <c r="F6" s="3"/>
      <c r="G6" s="3"/>
      <c r="H6" s="3"/>
      <c r="I6" s="3"/>
      <c r="J6" s="3"/>
      <c r="K6" s="3"/>
      <c r="L6" s="3"/>
      <c r="M6" s="3"/>
      <c r="N6" s="3"/>
    </row>
    <row r="7" spans="1:14" hidden="1" x14ac:dyDescent="0.25">
      <c r="A7" s="46" t="s">
        <v>438</v>
      </c>
      <c r="B7" s="5"/>
      <c r="C7" s="3"/>
      <c r="D7" s="3"/>
      <c r="E7" s="3"/>
      <c r="F7" s="3"/>
      <c r="G7" s="3"/>
      <c r="H7" s="3"/>
      <c r="I7" s="3"/>
      <c r="J7" s="3"/>
      <c r="K7" s="3"/>
      <c r="L7" s="3"/>
      <c r="M7" s="3"/>
      <c r="N7" s="3"/>
    </row>
    <row r="8" spans="1:14" x14ac:dyDescent="0.25">
      <c r="A8" s="9"/>
      <c r="B8" s="9"/>
      <c r="C8" s="9"/>
      <c r="D8" s="9"/>
      <c r="E8" s="9"/>
      <c r="F8" s="9"/>
      <c r="G8" s="9"/>
      <c r="H8" s="9"/>
      <c r="I8" s="9"/>
      <c r="J8" s="9"/>
      <c r="K8" s="9"/>
      <c r="L8" s="9"/>
      <c r="M8" s="9"/>
      <c r="N8" s="9"/>
    </row>
    <row r="9" spans="1:14" x14ac:dyDescent="0.25">
      <c r="A9" s="49"/>
      <c r="B9" s="49" t="s">
        <v>0</v>
      </c>
      <c r="C9" s="49" t="s">
        <v>0</v>
      </c>
      <c r="D9" s="49" t="s">
        <v>1</v>
      </c>
      <c r="E9" s="49" t="s">
        <v>1</v>
      </c>
      <c r="F9" s="49" t="s">
        <v>1</v>
      </c>
      <c r="G9" s="49" t="s">
        <v>1</v>
      </c>
      <c r="H9" s="49" t="s">
        <v>4</v>
      </c>
      <c r="I9" s="49" t="s">
        <v>5</v>
      </c>
      <c r="J9" s="49" t="s">
        <v>44</v>
      </c>
      <c r="K9" s="49" t="s">
        <v>8</v>
      </c>
      <c r="L9" s="49" t="s">
        <v>11</v>
      </c>
      <c r="M9" s="49" t="s">
        <v>12</v>
      </c>
      <c r="N9" s="72" t="s">
        <v>45</v>
      </c>
    </row>
    <row r="10" spans="1:14" ht="64.5" x14ac:dyDescent="0.25">
      <c r="A10" s="52"/>
      <c r="B10" s="52" t="s">
        <v>397</v>
      </c>
      <c r="C10" s="52" t="s">
        <v>46</v>
      </c>
      <c r="D10" s="52" t="s">
        <v>47</v>
      </c>
      <c r="E10" s="52" t="s">
        <v>380</v>
      </c>
      <c r="F10" s="52" t="s">
        <v>381</v>
      </c>
      <c r="G10" s="52" t="s">
        <v>382</v>
      </c>
      <c r="H10" s="52" t="s">
        <v>386</v>
      </c>
      <c r="I10" s="52" t="s">
        <v>47</v>
      </c>
      <c r="J10" s="52" t="s">
        <v>448</v>
      </c>
      <c r="K10" s="52" t="s">
        <v>47</v>
      </c>
      <c r="L10" s="52" t="s">
        <v>48</v>
      </c>
      <c r="M10" s="52" t="s">
        <v>26</v>
      </c>
      <c r="N10" s="52" t="s">
        <v>49</v>
      </c>
    </row>
    <row r="11" spans="1:14" x14ac:dyDescent="0.25">
      <c r="A11" s="7" t="s">
        <v>434</v>
      </c>
      <c r="B11" s="45">
        <f>(CIBC_rates!$B$25)*100</f>
        <v>1.6</v>
      </c>
      <c r="C11" s="45">
        <f>(CIBC_rates!$C$21)*100</f>
        <v>1.6</v>
      </c>
      <c r="D11" s="45">
        <f>(TD_rates!$F$40)*100</f>
        <v>1.6</v>
      </c>
      <c r="E11" s="45">
        <f>(TD_rates!$F$42)*100</f>
        <v>1.6</v>
      </c>
      <c r="F11" s="45">
        <f>(TD_rates!$F$43)*100</f>
        <v>1.6</v>
      </c>
      <c r="G11" s="45">
        <f>(TD_rates!$F$44)*100</f>
        <v>1.6</v>
      </c>
      <c r="H11" s="60">
        <v>1.75</v>
      </c>
      <c r="I11" s="45" t="s">
        <v>31</v>
      </c>
      <c r="J11" s="45">
        <f>(Altamira_rates!$D$4)*100</f>
        <v>1.6</v>
      </c>
      <c r="K11" s="79">
        <f>(Manulife_ISA_CAD[ISA CAD])*100</f>
        <v>1.6</v>
      </c>
      <c r="L11" s="76">
        <f>(B2B_rates!$D$2)*100</f>
        <v>1.6</v>
      </c>
      <c r="M11" s="45">
        <f>(BNS_Rates!$C$40)*100</f>
        <v>0.25</v>
      </c>
      <c r="N11" s="45">
        <f>(HomeTrust_rates!$B$13)*100</f>
        <v>1.6</v>
      </c>
    </row>
    <row r="12" spans="1:14" s="42" customFormat="1" x14ac:dyDescent="0.25">
      <c r="A12" s="43" t="s">
        <v>365</v>
      </c>
      <c r="B12" s="45">
        <f>(CIBC_rates!$B$25)*100</f>
        <v>1.6</v>
      </c>
      <c r="C12" s="45">
        <f>(CIBC_rates!$C$21)*100</f>
        <v>1.6</v>
      </c>
      <c r="D12" s="45">
        <f>(TD_rates!$F$40)*100</f>
        <v>1.6</v>
      </c>
      <c r="E12" s="45">
        <f>(TD_rates!$F$42)*100</f>
        <v>1.6</v>
      </c>
      <c r="F12" s="45">
        <f>(TD_rates!$F$43)*100</f>
        <v>1.6</v>
      </c>
      <c r="G12" s="45">
        <f>(TD_rates!$F$44)*100</f>
        <v>1.6</v>
      </c>
      <c r="H12" s="60">
        <v>1.75</v>
      </c>
      <c r="I12" s="45">
        <f>(RBC_Rates!$C$2)*100</f>
        <v>1.6</v>
      </c>
      <c r="J12" s="45">
        <f>(Altamira_rates!$D$4)*100</f>
        <v>1.6</v>
      </c>
      <c r="K12" s="79">
        <f>(Manulife_ISA_CAD[ISA CAD])*100</f>
        <v>1.6</v>
      </c>
      <c r="L12" s="76">
        <f>(B2B_rates!$D$2)*100</f>
        <v>1.6</v>
      </c>
      <c r="M12" s="45">
        <f>(BNS_Rates!$C$40)*100</f>
        <v>0.25</v>
      </c>
      <c r="N12" s="45">
        <f>(HomeTrust_rates!$B$13)*100</f>
        <v>1.6</v>
      </c>
    </row>
    <row r="13" spans="1:14" x14ac:dyDescent="0.25">
      <c r="A13" s="43" t="s">
        <v>366</v>
      </c>
      <c r="B13" s="45">
        <f>(CIBC_rates!$B$25)*100</f>
        <v>1.6</v>
      </c>
      <c r="C13" s="45">
        <f>(CIBC_rates!$C$21)*100</f>
        <v>1.6</v>
      </c>
      <c r="D13" s="45">
        <f>(TD_rates!$F$40)*100</f>
        <v>1.6</v>
      </c>
      <c r="E13" s="45">
        <f>(TD_rates!$F$42)*100</f>
        <v>1.6</v>
      </c>
      <c r="F13" s="45">
        <f>(TD_rates!$F$43)*100</f>
        <v>1.6</v>
      </c>
      <c r="G13" s="45">
        <f>(TD_rates!$F$44)*100</f>
        <v>1.6</v>
      </c>
      <c r="H13" s="60">
        <v>1.6</v>
      </c>
      <c r="I13" s="45">
        <f>(RBC_Rates!$C$2)*100</f>
        <v>1.6</v>
      </c>
      <c r="J13" s="45">
        <f>(Altamira_rates!$D$4)*100</f>
        <v>1.6</v>
      </c>
      <c r="K13" s="79">
        <f>(Manulife_ISA_CAD[ISA CAD])*100</f>
        <v>1.6</v>
      </c>
      <c r="L13" s="76">
        <f>(B2B_rates!$D$2)*100</f>
        <v>1.6</v>
      </c>
      <c r="M13" s="45">
        <f>(BNS_Rates!$C$40)*100</f>
        <v>0.25</v>
      </c>
      <c r="N13" s="45">
        <f>(HomeTrust_rates!$B$13)*100</f>
        <v>1.6</v>
      </c>
    </row>
    <row r="14" spans="1:14" x14ac:dyDescent="0.25">
      <c r="A14" s="43" t="s">
        <v>367</v>
      </c>
      <c r="B14" s="45">
        <f>(CIBC_rates!$B$25)*100</f>
        <v>1.6</v>
      </c>
      <c r="C14" s="45">
        <f>(CIBC_rates!$C$21)*100</f>
        <v>1.6</v>
      </c>
      <c r="D14" s="45">
        <f>(TD_rates!$F$40)*100</f>
        <v>1.6</v>
      </c>
      <c r="E14" s="45">
        <f>(TD_rates!$F$42)*100</f>
        <v>1.6</v>
      </c>
      <c r="F14" s="45">
        <f>(TD_rates!$F$43)*100</f>
        <v>1.6</v>
      </c>
      <c r="G14" s="45">
        <f>(TD_rates!$F$44)*100</f>
        <v>1.6</v>
      </c>
      <c r="H14" s="60">
        <v>1.6</v>
      </c>
      <c r="I14" s="45">
        <f>(RBC_Rates!$C$2)*100</f>
        <v>1.6</v>
      </c>
      <c r="J14" s="45">
        <f>(Altamira_rates!$D$4)*100</f>
        <v>1.6</v>
      </c>
      <c r="K14" s="79">
        <f>(Manulife_ISA_CAD[ISA CAD])*100</f>
        <v>1.6</v>
      </c>
      <c r="L14" s="76">
        <f>(B2B_rates!$D$2)*100</f>
        <v>1.6</v>
      </c>
      <c r="M14" s="45">
        <f>(BNS_Rates!$C$40)*100</f>
        <v>0.25</v>
      </c>
      <c r="N14" s="45">
        <f>(HomeTrust_rates!$B$13)*100</f>
        <v>1.6</v>
      </c>
    </row>
    <row r="15" spans="1:14" x14ac:dyDescent="0.25">
      <c r="A15" s="43" t="s">
        <v>368</v>
      </c>
      <c r="B15" s="45">
        <f>(CIBC_rates!$B$25)*100</f>
        <v>1.6</v>
      </c>
      <c r="C15" s="45">
        <f>(CIBC_rates!$C$21)*100</f>
        <v>1.6</v>
      </c>
      <c r="D15" s="45">
        <f>(TD_rates!$F$40)*100</f>
        <v>1.6</v>
      </c>
      <c r="E15" s="45">
        <f>(TD_rates!$F$42)*100</f>
        <v>1.6</v>
      </c>
      <c r="F15" s="45">
        <f>(TD_rates!$F$43)*100</f>
        <v>1.6</v>
      </c>
      <c r="G15" s="45">
        <f>(TD_rates!$F$44)*100</f>
        <v>1.6</v>
      </c>
      <c r="H15" s="60">
        <v>1.6</v>
      </c>
      <c r="I15" s="45">
        <f>(RBC_Rates!$C$2)*100</f>
        <v>1.6</v>
      </c>
      <c r="J15" s="45">
        <f>(Altamira_rates!$D$4)*100</f>
        <v>1.6</v>
      </c>
      <c r="K15" s="79">
        <f>(Manulife_ISA_CAD[ISA CAD])*100</f>
        <v>1.6</v>
      </c>
      <c r="L15" s="76">
        <f>(B2B_rates!$D$2)*100</f>
        <v>1.6</v>
      </c>
      <c r="M15" s="45">
        <f>(BNS_Rates!$C$40)*100</f>
        <v>0.25</v>
      </c>
      <c r="N15" s="45">
        <f>(HomeTrust_rates!$B$13)*100</f>
        <v>1.6</v>
      </c>
    </row>
    <row r="16" spans="1:14" x14ac:dyDescent="0.25">
      <c r="A16" s="43" t="s">
        <v>36</v>
      </c>
      <c r="B16" s="45">
        <f>(CIBC_rates!$B$25)*100</f>
        <v>1.6</v>
      </c>
      <c r="C16" s="45">
        <f>(CIBC_rates!$C$21)*100</f>
        <v>1.6</v>
      </c>
      <c r="D16" s="45">
        <f>(TD_rates!$F$40)*100</f>
        <v>1.6</v>
      </c>
      <c r="E16" s="45">
        <f>(TD_rates!$F$42)*100</f>
        <v>1.6</v>
      </c>
      <c r="F16" s="45">
        <f>(TD_rates!$F$43)*100</f>
        <v>1.6</v>
      </c>
      <c r="G16" s="45">
        <f>(TD_rates!$F$44)*100</f>
        <v>1.6</v>
      </c>
      <c r="H16" s="60">
        <v>1.6</v>
      </c>
      <c r="I16" s="45">
        <f>(RBC_Rates!$C$2)*100</f>
        <v>1.6</v>
      </c>
      <c r="J16" s="45">
        <f>(Altamira_rates!$D$4)*100</f>
        <v>1.6</v>
      </c>
      <c r="K16" s="79">
        <f>(Manulife_ISA_CAD[ISA CAD])*100</f>
        <v>1.6</v>
      </c>
      <c r="L16" s="76">
        <f>(B2B_rates!$D$2)*100</f>
        <v>1.6</v>
      </c>
      <c r="M16" s="45">
        <f>(BNS_Rates!$C$40)*100</f>
        <v>0.25</v>
      </c>
      <c r="N16" s="45">
        <f>(HomeTrust_rates!$B$13)*100</f>
        <v>1.6</v>
      </c>
    </row>
    <row r="17" spans="1:14" x14ac:dyDescent="0.25">
      <c r="A17" s="43" t="s">
        <v>37</v>
      </c>
      <c r="B17" s="45">
        <f>(CIBC_rates!$B$25)*100</f>
        <v>1.6</v>
      </c>
      <c r="C17" s="45">
        <f>(CIBC_rates!$C$21)*100</f>
        <v>1.6</v>
      </c>
      <c r="D17" s="45">
        <f>(TD_rates!$F$40)*100</f>
        <v>1.6</v>
      </c>
      <c r="E17" s="45">
        <f>(TD_rates!$F$42)*100</f>
        <v>1.6</v>
      </c>
      <c r="F17" s="45">
        <f>(TD_rates!$F$43)*100</f>
        <v>1.6</v>
      </c>
      <c r="G17" s="45">
        <f>(TD_rates!$F$44)*100</f>
        <v>1.6</v>
      </c>
      <c r="H17" s="60">
        <v>1.6</v>
      </c>
      <c r="I17" s="45">
        <f>(RBC_Rates!$C$2)*100</f>
        <v>1.6</v>
      </c>
      <c r="J17" s="45">
        <f>(Altamira_rates!$D$4)*100</f>
        <v>1.6</v>
      </c>
      <c r="K17" s="79">
        <f>(Manulife_ISA_CAD[ISA CAD])*100</f>
        <v>1.6</v>
      </c>
      <c r="L17" s="76">
        <f>(B2B_rates!$D$2)*100</f>
        <v>1.6</v>
      </c>
      <c r="M17" s="45">
        <f>(BNS_Rates!$C$40)*100</f>
        <v>0.25</v>
      </c>
      <c r="N17" s="45">
        <f>(HomeTrust_rates!$B$13)*100</f>
        <v>1.6</v>
      </c>
    </row>
    <row r="18" spans="1:14" x14ac:dyDescent="0.25">
      <c r="A18" s="43" t="s">
        <v>38</v>
      </c>
      <c r="B18" s="45">
        <f>(CIBC_rates!$B$25)*100</f>
        <v>1.6</v>
      </c>
      <c r="C18" s="45">
        <f>(CIBC_rates!$C$21)*100</f>
        <v>1.6</v>
      </c>
      <c r="D18" s="45">
        <f>(TD_rates!$F$40)*100</f>
        <v>1.6</v>
      </c>
      <c r="E18" s="45">
        <f>(TD_rates!$F$42)*100</f>
        <v>1.6</v>
      </c>
      <c r="F18" s="45">
        <f>(TD_rates!$F$43)*100</f>
        <v>1.6</v>
      </c>
      <c r="G18" s="45">
        <f>(TD_rates!$F$44)*100</f>
        <v>1.6</v>
      </c>
      <c r="H18" s="60">
        <v>1.6</v>
      </c>
      <c r="I18" s="45">
        <f>(RBC_Rates!$C$2)*100</f>
        <v>1.6</v>
      </c>
      <c r="J18" s="45">
        <f>(Altamira_rates!$D$4)*100</f>
        <v>1.6</v>
      </c>
      <c r="K18" s="79">
        <f>(Manulife_ISA_CAD[ISA CAD])*100</f>
        <v>1.6</v>
      </c>
      <c r="L18" s="76">
        <f>(B2B_rates!$D$2)*100</f>
        <v>1.6</v>
      </c>
      <c r="M18" s="45">
        <f>(BNS_Rates!$C$40)*100</f>
        <v>0.25</v>
      </c>
      <c r="N18" s="45">
        <f>(HomeTrust_rates!$B$13)*100</f>
        <v>1.6</v>
      </c>
    </row>
    <row r="19" spans="1:14" x14ac:dyDescent="0.25">
      <c r="A19" s="43" t="s">
        <v>39</v>
      </c>
      <c r="B19" s="45">
        <f>(CIBC_rates!$B$25)*100</f>
        <v>1.6</v>
      </c>
      <c r="C19" s="45">
        <f>(CIBC_rates!$C$21)*100</f>
        <v>1.6</v>
      </c>
      <c r="D19" s="45">
        <f>(TD_rates!$F$40)*100</f>
        <v>1.6</v>
      </c>
      <c r="E19" s="45">
        <f>(TD_rates!$F$42)*100</f>
        <v>1.6</v>
      </c>
      <c r="F19" s="45">
        <f>(TD_rates!$F$43)*100</f>
        <v>1.6</v>
      </c>
      <c r="G19" s="45">
        <f>(TD_rates!$F$44)*100</f>
        <v>1.6</v>
      </c>
      <c r="H19" s="60">
        <v>1.6</v>
      </c>
      <c r="I19" s="45">
        <f>(RBC_Rates!$C$2)*100</f>
        <v>1.6</v>
      </c>
      <c r="J19" s="45">
        <f>(Altamira_rates!$D$4)*100</f>
        <v>1.6</v>
      </c>
      <c r="K19" s="79">
        <f>(Manulife_ISA_CAD[ISA CAD])*100</f>
        <v>1.6</v>
      </c>
      <c r="L19" s="76">
        <f>(B2B_rates!$D$2)*100</f>
        <v>1.6</v>
      </c>
      <c r="M19" s="45">
        <f>(BNS_Rates!$C$40)*100</f>
        <v>0.25</v>
      </c>
      <c r="N19" s="45">
        <f>(HomeTrust_rates!$B$13)*100</f>
        <v>1.6</v>
      </c>
    </row>
    <row r="20" spans="1:14" s="42" customFormat="1" x14ac:dyDescent="0.25">
      <c r="A20" s="43" t="s">
        <v>432</v>
      </c>
      <c r="B20" s="45">
        <f>(CIBC_rates!$B$25)*100</f>
        <v>1.6</v>
      </c>
      <c r="C20" s="45">
        <f>(CIBC_rates!$C$21)*100</f>
        <v>1.6</v>
      </c>
      <c r="D20" s="45">
        <f>(TD_rates!$F$40)*100</f>
        <v>1.6</v>
      </c>
      <c r="E20" s="45">
        <f>(TD_rates!$F$42)*100</f>
        <v>1.6</v>
      </c>
      <c r="F20" s="45">
        <f>(TD_rates!$F$43)*100</f>
        <v>1.6</v>
      </c>
      <c r="G20" s="45">
        <f>(TD_rates!$F$44)*100</f>
        <v>1.6</v>
      </c>
      <c r="H20" s="60">
        <v>1.6</v>
      </c>
      <c r="I20" s="45">
        <f>(RBC_Rates!$C$2)*100</f>
        <v>1.6</v>
      </c>
      <c r="J20" s="45">
        <f>(Altamira_rates!$D$4)*100</f>
        <v>1.6</v>
      </c>
      <c r="K20" s="79">
        <f>(Manulife_ISA_CAD[ISA CAD])*100</f>
        <v>1.6</v>
      </c>
      <c r="L20" s="76">
        <f>(B2B_rates!$D$2)*100</f>
        <v>1.6</v>
      </c>
      <c r="M20" s="45">
        <f>(BNS_Rates!$C$40)*100</f>
        <v>0.25</v>
      </c>
      <c r="N20" s="45">
        <f>(HomeTrust_rates!$B$13)*100</f>
        <v>1.6</v>
      </c>
    </row>
    <row r="21" spans="1:14" x14ac:dyDescent="0.25">
      <c r="A21" s="43" t="s">
        <v>433</v>
      </c>
      <c r="B21" s="45">
        <f>(CIBC_rates!$B$25)*100</f>
        <v>1.6</v>
      </c>
      <c r="C21" s="45">
        <f>(CIBC_rates!$C$21)*100</f>
        <v>1.6</v>
      </c>
      <c r="D21" s="45">
        <f>(TD_rates!$F$40)*100</f>
        <v>1.6</v>
      </c>
      <c r="E21" s="45">
        <f>(TD_rates!$F$42)*100</f>
        <v>1.6</v>
      </c>
      <c r="F21" s="45">
        <f>(TD_rates!$F$43)*100</f>
        <v>1.6</v>
      </c>
      <c r="G21" s="45">
        <f>(TD_rates!$F$44)*100</f>
        <v>1.6</v>
      </c>
      <c r="H21" s="60">
        <v>1.6</v>
      </c>
      <c r="I21" s="45" t="s">
        <v>31</v>
      </c>
      <c r="J21" s="45" t="s">
        <v>31</v>
      </c>
      <c r="K21" s="79">
        <f>(Manulife_ISA_CAD[ISA CAD])*100</f>
        <v>1.6</v>
      </c>
      <c r="L21" s="76">
        <f>(B2B_rates!$D$2)*100</f>
        <v>1.6</v>
      </c>
      <c r="M21" s="45">
        <f>(BNS_Rates!$C$40)*100</f>
        <v>0.25</v>
      </c>
      <c r="N21" s="45" t="s">
        <v>31</v>
      </c>
    </row>
    <row r="22" spans="1:14" x14ac:dyDescent="0.25">
      <c r="A22" s="9"/>
      <c r="B22" s="9"/>
      <c r="C22" s="9"/>
      <c r="D22" s="9"/>
      <c r="E22" s="9"/>
      <c r="F22" s="9"/>
      <c r="G22" s="9"/>
      <c r="H22" s="9"/>
      <c r="I22" s="9"/>
      <c r="J22" s="9"/>
      <c r="K22" s="9"/>
      <c r="L22" s="9"/>
      <c r="M22" s="22"/>
    </row>
    <row r="23" spans="1:14" hidden="1" x14ac:dyDescent="0.25">
      <c r="A23" s="10" t="s">
        <v>29</v>
      </c>
      <c r="B23" s="11">
        <v>43294</v>
      </c>
      <c r="C23" s="11">
        <v>43294</v>
      </c>
      <c r="D23" s="11">
        <v>43298</v>
      </c>
      <c r="E23" s="41">
        <v>43458</v>
      </c>
      <c r="F23" s="41">
        <v>43458</v>
      </c>
      <c r="G23" s="41">
        <v>43458</v>
      </c>
      <c r="H23" s="41">
        <v>43123</v>
      </c>
      <c r="I23" s="41">
        <v>43293</v>
      </c>
      <c r="J23" s="41">
        <v>43294</v>
      </c>
      <c r="K23" s="41">
        <v>43300</v>
      </c>
      <c r="L23" s="41">
        <v>43130</v>
      </c>
      <c r="M23" s="41">
        <v>43410</v>
      </c>
    </row>
    <row r="24" spans="1:14" hidden="1" x14ac:dyDescent="0.25">
      <c r="A24" s="14" t="s">
        <v>30</v>
      </c>
      <c r="B24" s="11">
        <v>41911</v>
      </c>
      <c r="C24" s="15">
        <v>39944</v>
      </c>
      <c r="D24" s="12">
        <v>40849</v>
      </c>
      <c r="E24" s="41"/>
      <c r="F24" s="41"/>
      <c r="G24" s="41"/>
      <c r="H24" s="41">
        <v>38961</v>
      </c>
      <c r="I24" s="41"/>
      <c r="J24" s="77"/>
      <c r="K24" s="15"/>
      <c r="L24" s="11"/>
      <c r="M24" s="11"/>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5AC07-57F7-424A-8533-B7463DAB4CE3}">
  <sheetPr codeName="Sheet20">
    <tabColor theme="6"/>
  </sheetPr>
  <dimension ref="A1:D7"/>
  <sheetViews>
    <sheetView workbookViewId="0">
      <selection activeCell="B7" sqref="B7"/>
    </sheetView>
  </sheetViews>
  <sheetFormatPr defaultRowHeight="15" x14ac:dyDescent="0.25"/>
  <cols>
    <col min="1" max="1" width="14.5703125" style="26" customWidth="1"/>
    <col min="2" max="2" width="74.28515625" style="27" customWidth="1"/>
    <col min="3" max="3" width="23.140625" style="28" customWidth="1"/>
    <col min="4" max="4" width="24.140625" style="28" customWidth="1"/>
    <col min="5" max="16384" width="9.140625" style="28"/>
  </cols>
  <sheetData>
    <row r="1" spans="1:4" customFormat="1" ht="73.5" customHeight="1" x14ac:dyDescent="0.25">
      <c r="A1" s="83" t="s">
        <v>242</v>
      </c>
      <c r="B1" s="84"/>
      <c r="C1" s="84"/>
      <c r="D1" s="84"/>
    </row>
    <row r="2" spans="1:4" customFormat="1" ht="3" customHeight="1" x14ac:dyDescent="0.25">
      <c r="A2" s="29"/>
      <c r="B2" s="30"/>
      <c r="C2" s="30"/>
      <c r="D2" s="30"/>
    </row>
    <row r="3" spans="1:4" s="23" customFormat="1" ht="15.75" x14ac:dyDescent="0.25">
      <c r="A3" s="23" t="s">
        <v>235</v>
      </c>
      <c r="B3" s="24" t="s">
        <v>237</v>
      </c>
      <c r="C3" s="23" t="s">
        <v>236</v>
      </c>
      <c r="D3" s="23" t="s">
        <v>238</v>
      </c>
    </row>
    <row r="4" spans="1:4" s="23" customFormat="1" ht="15.75" x14ac:dyDescent="0.25">
      <c r="A4" s="25"/>
      <c r="B4" s="24"/>
    </row>
    <row r="5" spans="1:4" ht="75" x14ac:dyDescent="0.25">
      <c r="A5" s="26">
        <v>43364</v>
      </c>
      <c r="B5" s="27" t="s">
        <v>241</v>
      </c>
      <c r="C5" s="28" t="s">
        <v>239</v>
      </c>
      <c r="D5" s="28" t="s">
        <v>240</v>
      </c>
    </row>
    <row r="6" spans="1:4" x14ac:dyDescent="0.25">
      <c r="A6" s="26">
        <v>43626</v>
      </c>
      <c r="B6" s="27" t="s">
        <v>377</v>
      </c>
      <c r="C6" s="28" t="s">
        <v>378</v>
      </c>
      <c r="D6" s="28" t="s">
        <v>379</v>
      </c>
    </row>
    <row r="7" spans="1:4" ht="45" x14ac:dyDescent="0.25">
      <c r="A7" s="26">
        <v>43656</v>
      </c>
      <c r="B7" s="27" t="s">
        <v>447</v>
      </c>
      <c r="C7" s="28" t="s">
        <v>378</v>
      </c>
      <c r="D7" s="28" t="s">
        <v>379</v>
      </c>
    </row>
  </sheetData>
  <mergeCells count="1">
    <mergeCell ref="A1:D1"/>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865FF-D64F-4704-AFAE-ABAA1C73EF1B}">
  <sheetPr codeName="Sheet24"/>
  <dimension ref="A1:E25"/>
  <sheetViews>
    <sheetView workbookViewId="0">
      <selection activeCell="B24" sqref="B24:B25"/>
    </sheetView>
  </sheetViews>
  <sheetFormatPr defaultRowHeight="15" x14ac:dyDescent="0.25"/>
  <cols>
    <col min="1" max="1" width="41" bestFit="1" customWidth="1"/>
    <col min="2" max="2" width="18.140625" style="42" bestFit="1" customWidth="1"/>
    <col min="3" max="3" width="12.7109375" style="42" bestFit="1" customWidth="1"/>
    <col min="4" max="4" width="18.28515625" bestFit="1" customWidth="1"/>
    <col min="5" max="5" width="12.5703125" bestFit="1" customWidth="1"/>
    <col min="7" max="7" width="12.5703125" bestFit="1" customWidth="1"/>
  </cols>
  <sheetData>
    <row r="1" spans="1:5" x14ac:dyDescent="0.25">
      <c r="B1" t="s">
        <v>151</v>
      </c>
      <c r="C1" t="s">
        <v>152</v>
      </c>
      <c r="E1" s="39" t="s">
        <v>269</v>
      </c>
    </row>
    <row r="2" spans="1:5" x14ac:dyDescent="0.25">
      <c r="A2" t="s">
        <v>153</v>
      </c>
      <c r="B2" s="18" t="s">
        <v>254</v>
      </c>
      <c r="C2" s="18">
        <v>0.01</v>
      </c>
      <c r="E2">
        <f>IF(OR(CIBC_Savings_Accounts[[#This Row],[Data.Daily Closing Balance]]="All Balances",MID(CIBC_Savings_Accounts[[#This Row],[Data.Daily Closing Balance]],9,5)="up to"),0,VALUE(TRIM(MID(CIBC_Savings_Accounts[[#This Row],[Data.Daily Closing Balance]],10,FIND(" ",CIBC_Savings_Accounts[[#This Row],[Data.Daily Closing Balance]],10)-10))))</f>
        <v>0</v>
      </c>
    </row>
    <row r="3" spans="1:5" x14ac:dyDescent="0.25">
      <c r="B3" s="18" t="s">
        <v>255</v>
      </c>
      <c r="C3" s="18">
        <v>0.01</v>
      </c>
      <c r="E3">
        <f>IF(OR(CIBC_Savings_Accounts[[#This Row],[Data.Daily Closing Balance]]="All Balances",MID(CIBC_Savings_Accounts[[#This Row],[Data.Daily Closing Balance]],9,5)="up to"),0,VALUE(TRIM(MID(CIBC_rates!$B3,10,FIND(" ",CIBC_rates!$B3,10)-10))))</f>
        <v>5000</v>
      </c>
    </row>
    <row r="4" spans="1:5" x14ac:dyDescent="0.25">
      <c r="A4" t="s">
        <v>154</v>
      </c>
      <c r="B4" s="18" t="s">
        <v>258</v>
      </c>
      <c r="C4" s="18">
        <v>5.0000000000000001E-4</v>
      </c>
      <c r="E4">
        <f>IF(OR(CIBC_Savings_Accounts[[#This Row],[Data.Daily Closing Balance]]="All Balances",MID(CIBC_Savings_Accounts[[#This Row],[Data.Daily Closing Balance]],9,5)="up to"),0,VALUE(TRIM(MID(CIBC_rates!$B4,10,FIND(" ",CIBC_rates!$B4,10)-10))))</f>
        <v>0</v>
      </c>
    </row>
    <row r="5" spans="1:5" x14ac:dyDescent="0.25">
      <c r="B5" s="18" t="s">
        <v>256</v>
      </c>
      <c r="C5" s="18">
        <v>1E-3</v>
      </c>
      <c r="E5">
        <f>IF(OR(CIBC_Savings_Accounts[[#This Row],[Data.Daily Closing Balance]]="All Balances",MID(CIBC_Savings_Accounts[[#This Row],[Data.Daily Closing Balance]],9,5)="up to"),0,VALUE(TRIM(MID(CIBC_rates!$B5,10,FIND(" ",CIBC_rates!$B5,10)-10))))</f>
        <v>3000</v>
      </c>
    </row>
    <row r="6" spans="1:5" x14ac:dyDescent="0.25">
      <c r="A6" t="s">
        <v>155</v>
      </c>
      <c r="B6" s="18" t="s">
        <v>130</v>
      </c>
      <c r="C6" s="18">
        <v>5.0000000000000001E-4</v>
      </c>
      <c r="E6">
        <f>IF(OR(CIBC_Savings_Accounts[[#This Row],[Data.Daily Closing Balance]]="All Balances",MID(CIBC_Savings_Accounts[[#This Row],[Data.Daily Closing Balance]],9,5)="up to"),0,VALUE(TRIM(MID(CIBC_rates!$B6,10,FIND(" ",CIBC_rates!$B6,10)-10))))</f>
        <v>0</v>
      </c>
    </row>
    <row r="7" spans="1:5" x14ac:dyDescent="0.25">
      <c r="A7" t="s">
        <v>156</v>
      </c>
      <c r="B7" s="18" t="s">
        <v>130</v>
      </c>
      <c r="C7" s="18">
        <v>1.5E-3</v>
      </c>
      <c r="E7">
        <f>IF(OR(CIBC_Savings_Accounts[[#This Row],[Data.Daily Closing Balance]]="All Balances",MID(CIBC_Savings_Accounts[[#This Row],[Data.Daily Closing Balance]],9,5)="up to"),0,VALUE(TRIM(MID(CIBC_rates!$B7,10,FIND(" ",CIBC_rates!$B7,10)-10))))</f>
        <v>0</v>
      </c>
    </row>
    <row r="8" spans="1:5" x14ac:dyDescent="0.25">
      <c r="A8" t="s">
        <v>33</v>
      </c>
      <c r="B8" s="18" t="s">
        <v>258</v>
      </c>
      <c r="C8" s="18">
        <v>2.5000000000000001E-3</v>
      </c>
      <c r="E8">
        <f>IF(OR(CIBC_Savings_Accounts[[#This Row],[Data.Daily Closing Balance]]="All Balances",MID(CIBC_Savings_Accounts[[#This Row],[Data.Daily Closing Balance]],9,5)="up to"),0,VALUE(TRIM(MID(CIBC_rates!$B8,10,FIND(" ",CIBC_rates!$B8,10)-10))))</f>
        <v>0</v>
      </c>
    </row>
    <row r="9" spans="1:5" x14ac:dyDescent="0.25">
      <c r="B9" s="18" t="s">
        <v>259</v>
      </c>
      <c r="C9" s="18">
        <v>2.5000000000000001E-3</v>
      </c>
      <c r="E9">
        <f>IF(OR(CIBC_Savings_Accounts[[#This Row],[Data.Daily Closing Balance]]="All Balances",MID(CIBC_Savings_Accounts[[#This Row],[Data.Daily Closing Balance]],9,5)="up to"),0,VALUE(TRIM(MID(CIBC_rates!$B9,10,FIND(" ",CIBC_rates!$B9,10)-10))))</f>
        <v>3000</v>
      </c>
    </row>
    <row r="10" spans="1:5" x14ac:dyDescent="0.25">
      <c r="B10" s="18" t="s">
        <v>260</v>
      </c>
      <c r="C10" s="18">
        <v>2.5000000000000001E-3</v>
      </c>
      <c r="E10">
        <f>IF(OR(CIBC_Savings_Accounts[[#This Row],[Data.Daily Closing Balance]]="All Balances",MID(CIBC_Savings_Accounts[[#This Row],[Data.Daily Closing Balance]],9,5)="up to"),0,VALUE(TRIM(MID(CIBC_rates!$B10,10,FIND(" ",CIBC_rates!$B10,10)-10))))</f>
        <v>10000</v>
      </c>
    </row>
    <row r="11" spans="1:5" x14ac:dyDescent="0.25">
      <c r="B11" s="18" t="s">
        <v>261</v>
      </c>
      <c r="C11" s="18">
        <v>2.5000000000000001E-3</v>
      </c>
      <c r="E11">
        <f>IF(OR(CIBC_Savings_Accounts[[#This Row],[Data.Daily Closing Balance]]="All Balances",MID(CIBC_Savings_Accounts[[#This Row],[Data.Daily Closing Balance]],9,5)="up to"),0,VALUE(TRIM(MID(CIBC_rates!$B11,10,FIND(" ",CIBC_rates!$B11,10)-10))))</f>
        <v>25000</v>
      </c>
    </row>
    <row r="12" spans="1:5" x14ac:dyDescent="0.25">
      <c r="B12" s="18" t="s">
        <v>257</v>
      </c>
      <c r="C12" s="18">
        <v>2.5000000000000001E-3</v>
      </c>
      <c r="E12">
        <f>IF(OR(CIBC_Savings_Accounts[[#This Row],[Data.Daily Closing Balance]]="All Balances",MID(CIBC_Savings_Accounts[[#This Row],[Data.Daily Closing Balance]],9,5)="up to"),0,VALUE(TRIM(MID(CIBC_rates!$B12,10,FIND(" ",CIBC_rates!$B12,10)-10))))</f>
        <v>60000</v>
      </c>
    </row>
    <row r="13" spans="1:5" x14ac:dyDescent="0.25">
      <c r="B13" s="18"/>
      <c r="C13" s="18"/>
    </row>
    <row r="20" spans="1:5" x14ac:dyDescent="0.25">
      <c r="A20" s="42" t="s">
        <v>369</v>
      </c>
      <c r="B20" t="s">
        <v>387</v>
      </c>
      <c r="C20" t="s">
        <v>388</v>
      </c>
    </row>
    <row r="21" spans="1:5" x14ac:dyDescent="0.25">
      <c r="B21" s="18" t="s">
        <v>370</v>
      </c>
      <c r="C21">
        <v>1.6E-2</v>
      </c>
      <c r="E21">
        <v>0</v>
      </c>
    </row>
    <row r="22" spans="1:5" x14ac:dyDescent="0.25">
      <c r="B22" s="18" t="s">
        <v>371</v>
      </c>
      <c r="C22">
        <v>1.7000000000000001E-2</v>
      </c>
      <c r="E22">
        <v>0</v>
      </c>
    </row>
    <row r="24" spans="1:5" x14ac:dyDescent="0.25">
      <c r="A24" t="s">
        <v>397</v>
      </c>
      <c r="B24" t="s">
        <v>385</v>
      </c>
      <c r="C24"/>
    </row>
    <row r="25" spans="1:5" x14ac:dyDescent="0.25">
      <c r="B25" s="42">
        <v>1.6E-2</v>
      </c>
      <c r="C25"/>
      <c r="E25">
        <v>0</v>
      </c>
    </row>
  </sheetData>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F44"/>
  <sheetViews>
    <sheetView workbookViewId="0">
      <selection activeCell="B29" sqref="B29:C35"/>
    </sheetView>
  </sheetViews>
  <sheetFormatPr defaultRowHeight="15" x14ac:dyDescent="0.25"/>
  <cols>
    <col min="1" max="1" width="46" bestFit="1" customWidth="1"/>
    <col min="2" max="2" width="19.85546875" bestFit="1" customWidth="1"/>
    <col min="3" max="3" width="14.7109375" bestFit="1" customWidth="1"/>
    <col min="4" max="4" width="13" bestFit="1" customWidth="1"/>
    <col min="5" max="5" width="12.28515625" bestFit="1" customWidth="1"/>
    <col min="6" max="7" width="15.5703125" bestFit="1" customWidth="1"/>
  </cols>
  <sheetData>
    <row r="2" spans="1:5" x14ac:dyDescent="0.25">
      <c r="B2" t="s">
        <v>157</v>
      </c>
      <c r="C2" t="s">
        <v>56</v>
      </c>
      <c r="E2" s="39" t="s">
        <v>269</v>
      </c>
    </row>
    <row r="3" spans="1:5" x14ac:dyDescent="0.25">
      <c r="A3" t="s">
        <v>436</v>
      </c>
      <c r="B3" s="18" t="s">
        <v>158</v>
      </c>
    </row>
    <row r="4" spans="1:5" x14ac:dyDescent="0.25">
      <c r="B4" s="18" t="s">
        <v>159</v>
      </c>
      <c r="C4">
        <v>5.0000000000000001E-4</v>
      </c>
      <c r="E4">
        <f>VALUE(LEFT(TD_Savings_Accounts[[#This Row],[Account Balance]],FIND(" ",TD_Savings_Accounts[[#This Row],[Account Balance]])))</f>
        <v>0</v>
      </c>
    </row>
    <row r="5" spans="1:5" x14ac:dyDescent="0.25">
      <c r="B5" s="18" t="s">
        <v>160</v>
      </c>
      <c r="C5">
        <v>5.0000000000000001E-4</v>
      </c>
      <c r="E5">
        <f>VALUE(LEFT(TD_Savings_Accounts[[#This Row],[Account Balance]],FIND(" ",TD_Savings_Accounts[[#This Row],[Account Balance]])))</f>
        <v>1000</v>
      </c>
    </row>
    <row r="6" spans="1:5" x14ac:dyDescent="0.25">
      <c r="B6" s="18" t="s">
        <v>161</v>
      </c>
      <c r="C6">
        <v>5.0000000000000001E-4</v>
      </c>
      <c r="E6">
        <f>VALUE(LEFT(TD_Savings_Accounts[[#This Row],[Account Balance]],FIND(" ",TD_Savings_Accounts[[#This Row],[Account Balance]])))</f>
        <v>5000</v>
      </c>
    </row>
    <row r="7" spans="1:5" x14ac:dyDescent="0.25">
      <c r="B7" s="18" t="s">
        <v>162</v>
      </c>
      <c r="C7">
        <v>5.0000000000000001E-4</v>
      </c>
      <c r="E7">
        <f>VALUE(LEFT(TD_Savings_Accounts[[#This Row],[Account Balance]],FIND(" ",TD_Savings_Accounts[[#This Row],[Account Balance]])))</f>
        <v>10000</v>
      </c>
    </row>
    <row r="8" spans="1:5" x14ac:dyDescent="0.25">
      <c r="B8" s="18" t="s">
        <v>163</v>
      </c>
      <c r="C8">
        <v>5.0000000000000001E-4</v>
      </c>
      <c r="E8">
        <f>VALUE(LEFT(TD_Savings_Accounts[[#This Row],[Account Balance]],FIND(" ",TD_Savings_Accounts[[#This Row],[Account Balance]])))</f>
        <v>25000</v>
      </c>
    </row>
    <row r="9" spans="1:5" x14ac:dyDescent="0.25">
      <c r="B9" s="18" t="s">
        <v>164</v>
      </c>
      <c r="C9">
        <v>5.0000000000000001E-4</v>
      </c>
      <c r="E9">
        <f>VALUE(LEFT(TD_Savings_Accounts[[#This Row],[Account Balance]],FIND(" ",TD_Savings_Accounts[[#This Row],[Account Balance]])))</f>
        <v>60000</v>
      </c>
    </row>
    <row r="10" spans="1:5" x14ac:dyDescent="0.25">
      <c r="B10" s="18" t="s">
        <v>165</v>
      </c>
    </row>
    <row r="11" spans="1:5" x14ac:dyDescent="0.25">
      <c r="B11" s="18" t="s">
        <v>166</v>
      </c>
      <c r="C11">
        <v>0</v>
      </c>
      <c r="E11">
        <f>VALUE(LEFT(TD_Savings_Accounts[[#This Row],[Account Balance]],FIND(" ",TD_Savings_Accounts[[#This Row],[Account Balance]])))</f>
        <v>0</v>
      </c>
    </row>
    <row r="12" spans="1:5" x14ac:dyDescent="0.25">
      <c r="B12" s="18" t="s">
        <v>389</v>
      </c>
      <c r="C12">
        <v>5.0000000000000001E-3</v>
      </c>
      <c r="E12">
        <f>VALUE(LEFT(TD_Savings_Accounts[[#This Row],[Account Balance]],FIND(" ",TD_Savings_Accounts[[#This Row],[Account Balance]])))</f>
        <v>5000</v>
      </c>
    </row>
    <row r="13" spans="1:5" x14ac:dyDescent="0.25">
      <c r="B13" s="18" t="s">
        <v>390</v>
      </c>
      <c r="C13">
        <v>5.0000000000000001E-3</v>
      </c>
      <c r="E13">
        <f>VALUE(LEFT(TD_Savings_Accounts[[#This Row],[Account Balance]],FIND(" ",TD_Savings_Accounts[[#This Row],[Account Balance]])))</f>
        <v>50000</v>
      </c>
    </row>
    <row r="14" spans="1:5" x14ac:dyDescent="0.25">
      <c r="B14" s="18" t="s">
        <v>391</v>
      </c>
      <c r="C14">
        <v>5.0000000000000001E-3</v>
      </c>
      <c r="E14" t="e">
        <f>VALUE(LEFT(TD_Savings_Accounts[[#This Row],[Account Balance]],FIND(" ",TD_Savings_Accounts[[#This Row],[Account Balance]])))</f>
        <v>#VALUE!</v>
      </c>
    </row>
    <row r="15" spans="1:5" x14ac:dyDescent="0.25">
      <c r="B15" s="18" t="s">
        <v>392</v>
      </c>
      <c r="C15">
        <v>5.0000000000000001E-3</v>
      </c>
      <c r="E15">
        <f>VALUE(LEFT(TD_Savings_Accounts[[#This Row],[Account Balance]],FIND(" ",TD_Savings_Accounts[[#This Row],[Account Balance]])))</f>
        <v>250000</v>
      </c>
    </row>
    <row r="16" spans="1:5" x14ac:dyDescent="0.25">
      <c r="B16" s="18" t="s">
        <v>393</v>
      </c>
      <c r="C16">
        <v>5.0000000000000001E-3</v>
      </c>
      <c r="E16">
        <f>VALUE(LEFT(TD_Savings_Accounts[[#This Row],[Account Balance]],FIND(" ",TD_Savings_Accounts[[#This Row],[Account Balance]])))</f>
        <v>1000000.01</v>
      </c>
    </row>
    <row r="17" spans="1:5" x14ac:dyDescent="0.25">
      <c r="B17" s="18" t="s">
        <v>167</v>
      </c>
    </row>
    <row r="18" spans="1:5" x14ac:dyDescent="0.25">
      <c r="B18" s="18" t="s">
        <v>394</v>
      </c>
      <c r="C18">
        <v>0</v>
      </c>
      <c r="E18">
        <f>VALUE(LEFT(TD_Savings_Accounts[[#This Row],[Account Balance]],FIND(" ",TD_Savings_Accounts[[#This Row],[Account Balance]])))</f>
        <v>0</v>
      </c>
    </row>
    <row r="19" spans="1:5" x14ac:dyDescent="0.25">
      <c r="B19" s="18" t="s">
        <v>395</v>
      </c>
      <c r="C19">
        <v>1.0500000000000001E-2</v>
      </c>
      <c r="E19">
        <f>VALUE(LEFT(TD_Savings_Accounts[[#This Row],[Account Balance]],FIND(" ",TD_Savings_Accounts[[#This Row],[Account Balance]])))</f>
        <v>10000</v>
      </c>
    </row>
    <row r="20" spans="1:5" x14ac:dyDescent="0.25">
      <c r="B20" s="18" t="s">
        <v>390</v>
      </c>
      <c r="C20">
        <v>1.0500000000000001E-2</v>
      </c>
      <c r="E20">
        <f>VALUE(LEFT(TD_Savings_Accounts[[#This Row],[Account Balance]],FIND(" ",TD_Savings_Accounts[[#This Row],[Account Balance]])))</f>
        <v>50000</v>
      </c>
    </row>
    <row r="21" spans="1:5" x14ac:dyDescent="0.25">
      <c r="B21" s="18" t="s">
        <v>396</v>
      </c>
      <c r="C21">
        <v>1.0500000000000001E-2</v>
      </c>
      <c r="E21">
        <f>VALUE(LEFT(TD_Savings_Accounts[[#This Row],[Account Balance]],FIND(" ",TD_Savings_Accounts[[#This Row],[Account Balance]])))</f>
        <v>100000</v>
      </c>
    </row>
    <row r="22" spans="1:5" x14ac:dyDescent="0.25">
      <c r="B22" s="18" t="s">
        <v>392</v>
      </c>
      <c r="C22">
        <v>1.0500000000000001E-2</v>
      </c>
      <c r="E22">
        <f>VALUE(LEFT(TD_Savings_Accounts[[#This Row],[Account Balance]],FIND(" ",TD_Savings_Accounts[[#This Row],[Account Balance]])))</f>
        <v>250000</v>
      </c>
    </row>
    <row r="23" spans="1:5" x14ac:dyDescent="0.25">
      <c r="B23" s="18" t="s">
        <v>393</v>
      </c>
      <c r="C23">
        <v>1.0500000000000001E-2</v>
      </c>
      <c r="E23">
        <f>VALUE(LEFT(TD_Savings_Accounts[[#This Row],[Account Balance]],FIND(" ",TD_Savings_Accounts[[#This Row],[Account Balance]])))</f>
        <v>1000000.01</v>
      </c>
    </row>
    <row r="24" spans="1:5" x14ac:dyDescent="0.25">
      <c r="B24" s="18" t="s">
        <v>168</v>
      </c>
    </row>
    <row r="25" spans="1:5" x14ac:dyDescent="0.25">
      <c r="B25" s="18" t="s">
        <v>166</v>
      </c>
      <c r="C25">
        <v>5.0000000000000001E-4</v>
      </c>
      <c r="E25">
        <f>VALUE(LEFT(TD_Savings_Accounts[[#This Row],[Account Balance]],FIND(" ",TD_Savings_Accounts[[#This Row],[Account Balance]])))</f>
        <v>0</v>
      </c>
    </row>
    <row r="26" spans="1:5" x14ac:dyDescent="0.25">
      <c r="B26" s="18" t="s">
        <v>169</v>
      </c>
      <c r="C26">
        <v>1E-3</v>
      </c>
      <c r="E26">
        <f>VALUE(LEFT(TD_Savings_Accounts[[#This Row],[Account Balance]],FIND(" ",TD_Savings_Accounts[[#This Row],[Account Balance]])))</f>
        <v>5000</v>
      </c>
    </row>
    <row r="29" spans="1:5" x14ac:dyDescent="0.25">
      <c r="A29" t="s">
        <v>372</v>
      </c>
      <c r="B29" s="42" t="s">
        <v>157</v>
      </c>
      <c r="C29" s="42" t="s">
        <v>56</v>
      </c>
      <c r="D29" s="42"/>
      <c r="E29" s="39"/>
    </row>
    <row r="30" spans="1:5" x14ac:dyDescent="0.25">
      <c r="B30" s="18" t="s">
        <v>159</v>
      </c>
      <c r="C30" s="18">
        <v>0</v>
      </c>
      <c r="D30" s="42"/>
      <c r="E30" s="18">
        <f>VALUE(LEFT(TD_US_Daily_Interest[[#This Row],[Account Balance]],FIND(" ",TD_US_Daily_Interest[[#This Row],[Account Balance]])))</f>
        <v>0</v>
      </c>
    </row>
    <row r="31" spans="1:5" x14ac:dyDescent="0.25">
      <c r="B31" s="18" t="s">
        <v>160</v>
      </c>
      <c r="C31" s="18">
        <v>1E-4</v>
      </c>
      <c r="D31" s="42"/>
      <c r="E31" s="18">
        <f>VALUE(LEFT(TD_US_Daily_Interest[[#This Row],[Account Balance]],FIND(" ",TD_US_Daily_Interest[[#This Row],[Account Balance]])))</f>
        <v>1000</v>
      </c>
    </row>
    <row r="32" spans="1:5" x14ac:dyDescent="0.25">
      <c r="B32" s="18" t="s">
        <v>161</v>
      </c>
      <c r="C32" s="18">
        <v>2.5000000000000001E-4</v>
      </c>
      <c r="D32" s="42"/>
      <c r="E32" s="18">
        <f>VALUE(LEFT(TD_US_Daily_Interest[[#This Row],[Account Balance]],FIND(" ",TD_US_Daily_Interest[[#This Row],[Account Balance]])))</f>
        <v>5000</v>
      </c>
    </row>
    <row r="33" spans="1:6" x14ac:dyDescent="0.25">
      <c r="B33" s="18" t="s">
        <v>162</v>
      </c>
      <c r="C33" s="18">
        <v>5.0000000000000001E-4</v>
      </c>
      <c r="D33" s="42"/>
      <c r="E33" s="18">
        <f>VALUE(LEFT(TD_US_Daily_Interest[[#This Row],[Account Balance]],FIND(" ",TD_US_Daily_Interest[[#This Row],[Account Balance]])))</f>
        <v>10000</v>
      </c>
    </row>
    <row r="34" spans="1:6" x14ac:dyDescent="0.25">
      <c r="B34" s="18" t="s">
        <v>163</v>
      </c>
      <c r="C34" s="18">
        <v>1E-3</v>
      </c>
      <c r="D34" s="42"/>
      <c r="E34" s="18">
        <f>VALUE(LEFT(TD_US_Daily_Interest[[#This Row],[Account Balance]],FIND(" ",TD_US_Daily_Interest[[#This Row],[Account Balance]])))</f>
        <v>25000</v>
      </c>
    </row>
    <row r="35" spans="1:6" x14ac:dyDescent="0.25">
      <c r="B35" s="18" t="s">
        <v>164</v>
      </c>
      <c r="C35" s="18">
        <v>1E-3</v>
      </c>
      <c r="D35" s="42"/>
      <c r="E35" s="18">
        <f>VALUE(LEFT(TD_US_Daily_Interest[[#This Row],[Account Balance]],FIND(" ",TD_US_Daily_Interest[[#This Row],[Account Balance]])))</f>
        <v>60000</v>
      </c>
    </row>
    <row r="39" spans="1:6" x14ac:dyDescent="0.25">
      <c r="A39" t="s">
        <v>435</v>
      </c>
      <c r="B39" t="s">
        <v>224</v>
      </c>
      <c r="C39" t="s">
        <v>225</v>
      </c>
      <c r="D39" t="s">
        <v>226</v>
      </c>
      <c r="E39" t="s">
        <v>227</v>
      </c>
      <c r="F39" t="s">
        <v>228</v>
      </c>
    </row>
    <row r="40" spans="1:6" x14ac:dyDescent="0.25">
      <c r="B40" s="18" t="s">
        <v>229</v>
      </c>
      <c r="C40" s="18" t="s">
        <v>182</v>
      </c>
      <c r="D40">
        <v>1000</v>
      </c>
      <c r="E40" s="18" t="s">
        <v>230</v>
      </c>
      <c r="F40">
        <v>1.6E-2</v>
      </c>
    </row>
    <row r="41" spans="1:6" x14ac:dyDescent="0.25">
      <c r="B41" s="18" t="s">
        <v>231</v>
      </c>
      <c r="C41" s="18" t="s">
        <v>183</v>
      </c>
      <c r="D41">
        <v>1000</v>
      </c>
      <c r="E41" s="18" t="s">
        <v>230</v>
      </c>
      <c r="F41">
        <v>1.7000000000000001E-2</v>
      </c>
    </row>
    <row r="42" spans="1:6" x14ac:dyDescent="0.25">
      <c r="B42" s="18" t="s">
        <v>232</v>
      </c>
      <c r="C42" s="18" t="s">
        <v>182</v>
      </c>
      <c r="D42">
        <v>1000</v>
      </c>
      <c r="E42" s="18" t="s">
        <v>212</v>
      </c>
      <c r="F42">
        <v>1.6E-2</v>
      </c>
    </row>
    <row r="43" spans="1:6" x14ac:dyDescent="0.25">
      <c r="B43" s="18" t="s">
        <v>233</v>
      </c>
      <c r="C43" s="18" t="s">
        <v>182</v>
      </c>
      <c r="D43">
        <v>1000</v>
      </c>
      <c r="E43" s="18" t="s">
        <v>212</v>
      </c>
      <c r="F43">
        <v>1.6E-2</v>
      </c>
    </row>
    <row r="44" spans="1:6" x14ac:dyDescent="0.25">
      <c r="B44" s="18" t="s">
        <v>234</v>
      </c>
      <c r="C44" s="18" t="s">
        <v>182</v>
      </c>
      <c r="D44">
        <v>1000</v>
      </c>
      <c r="E44" s="18" t="s">
        <v>212</v>
      </c>
      <c r="F44">
        <v>1.6E-2</v>
      </c>
    </row>
  </sheetData>
  <pageMargins left="0.7" right="0.7" top="0.75" bottom="0.75" header="0.3" footer="0.3"/>
  <tableParts count="3">
    <tablePart r:id="rId1"/>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FDDCC-9F3B-4B17-A26F-88F6BA179EFE}">
  <sheetPr codeName="Sheet18"/>
  <dimension ref="A1:E15"/>
  <sheetViews>
    <sheetView workbookViewId="0">
      <selection activeCell="B1" sqref="B1:C14"/>
    </sheetView>
  </sheetViews>
  <sheetFormatPr defaultRowHeight="15" x14ac:dyDescent="0.25"/>
  <cols>
    <col min="1" max="1" width="39.140625" bestFit="1" customWidth="1"/>
    <col min="2" max="2" width="74.7109375" bestFit="1" customWidth="1"/>
    <col min="3" max="3" width="14.7109375" bestFit="1" customWidth="1"/>
    <col min="4" max="4" width="10.5703125" customWidth="1"/>
    <col min="5" max="5" width="14.7109375" bestFit="1" customWidth="1"/>
    <col min="6" max="6" width="18.7109375" bestFit="1" customWidth="1"/>
    <col min="7" max="7" width="15.7109375" bestFit="1" customWidth="1"/>
  </cols>
  <sheetData>
    <row r="1" spans="1:5" x14ac:dyDescent="0.25">
      <c r="B1" t="s">
        <v>247</v>
      </c>
      <c r="C1" t="s">
        <v>56</v>
      </c>
      <c r="E1" s="39" t="s">
        <v>269</v>
      </c>
    </row>
    <row r="2" spans="1:5" x14ac:dyDescent="0.25">
      <c r="A2" t="s">
        <v>278</v>
      </c>
      <c r="B2" s="18" t="s">
        <v>250</v>
      </c>
      <c r="C2">
        <v>2E-3</v>
      </c>
      <c r="E2">
        <f>IF(OR(BMO_Savings_Accounts[[#This Row],[Balance]]="All Balances",MID(BMO_Savings_Accounts[[#This Row],[Balance]],1,5)="up to"),0,VALUE(TRIM(MID(BMO_Savings_Accounts[[#This Row],[Balance]],2,FIND(" ",BMO_Savings_Accounts[[#This Row],[Balance]],2)-2))))</f>
        <v>0</v>
      </c>
    </row>
    <row r="3" spans="1:5" x14ac:dyDescent="0.25">
      <c r="B3" s="18" t="s">
        <v>251</v>
      </c>
      <c r="C3">
        <v>1.6E-2</v>
      </c>
      <c r="E3">
        <f>IF(OR(BMO_Savings_Accounts[[#This Row],[Balance]]="All Balances",MID(BMO_Savings_Accounts[[#This Row],[Balance]],1,5)="up to"),0,VALUE(TRIM(MID(BMO_Savings_Accounts[[#This Row],[Balance]],2,FIND(" ",BMO_Savings_Accounts[[#This Row],[Balance]],2)-2))))</f>
        <v>0</v>
      </c>
    </row>
    <row r="4" spans="1:5" x14ac:dyDescent="0.25">
      <c r="B4" s="18" t="s">
        <v>252</v>
      </c>
      <c r="C4">
        <v>2E-3</v>
      </c>
      <c r="E4">
        <f>IF(OR(BMO_Savings_Accounts[[#This Row],[Balance]]="All Balances",MID(BMO_Savings_Accounts[[#This Row],[Balance]],1,5)="up to"),0,VALUE(TRIM(MID(BMO_Savings_Accounts[[#This Row],[Balance]],2,FIND(" ",BMO_Savings_Accounts[[#This Row],[Balance]],2)-2))))</f>
        <v>250000.01</v>
      </c>
    </row>
    <row r="5" spans="1:5" x14ac:dyDescent="0.25">
      <c r="A5" s="40" t="s">
        <v>275</v>
      </c>
      <c r="B5" s="18" t="s">
        <v>253</v>
      </c>
      <c r="C5">
        <v>8.0000000000000002E-3</v>
      </c>
      <c r="E5">
        <f>IF(OR(BMO_Savings_Accounts[[#This Row],[Balance]]="All Balances",MID(BMO_Savings_Accounts[[#This Row],[Balance]],1,5)="up to"),0,VALUE(TRIM(MID(BMO_Savings_Accounts[[#This Row],[Balance]],2,FIND(" ",BMO_Savings_Accounts[[#This Row],[Balance]],2)-2))))</f>
        <v>0</v>
      </c>
    </row>
    <row r="6" spans="1:5" x14ac:dyDescent="0.25">
      <c r="B6" s="18" t="s">
        <v>61</v>
      </c>
      <c r="C6">
        <v>8.0000000000000002E-3</v>
      </c>
      <c r="E6">
        <f>IF(OR(BMO_Savings_Accounts[[#This Row],[Balance]]="All Balances",MID(BMO_Savings_Accounts[[#This Row],[Balance]],1,5)="up to"),0,VALUE(TRIM(MID(BMO_Savings_Accounts[[#This Row],[Balance]],2,FIND(" ",BMO_Savings_Accounts[[#This Row],[Balance]],2)-2))))</f>
        <v>5000</v>
      </c>
    </row>
    <row r="7" spans="1:5" x14ac:dyDescent="0.25">
      <c r="A7" s="40" t="s">
        <v>276</v>
      </c>
      <c r="B7" s="18" t="s">
        <v>248</v>
      </c>
      <c r="C7">
        <v>5.0000000000000001E-4</v>
      </c>
      <c r="E7">
        <f>IF(OR(BMO_Savings_Accounts[[#This Row],[Balance]]="All Balances",MID(BMO_Savings_Accounts[[#This Row],[Balance]],1,5)="up to"),0,VALUE(TRIM(MID(BMO_Savings_Accounts[[#This Row],[Balance]],2,FIND(" ",BMO_Savings_Accounts[[#This Row],[Balance]],2)-2))))</f>
        <v>0</v>
      </c>
    </row>
    <row r="8" spans="1:5" x14ac:dyDescent="0.25">
      <c r="B8" s="18" t="s">
        <v>249</v>
      </c>
      <c r="C8">
        <v>5.0000000000000001E-4</v>
      </c>
      <c r="E8">
        <f>IF(OR(BMO_Savings_Accounts[[#This Row],[Balance]]="All Balances",MID(BMO_Savings_Accounts[[#This Row],[Balance]],1,5)="up to"),0,VALUE(TRIM(MID(BMO_Savings_Accounts[[#This Row],[Balance]],2,FIND(" ",BMO_Savings_Accounts[[#This Row],[Balance]],2)-2))))</f>
        <v>60000</v>
      </c>
    </row>
    <row r="9" spans="1:5" x14ac:dyDescent="0.25">
      <c r="A9" s="40" t="s">
        <v>279</v>
      </c>
      <c r="B9" s="18" t="s">
        <v>248</v>
      </c>
      <c r="C9">
        <v>5.0000000000000001E-4</v>
      </c>
      <c r="E9">
        <f>IF(OR(BMO_Savings_Accounts[[#This Row],[Balance]]="All Balances",MID(BMO_Savings_Accounts[[#This Row],[Balance]],1,5)="up to"),0,VALUE(TRIM(MID(BMO_Savings_Accounts[[#This Row],[Balance]],2,FIND(" ",BMO_Savings_Accounts[[#This Row],[Balance]],2)-2))))</f>
        <v>0</v>
      </c>
    </row>
    <row r="10" spans="1:5" x14ac:dyDescent="0.25">
      <c r="B10" s="18" t="s">
        <v>249</v>
      </c>
      <c r="C10">
        <v>5.0000000000000001E-4</v>
      </c>
      <c r="E10">
        <f>IF(OR(BMO_Savings_Accounts[[#This Row],[Balance]]="All Balances",MID(BMO_Savings_Accounts[[#This Row],[Balance]],1,5)="up to"),0,VALUE(TRIM(MID(BMO_Savings_Accounts[[#This Row],[Balance]],2,FIND(" ",BMO_Savings_Accounts[[#This Row],[Balance]],2)-2))))</f>
        <v>60000</v>
      </c>
    </row>
    <row r="11" spans="1:5" x14ac:dyDescent="0.25">
      <c r="A11" s="40" t="s">
        <v>277</v>
      </c>
      <c r="B11" s="18" t="s">
        <v>271</v>
      </c>
      <c r="C11">
        <v>1E-4</v>
      </c>
      <c r="E11">
        <f>IF(OR(BMO_Savings_Accounts[[#This Row],[Balance]]="All Balances",MID(BMO_Savings_Accounts[[#This Row],[Balance]],1,5)="up to"),0,VALUE(TRIM(MID(BMO_Savings_Accounts[[#This Row],[Balance]],2,FIND(" ",BMO_Savings_Accounts[[#This Row],[Balance]],2)-2))))</f>
        <v>0</v>
      </c>
    </row>
    <row r="12" spans="1:5" x14ac:dyDescent="0.25">
      <c r="B12" s="18" t="s">
        <v>272</v>
      </c>
      <c r="C12">
        <v>1E-4</v>
      </c>
      <c r="E12">
        <f>IF(OR(BMO_Savings_Accounts[[#This Row],[Balance]]="All Balances",MID(BMO_Savings_Accounts[[#This Row],[Balance]],1,5)="up to"),0,VALUE(TRIM(MID(BMO_Savings_Accounts[[#This Row],[Balance]],2,FIND(" ",BMO_Savings_Accounts[[#This Row],[Balance]],2)-2))))</f>
        <v>5000</v>
      </c>
    </row>
    <row r="13" spans="1:5" x14ac:dyDescent="0.25">
      <c r="B13" s="18" t="s">
        <v>273</v>
      </c>
      <c r="C13">
        <v>1E-4</v>
      </c>
      <c r="E13">
        <f>IF(OR(BMO_Savings_Accounts[[#This Row],[Balance]]="All Balances",MID(BMO_Savings_Accounts[[#This Row],[Balance]],1,5)="up to"),0,VALUE(TRIM(MID(BMO_Savings_Accounts[[#This Row],[Balance]],2,FIND(" ",BMO_Savings_Accounts[[#This Row],[Balance]],2)-2))))</f>
        <v>25000</v>
      </c>
    </row>
    <row r="14" spans="1:5" x14ac:dyDescent="0.25">
      <c r="B14" s="18" t="s">
        <v>274</v>
      </c>
      <c r="C14">
        <v>1E-4</v>
      </c>
      <c r="E14">
        <f>IF(OR(BMO_Savings_Accounts[[#This Row],[Balance]]="All Balances",MID(BMO_Savings_Accounts[[#This Row],[Balance]],1,5)="up to"),0,VALUE(TRIM(MID(BMO_Savings_Accounts[[#This Row],[Balance]],2,FIND(" ",BMO_Savings_Accounts[[#This Row],[Balance]],2)-2))))</f>
        <v>60000</v>
      </c>
    </row>
    <row r="15" spans="1:5" x14ac:dyDescent="0.25">
      <c r="B15" s="18"/>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A413E-D786-4F77-A591-15816D87DF8A}">
  <sheetPr codeName="Sheet8"/>
  <dimension ref="A1:G45"/>
  <sheetViews>
    <sheetView workbookViewId="0">
      <selection activeCell="B1" sqref="B1:E36"/>
    </sheetView>
  </sheetViews>
  <sheetFormatPr defaultRowHeight="15" x14ac:dyDescent="0.25"/>
  <cols>
    <col min="1" max="1" width="62.42578125" bestFit="1" customWidth="1"/>
    <col min="2" max="2" width="55.85546875" bestFit="1" customWidth="1"/>
    <col min="3" max="3" width="8.42578125" bestFit="1" customWidth="1"/>
    <col min="4" max="4" width="8.28515625" bestFit="1" customWidth="1"/>
    <col min="5" max="5" width="23.7109375" bestFit="1" customWidth="1"/>
    <col min="7" max="7" width="12.5703125" bestFit="1" customWidth="1"/>
  </cols>
  <sheetData>
    <row r="1" spans="1:7" x14ac:dyDescent="0.25">
      <c r="B1" t="s">
        <v>157</v>
      </c>
      <c r="C1" t="s">
        <v>316</v>
      </c>
      <c r="D1" t="s">
        <v>317</v>
      </c>
      <c r="E1" t="s">
        <v>315</v>
      </c>
      <c r="G1" s="39" t="s">
        <v>269</v>
      </c>
    </row>
    <row r="2" spans="1:7" x14ac:dyDescent="0.25">
      <c r="A2" t="s">
        <v>422</v>
      </c>
      <c r="B2" s="18" t="s">
        <v>139</v>
      </c>
      <c r="C2" s="42">
        <v>2.0000000000000001E-4</v>
      </c>
      <c r="D2" s="42"/>
      <c r="E2" s="42"/>
      <c r="G2">
        <f>IF(MID(BNS_Savings_Accounts[[#This Row],[Account Balance]],1,5)="Under",0,VALUE(TRIM(MID(BNS_Savings_Accounts[[#This Row],[Account Balance]],2,FIND(" ",BNS_Savings_Accounts[[#This Row],[Account Balance]],2)-2))))</f>
        <v>0</v>
      </c>
    </row>
    <row r="3" spans="1:7" x14ac:dyDescent="0.25">
      <c r="B3" s="18" t="s">
        <v>135</v>
      </c>
      <c r="C3" s="42">
        <v>2.0000000000000001E-4</v>
      </c>
      <c r="D3" s="42"/>
      <c r="E3" s="42"/>
      <c r="G3" s="42">
        <f>IF(MID(BNS_Savings_Accounts[[#This Row],[Account Balance]],1,5)="Under",0,VALUE(TRIM(MID(BNS_Savings_Accounts[[#This Row],[Account Balance]],2,FIND(" ",BNS_Savings_Accounts[[#This Row],[Account Balance]],2)-2))))</f>
        <v>5000</v>
      </c>
    </row>
    <row r="4" spans="1:7" x14ac:dyDescent="0.25">
      <c r="A4" t="s">
        <v>421</v>
      </c>
      <c r="B4" s="18" t="s">
        <v>139</v>
      </c>
      <c r="C4" s="42">
        <v>2.0000000000000001E-4</v>
      </c>
      <c r="D4" s="42"/>
      <c r="E4" s="42"/>
      <c r="G4" s="42">
        <f>IF(MID(BNS_Savings_Accounts[[#This Row],[Account Balance]],1,5)="Under",0,VALUE(TRIM(MID(BNS_Savings_Accounts[[#This Row],[Account Balance]],2,FIND(" ",BNS_Savings_Accounts[[#This Row],[Account Balance]],2)-2))))</f>
        <v>0</v>
      </c>
    </row>
    <row r="5" spans="1:7" x14ac:dyDescent="0.25">
      <c r="B5" s="18" t="s">
        <v>135</v>
      </c>
      <c r="C5" s="42">
        <v>2.0000000000000001E-4</v>
      </c>
      <c r="D5" s="42"/>
      <c r="E5" s="42"/>
      <c r="G5" s="42">
        <f>IF(MID(BNS_Savings_Accounts[[#This Row],[Account Balance]],1,5)="Under",0,VALUE(TRIM(MID(BNS_Savings_Accounts[[#This Row],[Account Balance]],2,FIND(" ",BNS_Savings_Accounts[[#This Row],[Account Balance]],2)-2))))</f>
        <v>5000</v>
      </c>
    </row>
    <row r="6" spans="1:7" x14ac:dyDescent="0.25">
      <c r="A6" t="s">
        <v>420</v>
      </c>
      <c r="B6" s="18" t="s">
        <v>410</v>
      </c>
      <c r="C6" s="42">
        <v>0</v>
      </c>
      <c r="D6" s="42"/>
      <c r="E6" s="42"/>
      <c r="G6" s="42">
        <f>IF(MID(BNS_Savings_Accounts[[#This Row],[Account Balance]],1,5)="Under",0,VALUE(TRIM(MID(BNS_Savings_Accounts[[#This Row],[Account Balance]],2,FIND(" ",BNS_Savings_Accounts[[#This Row],[Account Balance]],2)-2))))</f>
        <v>0</v>
      </c>
    </row>
    <row r="7" spans="1:7" x14ac:dyDescent="0.25">
      <c r="B7" s="18" t="s">
        <v>411</v>
      </c>
      <c r="C7" s="42">
        <v>2.0000000000000001E-4</v>
      </c>
      <c r="D7" s="42"/>
      <c r="E7" s="42"/>
      <c r="G7" s="42">
        <f>IF(MID(BNS_Savings_Accounts[[#This Row],[Account Balance]],1,5)="Under",0,VALUE(TRIM(MID(BNS_Savings_Accounts[[#This Row],[Account Balance]],2,FIND(" ",BNS_Savings_Accounts[[#This Row],[Account Balance]],2)-2))))</f>
        <v>25000</v>
      </c>
    </row>
    <row r="8" spans="1:7" x14ac:dyDescent="0.25">
      <c r="A8" t="s">
        <v>419</v>
      </c>
      <c r="B8" s="18" t="s">
        <v>136</v>
      </c>
      <c r="C8" s="42">
        <v>0</v>
      </c>
      <c r="D8" s="42"/>
      <c r="E8" s="42"/>
      <c r="G8" s="42">
        <f>IF(MID(BNS_Savings_Accounts[[#This Row],[Account Balance]],1,5)="Under",0,VALUE(TRIM(MID(BNS_Savings_Accounts[[#This Row],[Account Balance]],2,FIND(" ",BNS_Savings_Accounts[[#This Row],[Account Balance]],2)-2))))</f>
        <v>0</v>
      </c>
    </row>
    <row r="9" spans="1:7" x14ac:dyDescent="0.25">
      <c r="B9" s="18" t="s">
        <v>135</v>
      </c>
      <c r="C9" s="42">
        <v>2.0000000000000001E-4</v>
      </c>
      <c r="D9" s="42"/>
      <c r="E9" s="42"/>
      <c r="G9" s="42">
        <f>IF(MID(BNS_Savings_Accounts[[#This Row],[Account Balance]],1,5)="Under",0,VALUE(TRIM(MID(BNS_Savings_Accounts[[#This Row],[Account Balance]],2,FIND(" ",BNS_Savings_Accounts[[#This Row],[Account Balance]],2)-2))))</f>
        <v>5000</v>
      </c>
    </row>
    <row r="10" spans="1:7" x14ac:dyDescent="0.25">
      <c r="A10" t="s">
        <v>418</v>
      </c>
      <c r="B10" s="18" t="s">
        <v>136</v>
      </c>
      <c r="C10" s="42">
        <v>2.0000000000000001E-4</v>
      </c>
      <c r="D10" s="42"/>
      <c r="E10" s="42"/>
      <c r="G10" s="42">
        <f>IF(MID(BNS_Savings_Accounts[[#This Row],[Account Balance]],1,5)="Under",0,VALUE(TRIM(MID(BNS_Savings_Accounts[[#This Row],[Account Balance]],2,FIND(" ",BNS_Savings_Accounts[[#This Row],[Account Balance]],2)-2))))</f>
        <v>0</v>
      </c>
    </row>
    <row r="11" spans="1:7" x14ac:dyDescent="0.25">
      <c r="B11" s="18" t="s">
        <v>135</v>
      </c>
      <c r="C11" s="42">
        <v>2.0000000000000001E-4</v>
      </c>
      <c r="D11" s="42"/>
      <c r="E11" s="42"/>
      <c r="G11" s="42">
        <f>IF(MID(BNS_Savings_Accounts[[#This Row],[Account Balance]],1,5)="Under",0,VALUE(TRIM(MID(BNS_Savings_Accounts[[#This Row],[Account Balance]],2,FIND(" ",BNS_Savings_Accounts[[#This Row],[Account Balance]],2)-2))))</f>
        <v>5000</v>
      </c>
    </row>
    <row r="12" spans="1:7" x14ac:dyDescent="0.25">
      <c r="A12" s="42" t="s">
        <v>417</v>
      </c>
      <c r="B12" s="18" t="s">
        <v>412</v>
      </c>
      <c r="C12" s="42">
        <v>0</v>
      </c>
      <c r="D12" s="42"/>
      <c r="E12" s="42"/>
      <c r="G12" s="42">
        <f>IF(MID(BNS_Savings_Accounts[[#This Row],[Account Balance]],1,5)="Under",0,VALUE(TRIM(MID(BNS_Savings_Accounts[[#This Row],[Account Balance]],2,FIND(" ",BNS_Savings_Accounts[[#This Row],[Account Balance]],2)-2))))</f>
        <v>0</v>
      </c>
    </row>
    <row r="13" spans="1:7" x14ac:dyDescent="0.25">
      <c r="B13" s="18" t="s">
        <v>413</v>
      </c>
      <c r="C13" s="42">
        <v>1E-4</v>
      </c>
      <c r="D13" s="42"/>
      <c r="E13" s="42"/>
      <c r="G13" s="42">
        <f>IF(MID(BNS_Savings_Accounts[[#This Row],[Account Balance]],1,5)="Under",0,VALUE(TRIM(MID(BNS_Savings_Accounts[[#This Row],[Account Balance]],2,FIND(" ",BNS_Savings_Accounts[[#This Row],[Account Balance]],2)-2))))</f>
        <v>5000</v>
      </c>
    </row>
    <row r="14" spans="1:7" x14ac:dyDescent="0.25">
      <c r="B14" s="18" t="s">
        <v>414</v>
      </c>
      <c r="C14" s="42">
        <v>2.5000000000000001E-4</v>
      </c>
      <c r="D14" s="42"/>
      <c r="E14" s="42"/>
      <c r="G14" s="42">
        <f>IF(MID(BNS_Savings_Accounts[[#This Row],[Account Balance]],1,5)="Under",0,VALUE(TRIM(MID(BNS_Savings_Accounts[[#This Row],[Account Balance]],2,FIND(" ",BNS_Savings_Accounts[[#This Row],[Account Balance]],2)-2))))</f>
        <v>10000</v>
      </c>
    </row>
    <row r="15" spans="1:7" x14ac:dyDescent="0.25">
      <c r="B15" s="18" t="s">
        <v>415</v>
      </c>
      <c r="C15" s="42">
        <v>5.0000000000000001E-4</v>
      </c>
      <c r="D15" s="42"/>
      <c r="E15" s="42"/>
      <c r="G15" s="42">
        <f>IF(MID(BNS_Savings_Accounts[[#This Row],[Account Balance]],1,5)="Under",0,VALUE(TRIM(MID(BNS_Savings_Accounts[[#This Row],[Account Balance]],2,FIND(" ",BNS_Savings_Accounts[[#This Row],[Account Balance]],2)-2))))</f>
        <v>25000</v>
      </c>
    </row>
    <row r="16" spans="1:7" x14ac:dyDescent="0.25">
      <c r="B16" s="18" t="s">
        <v>416</v>
      </c>
      <c r="C16" s="42">
        <v>1E-3</v>
      </c>
      <c r="D16" s="42"/>
      <c r="E16" s="42"/>
      <c r="G16" s="42">
        <f>IF(MID(BNS_Savings_Accounts[[#This Row],[Account Balance]],1,5)="Under",0,VALUE(TRIM(MID(BNS_Savings_Accounts[[#This Row],[Account Balance]],2,FIND(" ",BNS_Savings_Accounts[[#This Row],[Account Balance]],2)-2))))</f>
        <v>60000</v>
      </c>
    </row>
    <row r="17" spans="1:7" x14ac:dyDescent="0.25">
      <c r="A17" s="42" t="s">
        <v>193</v>
      </c>
      <c r="B17" s="18" t="s">
        <v>192</v>
      </c>
      <c r="C17" s="42">
        <v>0</v>
      </c>
      <c r="D17" s="42"/>
      <c r="E17" s="42"/>
      <c r="G17" s="42">
        <f>IF(MID(BNS_Savings_Accounts[[#This Row],[Account Balance]],1,5)="Under",0,VALUE(TRIM(MID(BNS_Savings_Accounts[[#This Row],[Account Balance]],2,FIND(" ",BNS_Savings_Accounts[[#This Row],[Account Balance]],2)-2))))</f>
        <v>0</v>
      </c>
    </row>
    <row r="18" spans="1:7" x14ac:dyDescent="0.25">
      <c r="B18" s="18" t="s">
        <v>191</v>
      </c>
      <c r="C18" s="42">
        <v>1E-4</v>
      </c>
      <c r="D18" s="42"/>
      <c r="E18" s="42"/>
      <c r="G18" s="42">
        <f>IF(MID(BNS_Savings_Accounts[[#This Row],[Account Balance]],1,5)="Under",0,VALUE(TRIM(MID(BNS_Savings_Accounts[[#This Row],[Account Balance]],2,FIND(" ",BNS_Savings_Accounts[[#This Row],[Account Balance]],2)-2))))</f>
        <v>1000</v>
      </c>
    </row>
    <row r="19" spans="1:7" x14ac:dyDescent="0.25">
      <c r="B19" s="18" t="s">
        <v>37</v>
      </c>
      <c r="C19" s="42">
        <v>2.5000000000000001E-4</v>
      </c>
      <c r="D19" s="42"/>
      <c r="E19" s="42"/>
      <c r="G19" s="42">
        <f>IF(MID(BNS_Savings_Accounts[[#This Row],[Account Balance]],1,5)="Under",0,VALUE(TRIM(MID(BNS_Savings_Accounts[[#This Row],[Account Balance]],2,FIND(" ",BNS_Savings_Accounts[[#This Row],[Account Balance]],2)-2))))</f>
        <v>5000</v>
      </c>
    </row>
    <row r="20" spans="1:7" x14ac:dyDescent="0.25">
      <c r="B20" s="18" t="s">
        <v>36</v>
      </c>
      <c r="C20" s="42">
        <v>5.0000000000000001E-4</v>
      </c>
      <c r="D20" s="42"/>
      <c r="E20" s="42"/>
      <c r="G20" s="42">
        <f>IF(MID(BNS_Savings_Accounts[[#This Row],[Account Balance]],1,5)="Under",0,VALUE(TRIM(MID(BNS_Savings_Accounts[[#This Row],[Account Balance]],2,FIND(" ",BNS_Savings_Accounts[[#This Row],[Account Balance]],2)-2))))</f>
        <v>10000</v>
      </c>
    </row>
    <row r="21" spans="1:7" x14ac:dyDescent="0.25">
      <c r="B21" s="18" t="s">
        <v>35</v>
      </c>
      <c r="C21" s="42">
        <v>1E-3</v>
      </c>
      <c r="D21" s="42"/>
      <c r="E21" s="42"/>
      <c r="G21" s="42">
        <f>IF(MID(BNS_Savings_Accounts[[#This Row],[Account Balance]],1,5)="Under",0,VALUE(TRIM(MID(BNS_Savings_Accounts[[#This Row],[Account Balance]],2,FIND(" ",BNS_Savings_Accounts[[#This Row],[Account Balance]],2)-2))))</f>
        <v>25000</v>
      </c>
    </row>
    <row r="22" spans="1:7" x14ac:dyDescent="0.25">
      <c r="B22" s="18" t="s">
        <v>190</v>
      </c>
      <c r="C22" s="42">
        <v>1.5E-3</v>
      </c>
      <c r="D22" s="42"/>
      <c r="E22" s="42"/>
      <c r="G22" s="42">
        <f>IF(MID(BNS_Savings_Accounts[[#This Row],[Account Balance]],1,5)="Under",0,VALUE(TRIM(MID(BNS_Savings_Accounts[[#This Row],[Account Balance]],2,FIND(" ",BNS_Savings_Accounts[[#This Row],[Account Balance]],2)-2))))</f>
        <v>60000</v>
      </c>
    </row>
    <row r="23" spans="1:7" x14ac:dyDescent="0.25">
      <c r="A23" s="42" t="s">
        <v>334</v>
      </c>
      <c r="B23" s="18" t="s">
        <v>330</v>
      </c>
      <c r="C23" s="42">
        <v>0.01</v>
      </c>
      <c r="D23" s="42"/>
      <c r="E23" s="42"/>
      <c r="G23" s="42">
        <f>IF(MID(BNS_Savings_Accounts[[#This Row],[Account Balance]],1,5)="Under",0,VALUE(TRIM(MID(BNS_Savings_Accounts[[#This Row],[Account Balance]],2,FIND(" ",BNS_Savings_Accounts[[#This Row],[Account Balance]],2)-2))))</f>
        <v>0</v>
      </c>
    </row>
    <row r="24" spans="1:7" x14ac:dyDescent="0.25">
      <c r="B24" s="18" t="s">
        <v>137</v>
      </c>
      <c r="C24" s="42">
        <v>1.0999999999999999E-2</v>
      </c>
      <c r="D24" s="42"/>
      <c r="E24" s="42"/>
      <c r="G24" s="42">
        <f>IF(MID(BNS_Savings_Accounts[[#This Row],[Account Balance]],1,5)="Under",0,VALUE(TRIM(MID(BNS_Savings_Accounts[[#This Row],[Account Balance]],2,FIND(" ",BNS_Savings_Accounts[[#This Row],[Account Balance]],2)-2))))</f>
        <v>250000</v>
      </c>
    </row>
    <row r="25" spans="1:7" x14ac:dyDescent="0.25">
      <c r="A25" s="42" t="s">
        <v>144</v>
      </c>
      <c r="B25" s="18" t="s">
        <v>139</v>
      </c>
      <c r="C25" s="42">
        <v>5.0000000000000001E-4</v>
      </c>
      <c r="D25" s="42"/>
      <c r="E25" s="42"/>
      <c r="G25" s="42">
        <f>IF(MID(BNS_Savings_Accounts[[#This Row],[Account Balance]],1,5)="Under",0,VALUE(TRIM(MID(BNS_Savings_Accounts[[#This Row],[Account Balance]],2,FIND(" ",BNS_Savings_Accounts[[#This Row],[Account Balance]],2)-2))))</f>
        <v>0</v>
      </c>
    </row>
    <row r="26" spans="1:7" x14ac:dyDescent="0.25">
      <c r="B26" s="18" t="s">
        <v>138</v>
      </c>
      <c r="C26" s="42">
        <v>0.01</v>
      </c>
      <c r="D26" s="42"/>
      <c r="E26" s="42"/>
      <c r="G26" s="42">
        <f>IF(MID(BNS_Savings_Accounts[[#This Row],[Account Balance]],1,5)="Under",0,VALUE(TRIM(MID(BNS_Savings_Accounts[[#This Row],[Account Balance]],2,FIND(" ",BNS_Savings_Accounts[[#This Row],[Account Balance]],2)-2))))</f>
        <v>5000</v>
      </c>
    </row>
    <row r="27" spans="1:7" x14ac:dyDescent="0.25">
      <c r="B27" s="18" t="s">
        <v>137</v>
      </c>
      <c r="C27" s="42">
        <v>1.0999999999999999E-2</v>
      </c>
      <c r="D27" s="42"/>
      <c r="E27" s="42"/>
      <c r="G27" s="42">
        <f>IF(MID(BNS_Savings_Accounts[[#This Row],[Account Balance]],1,5)="Under",0,VALUE(TRIM(MID(BNS_Savings_Accounts[[#This Row],[Account Balance]],2,FIND(" ",BNS_Savings_Accounts[[#This Row],[Account Balance]],2)-2))))</f>
        <v>250000</v>
      </c>
    </row>
    <row r="28" spans="1:7" x14ac:dyDescent="0.25">
      <c r="A28" s="42" t="s">
        <v>143</v>
      </c>
      <c r="B28" s="18" t="s">
        <v>136</v>
      </c>
      <c r="C28" s="42">
        <v>5.0000000000000001E-4</v>
      </c>
      <c r="D28" s="42"/>
      <c r="E28" s="42"/>
      <c r="G28" s="42">
        <f>IF(MID(BNS_Savings_Accounts[[#This Row],[Account Balance]],1,5)="Under",0,VALUE(TRIM(MID(BNS_Savings_Accounts[[#This Row],[Account Balance]],2,FIND(" ",BNS_Savings_Accounts[[#This Row],[Account Balance]],2)-2))))</f>
        <v>0</v>
      </c>
    </row>
    <row r="29" spans="1:7" x14ac:dyDescent="0.25">
      <c r="B29" s="18" t="s">
        <v>135</v>
      </c>
      <c r="C29" s="42">
        <v>5.0000000000000001E-4</v>
      </c>
      <c r="D29" s="42"/>
      <c r="E29" s="42"/>
      <c r="G29" s="42">
        <f>IF(MID(BNS_Savings_Accounts[[#This Row],[Account Balance]],1,5)="Under",0,VALUE(TRIM(MID(BNS_Savings_Accounts[[#This Row],[Account Balance]],2,FIND(" ",BNS_Savings_Accounts[[#This Row],[Account Balance]],2)-2))))</f>
        <v>5000</v>
      </c>
    </row>
    <row r="30" spans="1:7" x14ac:dyDescent="0.25">
      <c r="A30" s="42" t="s">
        <v>333</v>
      </c>
      <c r="B30" s="18" t="s">
        <v>139</v>
      </c>
      <c r="C30" s="42">
        <v>5.0000000000000001E-4</v>
      </c>
      <c r="D30" s="42">
        <v>5.0000000000000001E-4</v>
      </c>
      <c r="E30" s="42">
        <v>0</v>
      </c>
      <c r="G30" s="42">
        <f>IF(MID(BNS_Savings_Accounts[[#This Row],[Account Balance]],1,5)="Under",0,VALUE(TRIM(MID(BNS_Savings_Accounts[[#This Row],[Account Balance]],2,FIND(" ",BNS_Savings_Accounts[[#This Row],[Account Balance]],2)-2))))</f>
        <v>0</v>
      </c>
    </row>
    <row r="31" spans="1:7" x14ac:dyDescent="0.25">
      <c r="B31" s="18" t="s">
        <v>135</v>
      </c>
      <c r="C31" s="42">
        <v>1.6E-2</v>
      </c>
      <c r="D31" s="42">
        <v>5.0000000000000001E-3</v>
      </c>
      <c r="E31" s="42">
        <v>1.0999999999999999E-2</v>
      </c>
      <c r="G31" s="42">
        <f>IF(MID(BNS_Savings_Accounts[[#This Row],[Account Balance]],1,5)="Under",0,VALUE(TRIM(MID(BNS_Savings_Accounts[[#This Row],[Account Balance]],2,FIND(" ",BNS_Savings_Accounts[[#This Row],[Account Balance]],2)-2))))</f>
        <v>5000</v>
      </c>
    </row>
    <row r="32" spans="1:7" x14ac:dyDescent="0.25">
      <c r="A32" s="42" t="s">
        <v>142</v>
      </c>
      <c r="B32" s="18" t="s">
        <v>134</v>
      </c>
      <c r="C32" s="42">
        <v>0.02</v>
      </c>
      <c r="D32" s="42">
        <v>0.01</v>
      </c>
      <c r="E32" s="42">
        <v>0.01</v>
      </c>
      <c r="G32" s="42"/>
    </row>
    <row r="33" spans="1:7" x14ac:dyDescent="0.25">
      <c r="B33" s="18" t="s">
        <v>133</v>
      </c>
      <c r="C33" s="42">
        <v>1.8499999999999999E-2</v>
      </c>
      <c r="D33" s="42">
        <v>0.01</v>
      </c>
      <c r="E33" s="42">
        <v>8.5000000000000006E-3</v>
      </c>
      <c r="G33" s="42"/>
    </row>
    <row r="34" spans="1:7" x14ac:dyDescent="0.25">
      <c r="B34" s="18" t="s">
        <v>132</v>
      </c>
      <c r="C34" s="42">
        <v>1.7000000000000001E-2</v>
      </c>
      <c r="D34" s="42">
        <v>0.01</v>
      </c>
      <c r="E34" s="42">
        <v>7.0000000000000001E-3</v>
      </c>
      <c r="G34" s="42"/>
    </row>
    <row r="35" spans="1:7" x14ac:dyDescent="0.25">
      <c r="B35" s="18" t="s">
        <v>131</v>
      </c>
      <c r="C35" s="42">
        <v>1.6E-2</v>
      </c>
      <c r="D35" s="42">
        <v>0.01</v>
      </c>
      <c r="E35" s="42">
        <v>6.0000000000000001E-3</v>
      </c>
      <c r="G35" s="42"/>
    </row>
    <row r="36" spans="1:7" x14ac:dyDescent="0.25">
      <c r="B36" s="18" t="s">
        <v>318</v>
      </c>
      <c r="C36" s="42">
        <v>0.01</v>
      </c>
      <c r="D36" s="42">
        <v>0.01</v>
      </c>
      <c r="E36" s="42">
        <v>0</v>
      </c>
      <c r="G36" s="42"/>
    </row>
    <row r="39" spans="1:7" x14ac:dyDescent="0.25">
      <c r="A39" t="s">
        <v>141</v>
      </c>
      <c r="B39" t="s">
        <v>140</v>
      </c>
      <c r="C39" t="s">
        <v>331</v>
      </c>
      <c r="D39" t="s">
        <v>332</v>
      </c>
    </row>
    <row r="40" spans="1:7" x14ac:dyDescent="0.25">
      <c r="B40" s="18" t="s">
        <v>322</v>
      </c>
      <c r="C40">
        <v>2.5000000000000001E-3</v>
      </c>
      <c r="D40">
        <v>2.5000000000000001E-3</v>
      </c>
    </row>
    <row r="41" spans="1:7" x14ac:dyDescent="0.25">
      <c r="B41" s="18" t="s">
        <v>323</v>
      </c>
      <c r="C41">
        <v>3.95E-2</v>
      </c>
      <c r="D41">
        <v>5.5E-2</v>
      </c>
    </row>
    <row r="43" spans="1:7" x14ac:dyDescent="0.25">
      <c r="A43" s="42" t="s">
        <v>373</v>
      </c>
      <c r="B43" s="61" t="s">
        <v>140</v>
      </c>
      <c r="C43" s="63" t="s">
        <v>331</v>
      </c>
      <c r="D43" s="62" t="s">
        <v>332</v>
      </c>
    </row>
    <row r="44" spans="1:7" x14ac:dyDescent="0.25">
      <c r="B44" s="66" t="s">
        <v>375</v>
      </c>
      <c r="C44" s="68">
        <v>1.6E-2</v>
      </c>
      <c r="D44" s="69">
        <v>1.6500000000000001E-2</v>
      </c>
    </row>
    <row r="45" spans="1:7" x14ac:dyDescent="0.25">
      <c r="B45" s="67" t="s">
        <v>376</v>
      </c>
      <c r="C45" s="70">
        <v>1.7500000000000002E-2</v>
      </c>
      <c r="D45" s="71">
        <v>1.7999999999999999E-2</v>
      </c>
    </row>
  </sheetData>
  <pageMargins left="0.7" right="0.7" top="0.75" bottom="0.75" header="0.3" footer="0.3"/>
  <tableParts count="2">
    <tablePart r:id="rId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8A2CE-4D04-4818-8569-EAA349E94289}">
  <sheetPr codeName="Sheet9"/>
  <dimension ref="A1:I169"/>
  <sheetViews>
    <sheetView workbookViewId="0">
      <selection activeCell="A161" sqref="A161"/>
    </sheetView>
  </sheetViews>
  <sheetFormatPr defaultRowHeight="15" x14ac:dyDescent="0.25"/>
  <cols>
    <col min="1" max="1" width="68.42578125" bestFit="1" customWidth="1"/>
    <col min="2" max="2" width="26.140625" bestFit="1" customWidth="1"/>
    <col min="3" max="3" width="18.28515625" bestFit="1" customWidth="1"/>
    <col min="4" max="4" width="7.140625" bestFit="1" customWidth="1"/>
    <col min="5" max="5" width="14.85546875" bestFit="1" customWidth="1"/>
  </cols>
  <sheetData>
    <row r="1" spans="1:8" x14ac:dyDescent="0.25">
      <c r="A1" t="s">
        <v>336</v>
      </c>
      <c r="B1" t="s">
        <v>181</v>
      </c>
      <c r="C1" t="s">
        <v>182</v>
      </c>
      <c r="D1" t="s">
        <v>183</v>
      </c>
      <c r="E1" t="s">
        <v>269</v>
      </c>
    </row>
    <row r="2" spans="1:8" x14ac:dyDescent="0.25">
      <c r="B2" s="18" t="s">
        <v>184</v>
      </c>
      <c r="C2">
        <v>1.6E-2</v>
      </c>
      <c r="D2">
        <v>1.7000000000000001E-2</v>
      </c>
      <c r="E2">
        <v>500</v>
      </c>
    </row>
    <row r="3" spans="1:8" x14ac:dyDescent="0.25">
      <c r="B3" s="18" t="s">
        <v>185</v>
      </c>
      <c r="C3">
        <v>1.8499999999999999E-2</v>
      </c>
      <c r="D3">
        <v>1.95E-2</v>
      </c>
    </row>
    <row r="4" spans="1:8" x14ac:dyDescent="0.25">
      <c r="B4" s="18" t="s">
        <v>186</v>
      </c>
      <c r="C4">
        <v>1.4500000000000001E-2</v>
      </c>
      <c r="D4">
        <v>1.7000000000000001E-2</v>
      </c>
    </row>
    <row r="5" spans="1:8" x14ac:dyDescent="0.25">
      <c r="B5" s="18" t="s">
        <v>187</v>
      </c>
      <c r="C5">
        <v>1.55E-2</v>
      </c>
      <c r="D5">
        <v>1.7999999999999999E-2</v>
      </c>
    </row>
    <row r="6" spans="1:8" x14ac:dyDescent="0.25">
      <c r="B6" s="18" t="s">
        <v>188</v>
      </c>
      <c r="C6">
        <v>1.6E-2</v>
      </c>
      <c r="D6">
        <v>1.7000000000000001E-2</v>
      </c>
    </row>
    <row r="7" spans="1:8" x14ac:dyDescent="0.25">
      <c r="B7" s="18" t="s">
        <v>189</v>
      </c>
      <c r="C7">
        <v>1.7000000000000001E-2</v>
      </c>
      <c r="D7">
        <v>1.7999999999999999E-2</v>
      </c>
    </row>
    <row r="12" spans="1:8" x14ac:dyDescent="0.25">
      <c r="B12" t="s">
        <v>283</v>
      </c>
      <c r="C12" t="s">
        <v>57</v>
      </c>
      <c r="E12" s="39" t="s">
        <v>269</v>
      </c>
    </row>
    <row r="13" spans="1:8" x14ac:dyDescent="0.25">
      <c r="A13" t="s">
        <v>314</v>
      </c>
      <c r="B13" s="42" t="s">
        <v>464</v>
      </c>
      <c r="C13" s="42" t="s">
        <v>465</v>
      </c>
      <c r="E13">
        <f>IF(LEFT(RBC_Personal_Accounts[[#This Row],[If Balance is]],1)&lt;&gt;"$",0,VALUE(LEFT(RBC_Personal_Accounts[[#This Row],[If Balance is]],FIND(" ",RBC_Personal_Accounts[[#This Row],[If Balance is]]))))</f>
        <v>0</v>
      </c>
      <c r="H13">
        <v>157</v>
      </c>
    </row>
    <row r="14" spans="1:8" x14ac:dyDescent="0.25">
      <c r="B14" s="42" t="s">
        <v>466</v>
      </c>
      <c r="C14" s="42" t="s">
        <v>465</v>
      </c>
      <c r="E14" s="42">
        <f>IF(LEFT(RBC_Personal_Accounts[[#This Row],[If Balance is]],1)&lt;&gt;"$",0,VALUE(LEFT(RBC_Personal_Accounts[[#This Row],[If Balance is]],FIND(" ",RBC_Personal_Accounts[[#This Row],[If Balance is]]))))</f>
        <v>1000</v>
      </c>
      <c r="H14">
        <v>156</v>
      </c>
    </row>
    <row r="15" spans="1:8" x14ac:dyDescent="0.25">
      <c r="B15" s="42" t="s">
        <v>467</v>
      </c>
      <c r="C15" s="42" t="s">
        <v>465</v>
      </c>
      <c r="E15" s="42">
        <f>IF(LEFT(RBC_Personal_Accounts[[#This Row],[If Balance is]],1)&lt;&gt;"$",0,VALUE(LEFT(RBC_Personal_Accounts[[#This Row],[If Balance is]],FIND(" ",RBC_Personal_Accounts[[#This Row],[If Balance is]]))))</f>
        <v>3000</v>
      </c>
      <c r="H15">
        <v>155</v>
      </c>
    </row>
    <row r="16" spans="1:8" x14ac:dyDescent="0.25">
      <c r="B16" s="42" t="s">
        <v>468</v>
      </c>
      <c r="C16" s="42" t="s">
        <v>469</v>
      </c>
      <c r="E16" s="42">
        <f>IF(LEFT(RBC_Personal_Accounts[[#This Row],[If Balance is]],1)&lt;&gt;"$",0,VALUE(LEFT(RBC_Personal_Accounts[[#This Row],[If Balance is]],FIND(" ",RBC_Personal_Accounts[[#This Row],[If Balance is]]))))</f>
        <v>5000</v>
      </c>
      <c r="H16">
        <v>154</v>
      </c>
    </row>
    <row r="17" spans="1:9" x14ac:dyDescent="0.25">
      <c r="B17" s="42" t="s">
        <v>59</v>
      </c>
      <c r="C17" s="42" t="s">
        <v>469</v>
      </c>
      <c r="E17" s="42">
        <f>IF(LEFT(RBC_Personal_Accounts[[#This Row],[If Balance is]],1)&lt;&gt;"$",0,VALUE(LEFT(RBC_Personal_Accounts[[#This Row],[If Balance is]],FIND(" ",RBC_Personal_Accounts[[#This Row],[If Balance is]]))))</f>
        <v>25000</v>
      </c>
      <c r="H17">
        <v>153</v>
      </c>
    </row>
    <row r="18" spans="1:9" x14ac:dyDescent="0.25">
      <c r="B18" s="42" t="s">
        <v>470</v>
      </c>
      <c r="C18" s="42" t="s">
        <v>471</v>
      </c>
      <c r="E18" s="42">
        <f>IF(LEFT(RBC_Personal_Accounts[[#This Row],[If Balance is]],1)&lt;&gt;"$",0,VALUE(LEFT(RBC_Personal_Accounts[[#This Row],[If Balance is]],FIND(" ",RBC_Personal_Accounts[[#This Row],[If Balance is]]))))</f>
        <v>60000</v>
      </c>
      <c r="H18">
        <v>152</v>
      </c>
    </row>
    <row r="19" spans="1:9" x14ac:dyDescent="0.25">
      <c r="A19" t="s">
        <v>313</v>
      </c>
      <c r="B19" s="42" t="s">
        <v>464</v>
      </c>
      <c r="C19" s="42" t="s">
        <v>465</v>
      </c>
      <c r="E19" s="42">
        <f>IF(LEFT(RBC_Personal_Accounts[[#This Row],[If Balance is]],1)&lt;&gt;"$",0,VALUE(LEFT(RBC_Personal_Accounts[[#This Row],[If Balance is]],FIND(" ",RBC_Personal_Accounts[[#This Row],[If Balance is]]))))</f>
        <v>0</v>
      </c>
      <c r="H19">
        <v>151</v>
      </c>
      <c r="I19" t="s">
        <v>314</v>
      </c>
    </row>
    <row r="20" spans="1:9" x14ac:dyDescent="0.25">
      <c r="B20" s="42" t="s">
        <v>466</v>
      </c>
      <c r="C20" s="42" t="s">
        <v>465</v>
      </c>
      <c r="E20" s="42">
        <f>IF(LEFT(RBC_Personal_Accounts[[#This Row],[If Balance is]],1)&lt;&gt;"$",0,VALUE(LEFT(RBC_Personal_Accounts[[#This Row],[If Balance is]],FIND(" ",RBC_Personal_Accounts[[#This Row],[If Balance is]]))))</f>
        <v>1000</v>
      </c>
      <c r="H20">
        <v>150</v>
      </c>
    </row>
    <row r="21" spans="1:9" x14ac:dyDescent="0.25">
      <c r="B21" s="42" t="s">
        <v>467</v>
      </c>
      <c r="C21" s="42" t="s">
        <v>469</v>
      </c>
      <c r="E21" s="42">
        <f>IF(LEFT(RBC_Personal_Accounts[[#This Row],[If Balance is]],1)&lt;&gt;"$",0,VALUE(LEFT(RBC_Personal_Accounts[[#This Row],[If Balance is]],FIND(" ",RBC_Personal_Accounts[[#This Row],[If Balance is]]))))</f>
        <v>3000</v>
      </c>
      <c r="H21">
        <v>149</v>
      </c>
    </row>
    <row r="22" spans="1:9" x14ac:dyDescent="0.25">
      <c r="B22" s="42" t="s">
        <v>61</v>
      </c>
      <c r="C22" s="42" t="s">
        <v>471</v>
      </c>
      <c r="E22" s="42">
        <f>IF(LEFT(RBC_Personal_Accounts[[#This Row],[If Balance is]],1)&lt;&gt;"$",0,VALUE(LEFT(RBC_Personal_Accounts[[#This Row],[If Balance is]],FIND(" ",RBC_Personal_Accounts[[#This Row],[If Balance is]]))))</f>
        <v>5000</v>
      </c>
      <c r="H22">
        <v>148</v>
      </c>
    </row>
    <row r="23" spans="1:9" x14ac:dyDescent="0.25">
      <c r="A23" t="s">
        <v>312</v>
      </c>
      <c r="B23" s="42" t="s">
        <v>464</v>
      </c>
      <c r="C23" s="42" t="s">
        <v>472</v>
      </c>
      <c r="E23" s="42">
        <f>IF(LEFT(RBC_Personal_Accounts[[#This Row],[If Balance is]],1)&lt;&gt;"$",0,VALUE(LEFT(RBC_Personal_Accounts[[#This Row],[If Balance is]],FIND(" ",RBC_Personal_Accounts[[#This Row],[If Balance is]]))))</f>
        <v>0</v>
      </c>
      <c r="H23">
        <v>147</v>
      </c>
      <c r="I23" t="s">
        <v>313</v>
      </c>
    </row>
    <row r="24" spans="1:9" x14ac:dyDescent="0.25">
      <c r="B24" s="42" t="s">
        <v>466</v>
      </c>
      <c r="C24" s="42" t="s">
        <v>473</v>
      </c>
      <c r="E24" s="42">
        <f>IF(LEFT(RBC_Personal_Accounts[[#This Row],[If Balance is]],1)&lt;&gt;"$",0,VALUE(LEFT(RBC_Personal_Accounts[[#This Row],[If Balance is]],FIND(" ",RBC_Personal_Accounts[[#This Row],[If Balance is]]))))</f>
        <v>1000</v>
      </c>
      <c r="H24">
        <v>146</v>
      </c>
    </row>
    <row r="25" spans="1:9" x14ac:dyDescent="0.25">
      <c r="B25" s="42" t="s">
        <v>467</v>
      </c>
      <c r="C25" s="42" t="s">
        <v>474</v>
      </c>
      <c r="E25" s="42">
        <f>IF(LEFT(RBC_Personal_Accounts[[#This Row],[If Balance is]],1)&lt;&gt;"$",0,VALUE(LEFT(RBC_Personal_Accounts[[#This Row],[If Balance is]],FIND(" ",RBC_Personal_Accounts[[#This Row],[If Balance is]]))))</f>
        <v>3000</v>
      </c>
      <c r="H25">
        <v>145</v>
      </c>
    </row>
    <row r="26" spans="1:9" x14ac:dyDescent="0.25">
      <c r="B26" s="42" t="s">
        <v>61</v>
      </c>
      <c r="C26" s="42" t="s">
        <v>474</v>
      </c>
      <c r="E26" s="42">
        <f>IF(LEFT(RBC_Personal_Accounts[[#This Row],[If Balance is]],1)&lt;&gt;"$",0,VALUE(LEFT(RBC_Personal_Accounts[[#This Row],[If Balance is]],FIND(" ",RBC_Personal_Accounts[[#This Row],[If Balance is]]))))</f>
        <v>5000</v>
      </c>
      <c r="H26">
        <v>144</v>
      </c>
    </row>
    <row r="27" spans="1:9" x14ac:dyDescent="0.25">
      <c r="A27" t="s">
        <v>311</v>
      </c>
      <c r="B27" s="42" t="s">
        <v>475</v>
      </c>
      <c r="C27" s="42" t="s">
        <v>465</v>
      </c>
      <c r="E27" s="42">
        <f>IF(LEFT(RBC_Personal_Accounts[[#This Row],[If Balance is]],1)&lt;&gt;"$",0,VALUE(LEFT(RBC_Personal_Accounts[[#This Row],[If Balance is]],FIND(" ",RBC_Personal_Accounts[[#This Row],[If Balance is]]))))</f>
        <v>0</v>
      </c>
      <c r="H27">
        <v>143</v>
      </c>
      <c r="I27" t="s">
        <v>312</v>
      </c>
    </row>
    <row r="28" spans="1:9" x14ac:dyDescent="0.25">
      <c r="B28" s="42" t="s">
        <v>476</v>
      </c>
      <c r="C28" s="42" t="s">
        <v>469</v>
      </c>
      <c r="E28" s="42">
        <f>IF(LEFT(RBC_Personal_Accounts[[#This Row],[If Balance is]],1)&lt;&gt;"$",0,VALUE(LEFT(RBC_Personal_Accounts[[#This Row],[If Balance is]],FIND(" ",RBC_Personal_Accounts[[#This Row],[If Balance is]]))))</f>
        <v>5000</v>
      </c>
      <c r="H28">
        <v>142</v>
      </c>
    </row>
    <row r="29" spans="1:9" x14ac:dyDescent="0.25">
      <c r="B29" s="42" t="s">
        <v>60</v>
      </c>
      <c r="C29" s="42" t="s">
        <v>472</v>
      </c>
      <c r="E29" s="42">
        <f>IF(LEFT(RBC_Personal_Accounts[[#This Row],[If Balance is]],1)&lt;&gt;"$",0,VALUE(LEFT(RBC_Personal_Accounts[[#This Row],[If Balance is]],FIND(" ",RBC_Personal_Accounts[[#This Row],[If Balance is]]))))</f>
        <v>10000</v>
      </c>
      <c r="H29">
        <v>141</v>
      </c>
    </row>
    <row r="30" spans="1:9" x14ac:dyDescent="0.25">
      <c r="B30" s="42" t="s">
        <v>59</v>
      </c>
      <c r="C30" s="42" t="s">
        <v>473</v>
      </c>
      <c r="E30" s="42">
        <f>IF(LEFT(RBC_Personal_Accounts[[#This Row],[If Balance is]],1)&lt;&gt;"$",0,VALUE(LEFT(RBC_Personal_Accounts[[#This Row],[If Balance is]],FIND(" ",RBC_Personal_Accounts[[#This Row],[If Balance is]]))))</f>
        <v>25000</v>
      </c>
      <c r="H30">
        <v>140</v>
      </c>
    </row>
    <row r="31" spans="1:9" x14ac:dyDescent="0.25">
      <c r="B31" s="42" t="s">
        <v>58</v>
      </c>
      <c r="C31" s="42" t="s">
        <v>477</v>
      </c>
      <c r="E31" s="42">
        <f>IF(LEFT(RBC_Personal_Accounts[[#This Row],[If Balance is]],1)&lt;&gt;"$",0,VALUE(LEFT(RBC_Personal_Accounts[[#This Row],[If Balance is]],FIND(" ",RBC_Personal_Accounts[[#This Row],[If Balance is]]))))</f>
        <v>60000</v>
      </c>
      <c r="H31">
        <v>139</v>
      </c>
    </row>
    <row r="32" spans="1:9" x14ac:dyDescent="0.25">
      <c r="B32" s="42" t="s">
        <v>478</v>
      </c>
      <c r="C32" s="42" t="s">
        <v>479</v>
      </c>
      <c r="E32" s="42">
        <f>IF(LEFT(RBC_Personal_Accounts[[#This Row],[If Balance is]],1)&lt;&gt;"$",0,VALUE(LEFT(RBC_Personal_Accounts[[#This Row],[If Balance is]],FIND(" ",RBC_Personal_Accounts[[#This Row],[If Balance is]]))))</f>
        <v>100000</v>
      </c>
      <c r="H32">
        <v>138</v>
      </c>
    </row>
    <row r="33" spans="1:9" x14ac:dyDescent="0.25">
      <c r="B33" s="42" t="s">
        <v>480</v>
      </c>
      <c r="C33" s="42" t="s">
        <v>481</v>
      </c>
      <c r="E33" s="42">
        <f>IF(LEFT(RBC_Personal_Accounts[[#This Row],[If Balance is]],1)&lt;&gt;"$",0,VALUE(LEFT(RBC_Personal_Accounts[[#This Row],[If Balance is]],FIND(" ",RBC_Personal_Accounts[[#This Row],[If Balance is]]))))</f>
        <v>150000</v>
      </c>
      <c r="H33">
        <v>137</v>
      </c>
    </row>
    <row r="34" spans="1:9" x14ac:dyDescent="0.25">
      <c r="B34" s="42" t="s">
        <v>482</v>
      </c>
      <c r="C34" s="42" t="s">
        <v>481</v>
      </c>
      <c r="E34" s="42">
        <f>IF(LEFT(RBC_Personal_Accounts[[#This Row],[If Balance is]],1)&lt;&gt;"$",0,VALUE(LEFT(RBC_Personal_Accounts[[#This Row],[If Balance is]],FIND(" ",RBC_Personal_Accounts[[#This Row],[If Balance is]]))))</f>
        <v>250000</v>
      </c>
      <c r="H34">
        <v>136</v>
      </c>
    </row>
    <row r="35" spans="1:9" x14ac:dyDescent="0.25">
      <c r="A35" t="s">
        <v>310</v>
      </c>
      <c r="B35" s="42" t="s">
        <v>483</v>
      </c>
      <c r="C35" s="42" t="s">
        <v>472</v>
      </c>
      <c r="E35" s="42">
        <f>IF(LEFT(RBC_Personal_Accounts[[#This Row],[If Balance is]],1)&lt;&gt;"$",0,VALUE(LEFT(RBC_Personal_Accounts[[#This Row],[If Balance is]],FIND(" ",RBC_Personal_Accounts[[#This Row],[If Balance is]]))))</f>
        <v>0</v>
      </c>
      <c r="H35">
        <v>135</v>
      </c>
      <c r="I35" t="s">
        <v>311</v>
      </c>
    </row>
    <row r="36" spans="1:9" x14ac:dyDescent="0.25">
      <c r="B36" s="42" t="s">
        <v>484</v>
      </c>
      <c r="C36" s="42" t="s">
        <v>472</v>
      </c>
      <c r="E36" s="42">
        <f>IF(LEFT(RBC_Personal_Accounts[[#This Row],[If Balance is]],1)&lt;&gt;"$",0,VALUE(LEFT(RBC_Personal_Accounts[[#This Row],[If Balance is]],FIND(" ",RBC_Personal_Accounts[[#This Row],[If Balance is]]))))</f>
        <v>1000</v>
      </c>
      <c r="H36">
        <v>134</v>
      </c>
    </row>
    <row r="37" spans="1:9" x14ac:dyDescent="0.25">
      <c r="B37" s="42" t="s">
        <v>485</v>
      </c>
      <c r="C37" s="42" t="s">
        <v>472</v>
      </c>
      <c r="E37" s="42">
        <f>IF(LEFT(RBC_Personal_Accounts[[#This Row],[If Balance is]],1)&lt;&gt;"$",0,VALUE(LEFT(RBC_Personal_Accounts[[#This Row],[If Balance is]],FIND(" ",RBC_Personal_Accounts[[#This Row],[If Balance is]]))))</f>
        <v>3000</v>
      </c>
      <c r="H37">
        <v>133</v>
      </c>
    </row>
    <row r="38" spans="1:9" x14ac:dyDescent="0.25">
      <c r="B38" s="42" t="s">
        <v>486</v>
      </c>
      <c r="C38" s="42" t="s">
        <v>472</v>
      </c>
      <c r="E38" s="42">
        <f>IF(LEFT(RBC_Personal_Accounts[[#This Row],[If Balance is]],1)&lt;&gt;"$",0,VALUE(LEFT(RBC_Personal_Accounts[[#This Row],[If Balance is]],FIND(" ",RBC_Personal_Accounts[[#This Row],[If Balance is]]))))</f>
        <v>5000</v>
      </c>
      <c r="H38">
        <v>132</v>
      </c>
    </row>
    <row r="39" spans="1:9" x14ac:dyDescent="0.25">
      <c r="B39" s="42" t="s">
        <v>487</v>
      </c>
      <c r="C39" s="42" t="s">
        <v>472</v>
      </c>
      <c r="E39" s="42">
        <f>IF(LEFT(RBC_Personal_Accounts[[#This Row],[If Balance is]],1)&lt;&gt;"$",0,VALUE(LEFT(RBC_Personal_Accounts[[#This Row],[If Balance is]],FIND(" ",RBC_Personal_Accounts[[#This Row],[If Balance is]]))))</f>
        <v>10000</v>
      </c>
      <c r="H39">
        <v>131</v>
      </c>
    </row>
    <row r="40" spans="1:9" x14ac:dyDescent="0.25">
      <c r="B40" s="42" t="s">
        <v>488</v>
      </c>
      <c r="C40" s="42" t="s">
        <v>472</v>
      </c>
      <c r="E40" s="42">
        <f>IF(LEFT(RBC_Personal_Accounts[[#This Row],[If Balance is]],1)&lt;&gt;"$",0,VALUE(LEFT(RBC_Personal_Accounts[[#This Row],[If Balance is]],FIND(" ",RBC_Personal_Accounts[[#This Row],[If Balance is]]))))</f>
        <v>25000</v>
      </c>
      <c r="H40">
        <v>130</v>
      </c>
    </row>
    <row r="41" spans="1:9" x14ac:dyDescent="0.25">
      <c r="B41" s="42" t="s">
        <v>489</v>
      </c>
      <c r="C41" s="42" t="s">
        <v>490</v>
      </c>
      <c r="E41" s="42">
        <f>IF(LEFT(RBC_Personal_Accounts[[#This Row],[If Balance is]],1)&lt;&gt;"$",0,VALUE(LEFT(RBC_Personal_Accounts[[#This Row],[If Balance is]],FIND(" ",RBC_Personal_Accounts[[#This Row],[If Balance is]]))))</f>
        <v>60000</v>
      </c>
      <c r="H41">
        <v>129</v>
      </c>
    </row>
    <row r="42" spans="1:9" x14ac:dyDescent="0.25">
      <c r="B42" s="42" t="s">
        <v>491</v>
      </c>
      <c r="C42" s="42" t="s">
        <v>490</v>
      </c>
      <c r="E42" s="42">
        <f>IF(LEFT(RBC_Personal_Accounts[[#This Row],[If Balance is]],1)&lt;&gt;"$",0,VALUE(LEFT(RBC_Personal_Accounts[[#This Row],[If Balance is]],FIND(" ",RBC_Personal_Accounts[[#This Row],[If Balance is]]))))</f>
        <v>100000</v>
      </c>
      <c r="H42">
        <v>128</v>
      </c>
    </row>
    <row r="43" spans="1:9" x14ac:dyDescent="0.25">
      <c r="B43" s="42" t="s">
        <v>492</v>
      </c>
      <c r="C43" s="42" t="s">
        <v>490</v>
      </c>
      <c r="E43" s="42">
        <f>IF(LEFT(RBC_Personal_Accounts[[#This Row],[If Balance is]],1)&lt;&gt;"$",0,VALUE(LEFT(RBC_Personal_Accounts[[#This Row],[If Balance is]],FIND(" ",RBC_Personal_Accounts[[#This Row],[If Balance is]]))))</f>
        <v>150000</v>
      </c>
      <c r="H43">
        <v>127</v>
      </c>
    </row>
    <row r="44" spans="1:9" x14ac:dyDescent="0.25">
      <c r="B44" s="42" t="s">
        <v>482</v>
      </c>
      <c r="C44" s="42" t="s">
        <v>490</v>
      </c>
      <c r="E44" s="42">
        <f>IF(LEFT(RBC_Personal_Accounts[[#This Row],[If Balance is]],1)&lt;&gt;"$",0,VALUE(LEFT(RBC_Personal_Accounts[[#This Row],[If Balance is]],FIND(" ",RBC_Personal_Accounts[[#This Row],[If Balance is]]))))</f>
        <v>250000</v>
      </c>
      <c r="H44">
        <v>126</v>
      </c>
    </row>
    <row r="45" spans="1:9" x14ac:dyDescent="0.25">
      <c r="A45" t="s">
        <v>309</v>
      </c>
      <c r="B45" s="42" t="s">
        <v>464</v>
      </c>
      <c r="C45" s="42" t="s">
        <v>465</v>
      </c>
      <c r="E45" s="42">
        <f>IF(LEFT(RBC_Personal_Accounts[[#This Row],[If Balance is]],1)&lt;&gt;"$",0,VALUE(LEFT(RBC_Personal_Accounts[[#This Row],[If Balance is]],FIND(" ",RBC_Personal_Accounts[[#This Row],[If Balance is]]))))</f>
        <v>0</v>
      </c>
      <c r="H45">
        <v>125</v>
      </c>
      <c r="I45" t="s">
        <v>310</v>
      </c>
    </row>
    <row r="46" spans="1:9" x14ac:dyDescent="0.25">
      <c r="B46" s="42" t="s">
        <v>466</v>
      </c>
      <c r="C46" s="42" t="s">
        <v>465</v>
      </c>
      <c r="E46" s="42">
        <f>IF(LEFT(RBC_Personal_Accounts[[#This Row],[If Balance is]],1)&lt;&gt;"$",0,VALUE(LEFT(RBC_Personal_Accounts[[#This Row],[If Balance is]],FIND(" ",RBC_Personal_Accounts[[#This Row],[If Balance is]]))))</f>
        <v>1000</v>
      </c>
      <c r="H46">
        <v>124</v>
      </c>
    </row>
    <row r="47" spans="1:9" x14ac:dyDescent="0.25">
      <c r="B47" s="42" t="s">
        <v>467</v>
      </c>
      <c r="C47" s="42" t="s">
        <v>465</v>
      </c>
      <c r="E47" s="42">
        <f>IF(LEFT(RBC_Personal_Accounts[[#This Row],[If Balance is]],1)&lt;&gt;"$",0,VALUE(LEFT(RBC_Personal_Accounts[[#This Row],[If Balance is]],FIND(" ",RBC_Personal_Accounts[[#This Row],[If Balance is]]))))</f>
        <v>3000</v>
      </c>
      <c r="H47">
        <v>123</v>
      </c>
    </row>
    <row r="48" spans="1:9" x14ac:dyDescent="0.25">
      <c r="B48" s="42" t="s">
        <v>468</v>
      </c>
      <c r="C48" s="42" t="s">
        <v>469</v>
      </c>
      <c r="E48" s="42">
        <f>IF(LEFT(RBC_Personal_Accounts[[#This Row],[If Balance is]],1)&lt;&gt;"$",0,VALUE(LEFT(RBC_Personal_Accounts[[#This Row],[If Balance is]],FIND(" ",RBC_Personal_Accounts[[#This Row],[If Balance is]]))))</f>
        <v>5000</v>
      </c>
      <c r="H48">
        <v>122</v>
      </c>
    </row>
    <row r="49" spans="1:9" x14ac:dyDescent="0.25">
      <c r="B49" s="42" t="s">
        <v>59</v>
      </c>
      <c r="C49" s="42" t="s">
        <v>469</v>
      </c>
      <c r="E49" s="42">
        <f>IF(LEFT(RBC_Personal_Accounts[[#This Row],[If Balance is]],1)&lt;&gt;"$",0,VALUE(LEFT(RBC_Personal_Accounts[[#This Row],[If Balance is]],FIND(" ",RBC_Personal_Accounts[[#This Row],[If Balance is]]))))</f>
        <v>25000</v>
      </c>
      <c r="H49">
        <v>121</v>
      </c>
    </row>
    <row r="50" spans="1:9" x14ac:dyDescent="0.25">
      <c r="B50" s="42" t="s">
        <v>470</v>
      </c>
      <c r="C50" s="42" t="s">
        <v>471</v>
      </c>
      <c r="E50" s="42">
        <f>IF(LEFT(RBC_Personal_Accounts[[#This Row],[If Balance is]],1)&lt;&gt;"$",0,VALUE(LEFT(RBC_Personal_Accounts[[#This Row],[If Balance is]],FIND(" ",RBC_Personal_Accounts[[#This Row],[If Balance is]]))))</f>
        <v>60000</v>
      </c>
      <c r="H50">
        <v>120</v>
      </c>
    </row>
    <row r="51" spans="1:9" x14ac:dyDescent="0.25">
      <c r="A51" t="s">
        <v>308</v>
      </c>
      <c r="B51" s="42" t="s">
        <v>475</v>
      </c>
      <c r="C51" s="42" t="s">
        <v>465</v>
      </c>
      <c r="E51" s="42">
        <f>IF(LEFT(RBC_Personal_Accounts[[#This Row],[If Balance is]],1)&lt;&gt;"$",0,VALUE(LEFT(RBC_Personal_Accounts[[#This Row],[If Balance is]],FIND(" ",RBC_Personal_Accounts[[#This Row],[If Balance is]]))))</f>
        <v>0</v>
      </c>
      <c r="H51">
        <v>119</v>
      </c>
      <c r="I51" t="s">
        <v>309</v>
      </c>
    </row>
    <row r="52" spans="1:9" x14ac:dyDescent="0.25">
      <c r="B52" s="42" t="s">
        <v>476</v>
      </c>
      <c r="C52" s="42" t="s">
        <v>469</v>
      </c>
      <c r="E52" s="42">
        <f>IF(LEFT(RBC_Personal_Accounts[[#This Row],[If Balance is]],1)&lt;&gt;"$",0,VALUE(LEFT(RBC_Personal_Accounts[[#This Row],[If Balance is]],FIND(" ",RBC_Personal_Accounts[[#This Row],[If Balance is]]))))</f>
        <v>5000</v>
      </c>
      <c r="H52">
        <v>118</v>
      </c>
    </row>
    <row r="53" spans="1:9" x14ac:dyDescent="0.25">
      <c r="B53" s="42" t="s">
        <v>60</v>
      </c>
      <c r="C53" s="42" t="s">
        <v>472</v>
      </c>
      <c r="E53" s="42">
        <f>IF(LEFT(RBC_Personal_Accounts[[#This Row],[If Balance is]],1)&lt;&gt;"$",0,VALUE(LEFT(RBC_Personal_Accounts[[#This Row],[If Balance is]],FIND(" ",RBC_Personal_Accounts[[#This Row],[If Balance is]]))))</f>
        <v>10000</v>
      </c>
      <c r="H53">
        <v>117</v>
      </c>
    </row>
    <row r="54" spans="1:9" x14ac:dyDescent="0.25">
      <c r="B54" s="42" t="s">
        <v>59</v>
      </c>
      <c r="C54" s="42" t="s">
        <v>473</v>
      </c>
      <c r="E54" s="42">
        <f>IF(LEFT(RBC_Personal_Accounts[[#This Row],[If Balance is]],1)&lt;&gt;"$",0,VALUE(LEFT(RBC_Personal_Accounts[[#This Row],[If Balance is]],FIND(" ",RBC_Personal_Accounts[[#This Row],[If Balance is]]))))</f>
        <v>25000</v>
      </c>
      <c r="H54">
        <v>116</v>
      </c>
    </row>
    <row r="55" spans="1:9" x14ac:dyDescent="0.25">
      <c r="B55" s="42" t="s">
        <v>58</v>
      </c>
      <c r="C55" s="42" t="s">
        <v>477</v>
      </c>
      <c r="E55" s="42">
        <f>IF(LEFT(RBC_Personal_Accounts[[#This Row],[If Balance is]],1)&lt;&gt;"$",0,VALUE(LEFT(RBC_Personal_Accounts[[#This Row],[If Balance is]],FIND(" ",RBC_Personal_Accounts[[#This Row],[If Balance is]]))))</f>
        <v>60000</v>
      </c>
      <c r="H55">
        <v>115</v>
      </c>
    </row>
    <row r="56" spans="1:9" x14ac:dyDescent="0.25">
      <c r="B56" s="42" t="s">
        <v>478</v>
      </c>
      <c r="C56" s="42" t="s">
        <v>479</v>
      </c>
      <c r="E56" s="42">
        <f>IF(LEFT(RBC_Personal_Accounts[[#This Row],[If Balance is]],1)&lt;&gt;"$",0,VALUE(LEFT(RBC_Personal_Accounts[[#This Row],[If Balance is]],FIND(" ",RBC_Personal_Accounts[[#This Row],[If Balance is]]))))</f>
        <v>100000</v>
      </c>
      <c r="H56">
        <v>114</v>
      </c>
    </row>
    <row r="57" spans="1:9" x14ac:dyDescent="0.25">
      <c r="B57" s="42" t="s">
        <v>480</v>
      </c>
      <c r="C57" s="42" t="s">
        <v>481</v>
      </c>
      <c r="E57" s="42">
        <f>IF(LEFT(RBC_Personal_Accounts[[#This Row],[If Balance is]],1)&lt;&gt;"$",0,VALUE(LEFT(RBC_Personal_Accounts[[#This Row],[If Balance is]],FIND(" ",RBC_Personal_Accounts[[#This Row],[If Balance is]]))))</f>
        <v>150000</v>
      </c>
      <c r="H57">
        <v>113</v>
      </c>
    </row>
    <row r="58" spans="1:9" x14ac:dyDescent="0.25">
      <c r="B58" s="42" t="s">
        <v>482</v>
      </c>
      <c r="C58" s="42" t="s">
        <v>481</v>
      </c>
      <c r="E58" s="42">
        <f>IF(LEFT(RBC_Personal_Accounts[[#This Row],[If Balance is]],1)&lt;&gt;"$",0,VALUE(LEFT(RBC_Personal_Accounts[[#This Row],[If Balance is]],FIND(" ",RBC_Personal_Accounts[[#This Row],[If Balance is]]))))</f>
        <v>250000</v>
      </c>
      <c r="H58">
        <v>112</v>
      </c>
    </row>
    <row r="59" spans="1:9" x14ac:dyDescent="0.25">
      <c r="A59" t="s">
        <v>307</v>
      </c>
      <c r="B59" s="42" t="s">
        <v>464</v>
      </c>
      <c r="C59" s="42" t="s">
        <v>472</v>
      </c>
      <c r="E59" s="42">
        <f>IF(LEFT(RBC_Personal_Accounts[[#This Row],[If Balance is]],1)&lt;&gt;"$",0,VALUE(LEFT(RBC_Personal_Accounts[[#This Row],[If Balance is]],FIND(" ",RBC_Personal_Accounts[[#This Row],[If Balance is]]))))</f>
        <v>0</v>
      </c>
      <c r="H59">
        <v>111</v>
      </c>
      <c r="I59" t="s">
        <v>308</v>
      </c>
    </row>
    <row r="60" spans="1:9" x14ac:dyDescent="0.25">
      <c r="B60" s="42" t="s">
        <v>466</v>
      </c>
      <c r="C60" s="42" t="s">
        <v>473</v>
      </c>
      <c r="E60" s="42">
        <f>IF(LEFT(RBC_Personal_Accounts[[#This Row],[If Balance is]],1)&lt;&gt;"$",0,VALUE(LEFT(RBC_Personal_Accounts[[#This Row],[If Balance is]],FIND(" ",RBC_Personal_Accounts[[#This Row],[If Balance is]]))))</f>
        <v>1000</v>
      </c>
      <c r="H60">
        <v>110</v>
      </c>
    </row>
    <row r="61" spans="1:9" x14ac:dyDescent="0.25">
      <c r="B61" s="42" t="s">
        <v>467</v>
      </c>
      <c r="C61" s="42" t="s">
        <v>474</v>
      </c>
      <c r="E61" s="42">
        <f>IF(LEFT(RBC_Personal_Accounts[[#This Row],[If Balance is]],1)&lt;&gt;"$",0,VALUE(LEFT(RBC_Personal_Accounts[[#This Row],[If Balance is]],FIND(" ",RBC_Personal_Accounts[[#This Row],[If Balance is]]))))</f>
        <v>3000</v>
      </c>
      <c r="H61">
        <v>109</v>
      </c>
    </row>
    <row r="62" spans="1:9" x14ac:dyDescent="0.25">
      <c r="B62" s="42" t="s">
        <v>61</v>
      </c>
      <c r="C62" s="42" t="s">
        <v>474</v>
      </c>
      <c r="E62" s="42">
        <f>IF(LEFT(RBC_Personal_Accounts[[#This Row],[If Balance is]],1)&lt;&gt;"$",0,VALUE(LEFT(RBC_Personal_Accounts[[#This Row],[If Balance is]],FIND(" ",RBC_Personal_Accounts[[#This Row],[If Balance is]]))))</f>
        <v>5000</v>
      </c>
      <c r="H62">
        <v>108</v>
      </c>
    </row>
    <row r="63" spans="1:9" x14ac:dyDescent="0.25">
      <c r="A63" t="s">
        <v>306</v>
      </c>
      <c r="B63" s="42" t="s">
        <v>493</v>
      </c>
      <c r="C63" s="42" t="s">
        <v>465</v>
      </c>
      <c r="E63" s="42">
        <f>IF(LEFT(RBC_Personal_Accounts[[#This Row],[If Balance is]],1)&lt;&gt;"$",0,VALUE(LEFT(RBC_Personal_Accounts[[#This Row],[If Balance is]],FIND(" ",RBC_Personal_Accounts[[#This Row],[If Balance is]]))))</f>
        <v>0</v>
      </c>
      <c r="H63">
        <v>107</v>
      </c>
      <c r="I63" t="s">
        <v>307</v>
      </c>
    </row>
    <row r="64" spans="1:9" x14ac:dyDescent="0.25">
      <c r="B64" s="42" t="s">
        <v>494</v>
      </c>
      <c r="C64" s="42" t="s">
        <v>465</v>
      </c>
      <c r="E64" s="42">
        <f>IF(LEFT(RBC_Personal_Accounts[[#This Row],[If Balance is]],1)&lt;&gt;"$",0,VALUE(LEFT(RBC_Personal_Accounts[[#This Row],[If Balance is]],FIND(" ",RBC_Personal_Accounts[[#This Row],[If Balance is]]))))</f>
        <v>500</v>
      </c>
      <c r="H64">
        <v>106</v>
      </c>
    </row>
    <row r="65" spans="1:9" x14ac:dyDescent="0.25">
      <c r="B65" s="42" t="s">
        <v>466</v>
      </c>
      <c r="C65" s="42" t="s">
        <v>465</v>
      </c>
      <c r="E65" s="42">
        <f>IF(LEFT(RBC_Personal_Accounts[[#This Row],[If Balance is]],1)&lt;&gt;"$",0,VALUE(LEFT(RBC_Personal_Accounts[[#This Row],[If Balance is]],FIND(" ",RBC_Personal_Accounts[[#This Row],[If Balance is]]))))</f>
        <v>1000</v>
      </c>
      <c r="H65">
        <v>105</v>
      </c>
    </row>
    <row r="66" spans="1:9" x14ac:dyDescent="0.25">
      <c r="B66" s="42" t="s">
        <v>467</v>
      </c>
      <c r="C66" s="42" t="s">
        <v>469</v>
      </c>
      <c r="E66" s="42">
        <f>IF(LEFT(RBC_Personal_Accounts[[#This Row],[If Balance is]],1)&lt;&gt;"$",0,VALUE(LEFT(RBC_Personal_Accounts[[#This Row],[If Balance is]],FIND(" ",RBC_Personal_Accounts[[#This Row],[If Balance is]]))))</f>
        <v>3000</v>
      </c>
      <c r="H66">
        <v>104</v>
      </c>
    </row>
    <row r="67" spans="1:9" x14ac:dyDescent="0.25">
      <c r="B67" s="42" t="s">
        <v>61</v>
      </c>
      <c r="C67" s="42" t="s">
        <v>471</v>
      </c>
      <c r="E67" s="42">
        <f>IF(LEFT(RBC_Personal_Accounts[[#This Row],[If Balance is]],1)&lt;&gt;"$",0,VALUE(LEFT(RBC_Personal_Accounts[[#This Row],[If Balance is]],FIND(" ",RBC_Personal_Accounts[[#This Row],[If Balance is]]))))</f>
        <v>5000</v>
      </c>
      <c r="H67">
        <v>103</v>
      </c>
    </row>
    <row r="68" spans="1:9" x14ac:dyDescent="0.25">
      <c r="A68" t="s">
        <v>305</v>
      </c>
      <c r="B68" s="42" t="s">
        <v>464</v>
      </c>
      <c r="C68" s="42" t="s">
        <v>465</v>
      </c>
      <c r="E68" s="42">
        <f>IF(LEFT(RBC_Personal_Accounts[[#This Row],[If Balance is]],1)&lt;&gt;"$",0,VALUE(LEFT(RBC_Personal_Accounts[[#This Row],[If Balance is]],FIND(" ",RBC_Personal_Accounts[[#This Row],[If Balance is]]))))</f>
        <v>0</v>
      </c>
      <c r="H68">
        <v>102</v>
      </c>
      <c r="I68" t="s">
        <v>306</v>
      </c>
    </row>
    <row r="69" spans="1:9" x14ac:dyDescent="0.25">
      <c r="B69" s="42" t="s">
        <v>466</v>
      </c>
      <c r="C69" s="42" t="s">
        <v>465</v>
      </c>
      <c r="E69" s="42">
        <f>IF(LEFT(RBC_Personal_Accounts[[#This Row],[If Balance is]],1)&lt;&gt;"$",0,VALUE(LEFT(RBC_Personal_Accounts[[#This Row],[If Balance is]],FIND(" ",RBC_Personal_Accounts[[#This Row],[If Balance is]]))))</f>
        <v>1000</v>
      </c>
      <c r="H69">
        <v>101</v>
      </c>
    </row>
    <row r="70" spans="1:9" x14ac:dyDescent="0.25">
      <c r="B70" s="42" t="s">
        <v>467</v>
      </c>
      <c r="C70" s="42" t="s">
        <v>465</v>
      </c>
      <c r="E70" s="42">
        <f>IF(LEFT(RBC_Personal_Accounts[[#This Row],[If Balance is]],1)&lt;&gt;"$",0,VALUE(LEFT(RBC_Personal_Accounts[[#This Row],[If Balance is]],FIND(" ",RBC_Personal_Accounts[[#This Row],[If Balance is]]))))</f>
        <v>3000</v>
      </c>
      <c r="H70">
        <v>100</v>
      </c>
    </row>
    <row r="71" spans="1:9" x14ac:dyDescent="0.25">
      <c r="B71" s="42" t="s">
        <v>468</v>
      </c>
      <c r="C71" s="42" t="s">
        <v>469</v>
      </c>
      <c r="E71" s="42">
        <f>IF(LEFT(RBC_Personal_Accounts[[#This Row],[If Balance is]],1)&lt;&gt;"$",0,VALUE(LEFT(RBC_Personal_Accounts[[#This Row],[If Balance is]],FIND(" ",RBC_Personal_Accounts[[#This Row],[If Balance is]]))))</f>
        <v>5000</v>
      </c>
      <c r="H71">
        <v>99</v>
      </c>
    </row>
    <row r="72" spans="1:9" x14ac:dyDescent="0.25">
      <c r="B72" s="42" t="s">
        <v>59</v>
      </c>
      <c r="C72" s="42" t="s">
        <v>469</v>
      </c>
      <c r="E72" s="42">
        <f>IF(LEFT(RBC_Personal_Accounts[[#This Row],[If Balance is]],1)&lt;&gt;"$",0,VALUE(LEFT(RBC_Personal_Accounts[[#This Row],[If Balance is]],FIND(" ",RBC_Personal_Accounts[[#This Row],[If Balance is]]))))</f>
        <v>25000</v>
      </c>
      <c r="H72">
        <v>98</v>
      </c>
    </row>
    <row r="73" spans="1:9" x14ac:dyDescent="0.25">
      <c r="B73" s="42" t="s">
        <v>470</v>
      </c>
      <c r="C73" s="42" t="s">
        <v>471</v>
      </c>
      <c r="E73" s="42">
        <f>IF(LEFT(RBC_Personal_Accounts[[#This Row],[If Balance is]],1)&lt;&gt;"$",0,VALUE(LEFT(RBC_Personal_Accounts[[#This Row],[If Balance is]],FIND(" ",RBC_Personal_Accounts[[#This Row],[If Balance is]]))))</f>
        <v>60000</v>
      </c>
      <c r="H73">
        <v>97</v>
      </c>
    </row>
    <row r="74" spans="1:9" x14ac:dyDescent="0.25">
      <c r="A74" t="s">
        <v>304</v>
      </c>
      <c r="B74" s="42" t="s">
        <v>493</v>
      </c>
      <c r="C74" s="42" t="s">
        <v>469</v>
      </c>
      <c r="E74" s="42">
        <f>IF(LEFT(RBC_Personal_Accounts[[#This Row],[If Balance is]],1)&lt;&gt;"$",0,VALUE(LEFT(RBC_Personal_Accounts[[#This Row],[If Balance is]],FIND(" ",RBC_Personal_Accounts[[#This Row],[If Balance is]]))))</f>
        <v>0</v>
      </c>
      <c r="H74">
        <v>96</v>
      </c>
      <c r="I74" t="s">
        <v>305</v>
      </c>
    </row>
    <row r="75" spans="1:9" x14ac:dyDescent="0.25">
      <c r="B75" s="42" t="s">
        <v>494</v>
      </c>
      <c r="C75" s="42" t="s">
        <v>469</v>
      </c>
      <c r="E75" s="42">
        <f>IF(LEFT(RBC_Personal_Accounts[[#This Row],[If Balance is]],1)&lt;&gt;"$",0,VALUE(LEFT(RBC_Personal_Accounts[[#This Row],[If Balance is]],FIND(" ",RBC_Personal_Accounts[[#This Row],[If Balance is]]))))</f>
        <v>500</v>
      </c>
      <c r="H75">
        <v>95</v>
      </c>
    </row>
    <row r="76" spans="1:9" x14ac:dyDescent="0.25">
      <c r="B76" s="42" t="s">
        <v>466</v>
      </c>
      <c r="C76" s="42" t="s">
        <v>469</v>
      </c>
      <c r="E76" s="42">
        <f>IF(LEFT(RBC_Personal_Accounts[[#This Row],[If Balance is]],1)&lt;&gt;"$",0,VALUE(LEFT(RBC_Personal_Accounts[[#This Row],[If Balance is]],FIND(" ",RBC_Personal_Accounts[[#This Row],[If Balance is]]))))</f>
        <v>1000</v>
      </c>
      <c r="H76">
        <v>94</v>
      </c>
    </row>
    <row r="77" spans="1:9" x14ac:dyDescent="0.25">
      <c r="B77" s="42" t="s">
        <v>467</v>
      </c>
      <c r="C77" s="42" t="s">
        <v>471</v>
      </c>
      <c r="E77" s="42">
        <f>IF(LEFT(RBC_Personal_Accounts[[#This Row],[If Balance is]],1)&lt;&gt;"$",0,VALUE(LEFT(RBC_Personal_Accounts[[#This Row],[If Balance is]],FIND(" ",RBC_Personal_Accounts[[#This Row],[If Balance is]]))))</f>
        <v>3000</v>
      </c>
      <c r="H77">
        <v>93</v>
      </c>
    </row>
    <row r="78" spans="1:9" x14ac:dyDescent="0.25">
      <c r="B78" s="42" t="s">
        <v>61</v>
      </c>
      <c r="C78" s="42" t="s">
        <v>471</v>
      </c>
      <c r="E78" s="42">
        <f>IF(LEFT(RBC_Personal_Accounts[[#This Row],[If Balance is]],1)&lt;&gt;"$",0,VALUE(LEFT(RBC_Personal_Accounts[[#This Row],[If Balance is]],FIND(" ",RBC_Personal_Accounts[[#This Row],[If Balance is]]))))</f>
        <v>5000</v>
      </c>
      <c r="H78">
        <v>92</v>
      </c>
    </row>
    <row r="79" spans="1:9" x14ac:dyDescent="0.25">
      <c r="A79" t="s">
        <v>303</v>
      </c>
      <c r="B79" s="42" t="s">
        <v>464</v>
      </c>
      <c r="C79" s="42" t="s">
        <v>472</v>
      </c>
      <c r="E79" s="42">
        <f>IF(LEFT(RBC_Personal_Accounts[[#This Row],[If Balance is]],1)&lt;&gt;"$",0,VALUE(LEFT(RBC_Personal_Accounts[[#This Row],[If Balance is]],FIND(" ",RBC_Personal_Accounts[[#This Row],[If Balance is]]))))</f>
        <v>0</v>
      </c>
      <c r="H79">
        <v>91</v>
      </c>
      <c r="I79" t="s">
        <v>304</v>
      </c>
    </row>
    <row r="80" spans="1:9" x14ac:dyDescent="0.25">
      <c r="B80" s="42" t="s">
        <v>466</v>
      </c>
      <c r="C80" s="42" t="s">
        <v>473</v>
      </c>
      <c r="E80" s="42">
        <f>IF(LEFT(RBC_Personal_Accounts[[#This Row],[If Balance is]],1)&lt;&gt;"$",0,VALUE(LEFT(RBC_Personal_Accounts[[#This Row],[If Balance is]],FIND(" ",RBC_Personal_Accounts[[#This Row],[If Balance is]]))))</f>
        <v>1000</v>
      </c>
      <c r="H80">
        <v>90</v>
      </c>
    </row>
    <row r="81" spans="1:9" x14ac:dyDescent="0.25">
      <c r="B81" s="42" t="s">
        <v>467</v>
      </c>
      <c r="C81" s="42" t="s">
        <v>474</v>
      </c>
      <c r="E81" s="42">
        <f>IF(LEFT(RBC_Personal_Accounts[[#This Row],[If Balance is]],1)&lt;&gt;"$",0,VALUE(LEFT(RBC_Personal_Accounts[[#This Row],[If Balance is]],FIND(" ",RBC_Personal_Accounts[[#This Row],[If Balance is]]))))</f>
        <v>3000</v>
      </c>
      <c r="H81">
        <v>89</v>
      </c>
    </row>
    <row r="82" spans="1:9" x14ac:dyDescent="0.25">
      <c r="B82" s="42" t="s">
        <v>61</v>
      </c>
      <c r="C82" s="42" t="s">
        <v>474</v>
      </c>
      <c r="E82" s="42">
        <f>IF(LEFT(RBC_Personal_Accounts[[#This Row],[If Balance is]],1)&lt;&gt;"$",0,VALUE(LEFT(RBC_Personal_Accounts[[#This Row],[If Balance is]],FIND(" ",RBC_Personal_Accounts[[#This Row],[If Balance is]]))))</f>
        <v>5000</v>
      </c>
      <c r="H82">
        <v>88</v>
      </c>
    </row>
    <row r="83" spans="1:9" x14ac:dyDescent="0.25">
      <c r="A83" t="s">
        <v>302</v>
      </c>
      <c r="B83" s="42" t="s">
        <v>475</v>
      </c>
      <c r="C83" s="42" t="s">
        <v>465</v>
      </c>
      <c r="E83" s="42">
        <f>IF(LEFT(RBC_Personal_Accounts[[#This Row],[If Balance is]],1)&lt;&gt;"$",0,VALUE(LEFT(RBC_Personal_Accounts[[#This Row],[If Balance is]],FIND(" ",RBC_Personal_Accounts[[#This Row],[If Balance is]]))))</f>
        <v>0</v>
      </c>
      <c r="H83">
        <v>87</v>
      </c>
      <c r="I83" t="s">
        <v>303</v>
      </c>
    </row>
    <row r="84" spans="1:9" x14ac:dyDescent="0.25">
      <c r="B84" s="42" t="s">
        <v>476</v>
      </c>
      <c r="C84" s="42" t="s">
        <v>469</v>
      </c>
      <c r="E84" s="42">
        <f>IF(LEFT(RBC_Personal_Accounts[[#This Row],[If Balance is]],1)&lt;&gt;"$",0,VALUE(LEFT(RBC_Personal_Accounts[[#This Row],[If Balance is]],FIND(" ",RBC_Personal_Accounts[[#This Row],[If Balance is]]))))</f>
        <v>5000</v>
      </c>
      <c r="H84">
        <v>86</v>
      </c>
    </row>
    <row r="85" spans="1:9" x14ac:dyDescent="0.25">
      <c r="B85" s="42" t="s">
        <v>60</v>
      </c>
      <c r="C85" s="42" t="s">
        <v>472</v>
      </c>
      <c r="E85" s="42">
        <f>IF(LEFT(RBC_Personal_Accounts[[#This Row],[If Balance is]],1)&lt;&gt;"$",0,VALUE(LEFT(RBC_Personal_Accounts[[#This Row],[If Balance is]],FIND(" ",RBC_Personal_Accounts[[#This Row],[If Balance is]]))))</f>
        <v>10000</v>
      </c>
      <c r="H85">
        <v>85</v>
      </c>
    </row>
    <row r="86" spans="1:9" x14ac:dyDescent="0.25">
      <c r="B86" s="42" t="s">
        <v>59</v>
      </c>
      <c r="C86" s="42" t="s">
        <v>473</v>
      </c>
      <c r="E86" s="42">
        <f>IF(LEFT(RBC_Personal_Accounts[[#This Row],[If Balance is]],1)&lt;&gt;"$",0,VALUE(LEFT(RBC_Personal_Accounts[[#This Row],[If Balance is]],FIND(" ",RBC_Personal_Accounts[[#This Row],[If Balance is]]))))</f>
        <v>25000</v>
      </c>
      <c r="H86">
        <v>84</v>
      </c>
    </row>
    <row r="87" spans="1:9" x14ac:dyDescent="0.25">
      <c r="B87" s="42" t="s">
        <v>58</v>
      </c>
      <c r="C87" s="42" t="s">
        <v>477</v>
      </c>
      <c r="E87" s="42">
        <f>IF(LEFT(RBC_Personal_Accounts[[#This Row],[If Balance is]],1)&lt;&gt;"$",0,VALUE(LEFT(RBC_Personal_Accounts[[#This Row],[If Balance is]],FIND(" ",RBC_Personal_Accounts[[#This Row],[If Balance is]]))))</f>
        <v>60000</v>
      </c>
      <c r="H87">
        <v>83</v>
      </c>
    </row>
    <row r="88" spans="1:9" x14ac:dyDescent="0.25">
      <c r="B88" s="42" t="s">
        <v>478</v>
      </c>
      <c r="C88" s="42" t="s">
        <v>479</v>
      </c>
      <c r="E88" s="42">
        <f>IF(LEFT(RBC_Personal_Accounts[[#This Row],[If Balance is]],1)&lt;&gt;"$",0,VALUE(LEFT(RBC_Personal_Accounts[[#This Row],[If Balance is]],FIND(" ",RBC_Personal_Accounts[[#This Row],[If Balance is]]))))</f>
        <v>100000</v>
      </c>
      <c r="H88">
        <v>82</v>
      </c>
    </row>
    <row r="89" spans="1:9" x14ac:dyDescent="0.25">
      <c r="B89" s="42" t="s">
        <v>480</v>
      </c>
      <c r="C89" s="42" t="s">
        <v>481</v>
      </c>
      <c r="E89" s="42">
        <f>IF(LEFT(RBC_Personal_Accounts[[#This Row],[If Balance is]],1)&lt;&gt;"$",0,VALUE(LEFT(RBC_Personal_Accounts[[#This Row],[If Balance is]],FIND(" ",RBC_Personal_Accounts[[#This Row],[If Balance is]]))))</f>
        <v>150000</v>
      </c>
      <c r="H89">
        <v>81</v>
      </c>
    </row>
    <row r="90" spans="1:9" x14ac:dyDescent="0.25">
      <c r="B90" s="42" t="s">
        <v>482</v>
      </c>
      <c r="C90" s="42" t="s">
        <v>481</v>
      </c>
      <c r="E90" s="42">
        <f>IF(LEFT(RBC_Personal_Accounts[[#This Row],[If Balance is]],1)&lt;&gt;"$",0,VALUE(LEFT(RBC_Personal_Accounts[[#This Row],[If Balance is]],FIND(" ",RBC_Personal_Accounts[[#This Row],[If Balance is]]))))</f>
        <v>250000</v>
      </c>
      <c r="H90">
        <v>80</v>
      </c>
    </row>
    <row r="91" spans="1:9" x14ac:dyDescent="0.25">
      <c r="A91" t="s">
        <v>301</v>
      </c>
      <c r="B91" s="42" t="s">
        <v>495</v>
      </c>
      <c r="C91" s="42" t="s">
        <v>465</v>
      </c>
      <c r="E91" s="42">
        <f>IF(LEFT(RBC_Personal_Accounts[[#This Row],[If Balance is]],1)&lt;&gt;"$",0,VALUE(LEFT(RBC_Personal_Accounts[[#This Row],[If Balance is]],FIND(" ",RBC_Personal_Accounts[[#This Row],[If Balance is]]))))</f>
        <v>0</v>
      </c>
      <c r="H91">
        <v>79</v>
      </c>
      <c r="I91" t="s">
        <v>302</v>
      </c>
    </row>
    <row r="92" spans="1:9" x14ac:dyDescent="0.25">
      <c r="B92" s="42" t="s">
        <v>467</v>
      </c>
      <c r="C92" s="42" t="s">
        <v>465</v>
      </c>
      <c r="E92" s="42">
        <f>IF(LEFT(RBC_Personal_Accounts[[#This Row],[If Balance is]],1)&lt;&gt;"$",0,VALUE(LEFT(RBC_Personal_Accounts[[#This Row],[If Balance is]],FIND(" ",RBC_Personal_Accounts[[#This Row],[If Balance is]]))))</f>
        <v>3000</v>
      </c>
      <c r="H92">
        <v>78</v>
      </c>
    </row>
    <row r="93" spans="1:9" x14ac:dyDescent="0.25">
      <c r="B93" s="42" t="s">
        <v>476</v>
      </c>
      <c r="C93" s="42" t="s">
        <v>469</v>
      </c>
      <c r="E93" s="42">
        <f>IF(LEFT(RBC_Personal_Accounts[[#This Row],[If Balance is]],1)&lt;&gt;"$",0,VALUE(LEFT(RBC_Personal_Accounts[[#This Row],[If Balance is]],FIND(" ",RBC_Personal_Accounts[[#This Row],[If Balance is]]))))</f>
        <v>5000</v>
      </c>
      <c r="H93">
        <v>77</v>
      </c>
    </row>
    <row r="94" spans="1:9" x14ac:dyDescent="0.25">
      <c r="B94" s="42" t="s">
        <v>60</v>
      </c>
      <c r="C94" s="42" t="s">
        <v>472</v>
      </c>
      <c r="E94" s="42">
        <f>IF(LEFT(RBC_Personal_Accounts[[#This Row],[If Balance is]],1)&lt;&gt;"$",0,VALUE(LEFT(RBC_Personal_Accounts[[#This Row],[If Balance is]],FIND(" ",RBC_Personal_Accounts[[#This Row],[If Balance is]]))))</f>
        <v>10000</v>
      </c>
      <c r="H94">
        <v>76</v>
      </c>
    </row>
    <row r="95" spans="1:9" x14ac:dyDescent="0.25">
      <c r="B95" s="42" t="s">
        <v>59</v>
      </c>
      <c r="C95" s="42" t="s">
        <v>473</v>
      </c>
      <c r="E95" s="42">
        <f>IF(LEFT(RBC_Personal_Accounts[[#This Row],[If Balance is]],1)&lt;&gt;"$",0,VALUE(LEFT(RBC_Personal_Accounts[[#This Row],[If Balance is]],FIND(" ",RBC_Personal_Accounts[[#This Row],[If Balance is]]))))</f>
        <v>25000</v>
      </c>
      <c r="H95">
        <v>75</v>
      </c>
    </row>
    <row r="96" spans="1:9" x14ac:dyDescent="0.25">
      <c r="B96" s="42" t="s">
        <v>58</v>
      </c>
      <c r="C96" s="42" t="s">
        <v>479</v>
      </c>
      <c r="E96" s="42">
        <f>IF(LEFT(RBC_Personal_Accounts[[#This Row],[If Balance is]],1)&lt;&gt;"$",0,VALUE(LEFT(RBC_Personal_Accounts[[#This Row],[If Balance is]],FIND(" ",RBC_Personal_Accounts[[#This Row],[If Balance is]]))))</f>
        <v>60000</v>
      </c>
      <c r="H96">
        <v>74</v>
      </c>
    </row>
    <row r="97" spans="1:9" x14ac:dyDescent="0.25">
      <c r="B97" s="42" t="s">
        <v>246</v>
      </c>
      <c r="C97" s="42" t="s">
        <v>496</v>
      </c>
      <c r="E97" s="42">
        <f>IF(LEFT(RBC_Personal_Accounts[[#This Row],[If Balance is]],1)&lt;&gt;"$",0,VALUE(LEFT(RBC_Personal_Accounts[[#This Row],[If Balance is]],FIND(" ",RBC_Personal_Accounts[[#This Row],[If Balance is]]))))</f>
        <v>100000</v>
      </c>
      <c r="H97">
        <v>73</v>
      </c>
    </row>
    <row r="98" spans="1:9" x14ac:dyDescent="0.25">
      <c r="A98" t="s">
        <v>300</v>
      </c>
      <c r="B98" s="42" t="s">
        <v>464</v>
      </c>
      <c r="C98" s="42" t="s">
        <v>465</v>
      </c>
      <c r="E98" s="42">
        <f>IF(LEFT(RBC_Personal_Accounts[[#This Row],[If Balance is]],1)&lt;&gt;"$",0,VALUE(LEFT(RBC_Personal_Accounts[[#This Row],[If Balance is]],FIND(" ",RBC_Personal_Accounts[[#This Row],[If Balance is]]))))</f>
        <v>0</v>
      </c>
      <c r="H98">
        <v>72</v>
      </c>
      <c r="I98" t="s">
        <v>301</v>
      </c>
    </row>
    <row r="99" spans="1:9" x14ac:dyDescent="0.25">
      <c r="B99" s="42" t="s">
        <v>466</v>
      </c>
      <c r="C99" s="42" t="s">
        <v>465</v>
      </c>
      <c r="E99" s="42">
        <f>IF(LEFT(RBC_Personal_Accounts[[#This Row],[If Balance is]],1)&lt;&gt;"$",0,VALUE(LEFT(RBC_Personal_Accounts[[#This Row],[If Balance is]],FIND(" ",RBC_Personal_Accounts[[#This Row],[If Balance is]]))))</f>
        <v>1000</v>
      </c>
      <c r="H99">
        <v>71</v>
      </c>
    </row>
    <row r="100" spans="1:9" x14ac:dyDescent="0.25">
      <c r="B100" s="42" t="s">
        <v>467</v>
      </c>
      <c r="C100" s="42" t="s">
        <v>465</v>
      </c>
      <c r="E100" s="42">
        <f>IF(LEFT(RBC_Personal_Accounts[[#This Row],[If Balance is]],1)&lt;&gt;"$",0,VALUE(LEFT(RBC_Personal_Accounts[[#This Row],[If Balance is]],FIND(" ",RBC_Personal_Accounts[[#This Row],[If Balance is]]))))</f>
        <v>3000</v>
      </c>
      <c r="H100">
        <v>70</v>
      </c>
    </row>
    <row r="101" spans="1:9" x14ac:dyDescent="0.25">
      <c r="B101" s="42" t="s">
        <v>468</v>
      </c>
      <c r="C101" s="42" t="s">
        <v>469</v>
      </c>
      <c r="E101" s="42">
        <f>IF(LEFT(RBC_Personal_Accounts[[#This Row],[If Balance is]],1)&lt;&gt;"$",0,VALUE(LEFT(RBC_Personal_Accounts[[#This Row],[If Balance is]],FIND(" ",RBC_Personal_Accounts[[#This Row],[If Balance is]]))))</f>
        <v>5000</v>
      </c>
      <c r="H101">
        <v>69</v>
      </c>
    </row>
    <row r="102" spans="1:9" x14ac:dyDescent="0.25">
      <c r="B102" s="42" t="s">
        <v>59</v>
      </c>
      <c r="C102" s="42" t="s">
        <v>469</v>
      </c>
      <c r="E102" s="42">
        <f>IF(LEFT(RBC_Personal_Accounts[[#This Row],[If Balance is]],1)&lt;&gt;"$",0,VALUE(LEFT(RBC_Personal_Accounts[[#This Row],[If Balance is]],FIND(" ",RBC_Personal_Accounts[[#This Row],[If Balance is]]))))</f>
        <v>25000</v>
      </c>
      <c r="H102">
        <v>68</v>
      </c>
    </row>
    <row r="103" spans="1:9" x14ac:dyDescent="0.25">
      <c r="B103" s="42" t="s">
        <v>470</v>
      </c>
      <c r="C103" s="42" t="s">
        <v>471</v>
      </c>
      <c r="E103" s="42">
        <f>IF(LEFT(RBC_Personal_Accounts[[#This Row],[If Balance is]],1)&lt;&gt;"$",0,VALUE(LEFT(RBC_Personal_Accounts[[#This Row],[If Balance is]],FIND(" ",RBC_Personal_Accounts[[#This Row],[If Balance is]]))))</f>
        <v>60000</v>
      </c>
      <c r="H103">
        <v>67</v>
      </c>
    </row>
    <row r="104" spans="1:9" x14ac:dyDescent="0.25">
      <c r="A104" t="s">
        <v>299</v>
      </c>
      <c r="B104" s="42" t="s">
        <v>475</v>
      </c>
      <c r="C104" s="42" t="s">
        <v>465</v>
      </c>
      <c r="E104" s="42">
        <f>IF(LEFT(RBC_Personal_Accounts[[#This Row],[If Balance is]],1)&lt;&gt;"$",0,VALUE(LEFT(RBC_Personal_Accounts[[#This Row],[If Balance is]],FIND(" ",RBC_Personal_Accounts[[#This Row],[If Balance is]]))))</f>
        <v>0</v>
      </c>
      <c r="H104">
        <v>66</v>
      </c>
      <c r="I104" t="s">
        <v>300</v>
      </c>
    </row>
    <row r="105" spans="1:9" x14ac:dyDescent="0.25">
      <c r="B105" s="42" t="s">
        <v>476</v>
      </c>
      <c r="C105" s="42" t="s">
        <v>469</v>
      </c>
      <c r="E105" s="42">
        <f>IF(LEFT(RBC_Personal_Accounts[[#This Row],[If Balance is]],1)&lt;&gt;"$",0,VALUE(LEFT(RBC_Personal_Accounts[[#This Row],[If Balance is]],FIND(" ",RBC_Personal_Accounts[[#This Row],[If Balance is]]))))</f>
        <v>5000</v>
      </c>
      <c r="H105">
        <v>65</v>
      </c>
    </row>
    <row r="106" spans="1:9" x14ac:dyDescent="0.25">
      <c r="B106" s="42" t="s">
        <v>60</v>
      </c>
      <c r="C106" s="42" t="s">
        <v>472</v>
      </c>
      <c r="E106" s="42">
        <f>IF(LEFT(RBC_Personal_Accounts[[#This Row],[If Balance is]],1)&lt;&gt;"$",0,VALUE(LEFT(RBC_Personal_Accounts[[#This Row],[If Balance is]],FIND(" ",RBC_Personal_Accounts[[#This Row],[If Balance is]]))))</f>
        <v>10000</v>
      </c>
      <c r="H106">
        <v>64</v>
      </c>
    </row>
    <row r="107" spans="1:9" x14ac:dyDescent="0.25">
      <c r="B107" s="42" t="s">
        <v>59</v>
      </c>
      <c r="C107" s="42" t="s">
        <v>473</v>
      </c>
      <c r="E107" s="42">
        <f>IF(LEFT(RBC_Personal_Accounts[[#This Row],[If Balance is]],1)&lt;&gt;"$",0,VALUE(LEFT(RBC_Personal_Accounts[[#This Row],[If Balance is]],FIND(" ",RBC_Personal_Accounts[[#This Row],[If Balance is]]))))</f>
        <v>25000</v>
      </c>
      <c r="H107">
        <v>63</v>
      </c>
    </row>
    <row r="108" spans="1:9" x14ac:dyDescent="0.25">
      <c r="B108" s="42" t="s">
        <v>58</v>
      </c>
      <c r="C108" s="42" t="s">
        <v>477</v>
      </c>
      <c r="E108" s="42">
        <f>IF(LEFT(RBC_Personal_Accounts[[#This Row],[If Balance is]],1)&lt;&gt;"$",0,VALUE(LEFT(RBC_Personal_Accounts[[#This Row],[If Balance is]],FIND(" ",RBC_Personal_Accounts[[#This Row],[If Balance is]]))))</f>
        <v>60000</v>
      </c>
      <c r="H108">
        <v>62</v>
      </c>
    </row>
    <row r="109" spans="1:9" x14ac:dyDescent="0.25">
      <c r="B109" s="42" t="s">
        <v>478</v>
      </c>
      <c r="C109" s="42" t="s">
        <v>479</v>
      </c>
      <c r="E109" s="42">
        <f>IF(LEFT(RBC_Personal_Accounts[[#This Row],[If Balance is]],1)&lt;&gt;"$",0,VALUE(LEFT(RBC_Personal_Accounts[[#This Row],[If Balance is]],FIND(" ",RBC_Personal_Accounts[[#This Row],[If Balance is]]))))</f>
        <v>100000</v>
      </c>
      <c r="H109">
        <v>61</v>
      </c>
    </row>
    <row r="110" spans="1:9" x14ac:dyDescent="0.25">
      <c r="B110" s="42" t="s">
        <v>480</v>
      </c>
      <c r="C110" s="42" t="s">
        <v>481</v>
      </c>
      <c r="E110" s="42">
        <f>IF(LEFT(RBC_Personal_Accounts[[#This Row],[If Balance is]],1)&lt;&gt;"$",0,VALUE(LEFT(RBC_Personal_Accounts[[#This Row],[If Balance is]],FIND(" ",RBC_Personal_Accounts[[#This Row],[If Balance is]]))))</f>
        <v>150000</v>
      </c>
      <c r="H110">
        <v>60</v>
      </c>
    </row>
    <row r="111" spans="1:9" x14ac:dyDescent="0.25">
      <c r="B111" s="42" t="s">
        <v>482</v>
      </c>
      <c r="C111" s="42" t="s">
        <v>481</v>
      </c>
      <c r="E111" s="42">
        <f>IF(LEFT(RBC_Personal_Accounts[[#This Row],[If Balance is]],1)&lt;&gt;"$",0,VALUE(LEFT(RBC_Personal_Accounts[[#This Row],[If Balance is]],FIND(" ",RBC_Personal_Accounts[[#This Row],[If Balance is]]))))</f>
        <v>250000</v>
      </c>
      <c r="H111">
        <v>59</v>
      </c>
    </row>
    <row r="112" spans="1:9" x14ac:dyDescent="0.25">
      <c r="A112" t="s">
        <v>298</v>
      </c>
      <c r="B112" s="42" t="s">
        <v>464</v>
      </c>
      <c r="C112" s="42" t="s">
        <v>472</v>
      </c>
      <c r="E112" s="42">
        <f>IF(LEFT(RBC_Personal_Accounts[[#This Row],[If Balance is]],1)&lt;&gt;"$",0,VALUE(LEFT(RBC_Personal_Accounts[[#This Row],[If Balance is]],FIND(" ",RBC_Personal_Accounts[[#This Row],[If Balance is]]))))</f>
        <v>0</v>
      </c>
      <c r="H112">
        <v>58</v>
      </c>
      <c r="I112" t="s">
        <v>299</v>
      </c>
    </row>
    <row r="113" spans="1:9" x14ac:dyDescent="0.25">
      <c r="B113" s="42" t="s">
        <v>466</v>
      </c>
      <c r="C113" s="42" t="s">
        <v>473</v>
      </c>
      <c r="E113" s="42">
        <f>IF(LEFT(RBC_Personal_Accounts[[#This Row],[If Balance is]],1)&lt;&gt;"$",0,VALUE(LEFT(RBC_Personal_Accounts[[#This Row],[If Balance is]],FIND(" ",RBC_Personal_Accounts[[#This Row],[If Balance is]]))))</f>
        <v>1000</v>
      </c>
      <c r="H113">
        <v>57</v>
      </c>
    </row>
    <row r="114" spans="1:9" x14ac:dyDescent="0.25">
      <c r="B114" s="42" t="s">
        <v>467</v>
      </c>
      <c r="C114" s="42" t="s">
        <v>474</v>
      </c>
      <c r="E114" s="42">
        <f>IF(LEFT(RBC_Personal_Accounts[[#This Row],[If Balance is]],1)&lt;&gt;"$",0,VALUE(LEFT(RBC_Personal_Accounts[[#This Row],[If Balance is]],FIND(" ",RBC_Personal_Accounts[[#This Row],[If Balance is]]))))</f>
        <v>3000</v>
      </c>
      <c r="H114">
        <v>56</v>
      </c>
    </row>
    <row r="115" spans="1:9" x14ac:dyDescent="0.25">
      <c r="B115" s="42" t="s">
        <v>61</v>
      </c>
      <c r="C115" s="42" t="s">
        <v>474</v>
      </c>
      <c r="E115" s="42">
        <f>IF(LEFT(RBC_Personal_Accounts[[#This Row],[If Balance is]],1)&lt;&gt;"$",0,VALUE(LEFT(RBC_Personal_Accounts[[#This Row],[If Balance is]],FIND(" ",RBC_Personal_Accounts[[#This Row],[If Balance is]]))))</f>
        <v>5000</v>
      </c>
      <c r="H115">
        <v>55</v>
      </c>
    </row>
    <row r="116" spans="1:9" x14ac:dyDescent="0.25">
      <c r="A116" t="s">
        <v>297</v>
      </c>
      <c r="B116" s="42" t="s">
        <v>493</v>
      </c>
      <c r="C116" s="42" t="s">
        <v>465</v>
      </c>
      <c r="E116" s="42">
        <f>IF(LEFT(RBC_Personal_Accounts[[#This Row],[If Balance is]],1)&lt;&gt;"$",0,VALUE(LEFT(RBC_Personal_Accounts[[#This Row],[If Balance is]],FIND(" ",RBC_Personal_Accounts[[#This Row],[If Balance is]]))))</f>
        <v>0</v>
      </c>
      <c r="H116">
        <v>54</v>
      </c>
      <c r="I116" t="s">
        <v>298</v>
      </c>
    </row>
    <row r="117" spans="1:9" x14ac:dyDescent="0.25">
      <c r="B117" s="42" t="s">
        <v>494</v>
      </c>
      <c r="C117" s="42" t="s">
        <v>465</v>
      </c>
      <c r="E117" s="42">
        <f>IF(LEFT(RBC_Personal_Accounts[[#This Row],[If Balance is]],1)&lt;&gt;"$",0,VALUE(LEFT(RBC_Personal_Accounts[[#This Row],[If Balance is]],FIND(" ",RBC_Personal_Accounts[[#This Row],[If Balance is]]))))</f>
        <v>500</v>
      </c>
      <c r="H117">
        <v>53</v>
      </c>
    </row>
    <row r="118" spans="1:9" x14ac:dyDescent="0.25">
      <c r="B118" s="42" t="s">
        <v>466</v>
      </c>
      <c r="C118" s="42" t="s">
        <v>465</v>
      </c>
      <c r="E118" s="42">
        <f>IF(LEFT(RBC_Personal_Accounts[[#This Row],[If Balance is]],1)&lt;&gt;"$",0,VALUE(LEFT(RBC_Personal_Accounts[[#This Row],[If Balance is]],FIND(" ",RBC_Personal_Accounts[[#This Row],[If Balance is]]))))</f>
        <v>1000</v>
      </c>
      <c r="H118">
        <v>52</v>
      </c>
    </row>
    <row r="119" spans="1:9" x14ac:dyDescent="0.25">
      <c r="B119" s="42" t="s">
        <v>467</v>
      </c>
      <c r="C119" s="42" t="s">
        <v>469</v>
      </c>
      <c r="E119" s="42">
        <f>IF(LEFT(RBC_Personal_Accounts[[#This Row],[If Balance is]],1)&lt;&gt;"$",0,VALUE(LEFT(RBC_Personal_Accounts[[#This Row],[If Balance is]],FIND(" ",RBC_Personal_Accounts[[#This Row],[If Balance is]]))))</f>
        <v>3000</v>
      </c>
      <c r="H119">
        <v>51</v>
      </c>
    </row>
    <row r="120" spans="1:9" x14ac:dyDescent="0.25">
      <c r="B120" s="42" t="s">
        <v>61</v>
      </c>
      <c r="C120" s="42" t="s">
        <v>469</v>
      </c>
      <c r="E120" s="42">
        <f>IF(LEFT(RBC_Personal_Accounts[[#This Row],[If Balance is]],1)&lt;&gt;"$",0,VALUE(LEFT(RBC_Personal_Accounts[[#This Row],[If Balance is]],FIND(" ",RBC_Personal_Accounts[[#This Row],[If Balance is]]))))</f>
        <v>5000</v>
      </c>
      <c r="H120">
        <v>50</v>
      </c>
    </row>
    <row r="121" spans="1:9" x14ac:dyDescent="0.25">
      <c r="A121" t="s">
        <v>296</v>
      </c>
      <c r="B121" s="42" t="s">
        <v>483</v>
      </c>
      <c r="C121" s="42" t="s">
        <v>465</v>
      </c>
      <c r="E121" s="42">
        <f>IF(LEFT(RBC_Personal_Accounts[[#This Row],[If Balance is]],1)&lt;&gt;"$",0,VALUE(LEFT(RBC_Personal_Accounts[[#This Row],[If Balance is]],FIND(" ",RBC_Personal_Accounts[[#This Row],[If Balance is]]))))</f>
        <v>0</v>
      </c>
      <c r="H121">
        <v>49</v>
      </c>
      <c r="I121" t="s">
        <v>297</v>
      </c>
    </row>
    <row r="122" spans="1:9" x14ac:dyDescent="0.25">
      <c r="B122" s="42" t="s">
        <v>484</v>
      </c>
      <c r="C122" s="42" t="s">
        <v>465</v>
      </c>
      <c r="E122" s="42">
        <f>IF(LEFT(RBC_Personal_Accounts[[#This Row],[If Balance is]],1)&lt;&gt;"$",0,VALUE(LEFT(RBC_Personal_Accounts[[#This Row],[If Balance is]],FIND(" ",RBC_Personal_Accounts[[#This Row],[If Balance is]]))))</f>
        <v>1000</v>
      </c>
      <c r="H122">
        <v>48</v>
      </c>
    </row>
    <row r="123" spans="1:9" x14ac:dyDescent="0.25">
      <c r="B123" s="42" t="s">
        <v>485</v>
      </c>
      <c r="C123" s="42" t="s">
        <v>465</v>
      </c>
      <c r="E123" s="42">
        <f>IF(LEFT(RBC_Personal_Accounts[[#This Row],[If Balance is]],1)&lt;&gt;"$",0,VALUE(LEFT(RBC_Personal_Accounts[[#This Row],[If Balance is]],FIND(" ",RBC_Personal_Accounts[[#This Row],[If Balance is]]))))</f>
        <v>3000</v>
      </c>
      <c r="H123">
        <v>47</v>
      </c>
    </row>
    <row r="124" spans="1:9" x14ac:dyDescent="0.25">
      <c r="B124" s="42" t="s">
        <v>486</v>
      </c>
      <c r="C124" s="42" t="s">
        <v>469</v>
      </c>
      <c r="E124" s="42">
        <f>IF(LEFT(RBC_Personal_Accounts[[#This Row],[If Balance is]],1)&lt;&gt;"$",0,VALUE(LEFT(RBC_Personal_Accounts[[#This Row],[If Balance is]],FIND(" ",RBC_Personal_Accounts[[#This Row],[If Balance is]]))))</f>
        <v>5000</v>
      </c>
      <c r="H124">
        <v>46</v>
      </c>
    </row>
    <row r="125" spans="1:9" x14ac:dyDescent="0.25">
      <c r="B125" s="42" t="s">
        <v>487</v>
      </c>
      <c r="C125" s="42" t="s">
        <v>472</v>
      </c>
      <c r="E125" s="42">
        <f>IF(LEFT(RBC_Personal_Accounts[[#This Row],[If Balance is]],1)&lt;&gt;"$",0,VALUE(LEFT(RBC_Personal_Accounts[[#This Row],[If Balance is]],FIND(" ",RBC_Personal_Accounts[[#This Row],[If Balance is]]))))</f>
        <v>10000</v>
      </c>
      <c r="H125">
        <v>45</v>
      </c>
    </row>
    <row r="126" spans="1:9" x14ac:dyDescent="0.25">
      <c r="B126" s="42" t="s">
        <v>488</v>
      </c>
      <c r="C126" s="42" t="s">
        <v>473</v>
      </c>
      <c r="E126" s="42">
        <f>IF(LEFT(RBC_Personal_Accounts[[#This Row],[If Balance is]],1)&lt;&gt;"$",0,VALUE(LEFT(RBC_Personal_Accounts[[#This Row],[If Balance is]],FIND(" ",RBC_Personal_Accounts[[#This Row],[If Balance is]]))))</f>
        <v>25000</v>
      </c>
      <c r="H126">
        <v>44</v>
      </c>
    </row>
    <row r="127" spans="1:9" x14ac:dyDescent="0.25">
      <c r="B127" s="42" t="s">
        <v>489</v>
      </c>
      <c r="C127" s="42" t="s">
        <v>496</v>
      </c>
      <c r="E127" s="42">
        <f>IF(LEFT(RBC_Personal_Accounts[[#This Row],[If Balance is]],1)&lt;&gt;"$",0,VALUE(LEFT(RBC_Personal_Accounts[[#This Row],[If Balance is]],FIND(" ",RBC_Personal_Accounts[[#This Row],[If Balance is]]))))</f>
        <v>60000</v>
      </c>
      <c r="H127">
        <v>43</v>
      </c>
    </row>
    <row r="128" spans="1:9" x14ac:dyDescent="0.25">
      <c r="B128" s="42" t="s">
        <v>491</v>
      </c>
      <c r="C128" s="42" t="s">
        <v>496</v>
      </c>
      <c r="E128" s="42">
        <f>IF(LEFT(RBC_Personal_Accounts[[#This Row],[If Balance is]],1)&lt;&gt;"$",0,VALUE(LEFT(RBC_Personal_Accounts[[#This Row],[If Balance is]],FIND(" ",RBC_Personal_Accounts[[#This Row],[If Balance is]]))))</f>
        <v>100000</v>
      </c>
      <c r="H128">
        <v>42</v>
      </c>
    </row>
    <row r="129" spans="1:9" x14ac:dyDescent="0.25">
      <c r="B129" s="42" t="s">
        <v>492</v>
      </c>
      <c r="C129" s="42" t="s">
        <v>496</v>
      </c>
      <c r="E129" s="42">
        <f>IF(LEFT(RBC_Personal_Accounts[[#This Row],[If Balance is]],1)&lt;&gt;"$",0,VALUE(LEFT(RBC_Personal_Accounts[[#This Row],[If Balance is]],FIND(" ",RBC_Personal_Accounts[[#This Row],[If Balance is]]))))</f>
        <v>150000</v>
      </c>
      <c r="H129">
        <v>41</v>
      </c>
    </row>
    <row r="130" spans="1:9" x14ac:dyDescent="0.25">
      <c r="B130" s="42" t="s">
        <v>497</v>
      </c>
      <c r="C130" s="42" t="s">
        <v>496</v>
      </c>
      <c r="E130" s="42">
        <f>IF(LEFT(RBC_Personal_Accounts[[#This Row],[If Balance is]],1)&lt;&gt;"$",0,VALUE(LEFT(RBC_Personal_Accounts[[#This Row],[If Balance is]],FIND(" ",RBC_Personal_Accounts[[#This Row],[If Balance is]]))))</f>
        <v>250000</v>
      </c>
      <c r="H130">
        <v>40</v>
      </c>
    </row>
    <row r="131" spans="1:9" x14ac:dyDescent="0.25">
      <c r="B131" s="42" t="s">
        <v>498</v>
      </c>
      <c r="C131" s="42" t="s">
        <v>496</v>
      </c>
      <c r="E131" s="42">
        <f>IF(LEFT(RBC_Personal_Accounts[[#This Row],[If Balance is]],1)&lt;&gt;"$",0,VALUE(LEFT(RBC_Personal_Accounts[[#This Row],[If Balance is]],FIND(" ",RBC_Personal_Accounts[[#This Row],[If Balance is]]))))</f>
        <v>500000</v>
      </c>
      <c r="H131">
        <v>39</v>
      </c>
    </row>
    <row r="132" spans="1:9" x14ac:dyDescent="0.25">
      <c r="B132" s="42" t="s">
        <v>499</v>
      </c>
      <c r="C132" s="42" t="s">
        <v>496</v>
      </c>
      <c r="E132" s="42">
        <f>IF(LEFT(RBC_Personal_Accounts[[#This Row],[If Balance is]],1)&lt;&gt;"$",0,VALUE(LEFT(RBC_Personal_Accounts[[#This Row],[If Balance is]],FIND(" ",RBC_Personal_Accounts[[#This Row],[If Balance is]]))))</f>
        <v>1000000</v>
      </c>
      <c r="H132">
        <v>38</v>
      </c>
    </row>
    <row r="133" spans="1:9" x14ac:dyDescent="0.25">
      <c r="A133" t="s">
        <v>295</v>
      </c>
      <c r="B133" s="42" t="s">
        <v>500</v>
      </c>
      <c r="C133" s="42" t="s">
        <v>465</v>
      </c>
      <c r="E133" s="42">
        <f>IF(LEFT(RBC_Personal_Accounts[[#This Row],[If Balance is]],1)&lt;&gt;"$",0,VALUE(LEFT(RBC_Personal_Accounts[[#This Row],[If Balance is]],FIND(" ",RBC_Personal_Accounts[[#This Row],[If Balance is]]))))</f>
        <v>0</v>
      </c>
      <c r="H133">
        <v>37</v>
      </c>
      <c r="I133" t="s">
        <v>296</v>
      </c>
    </row>
    <row r="134" spans="1:9" x14ac:dyDescent="0.25">
      <c r="A134" t="s">
        <v>294</v>
      </c>
      <c r="B134" s="42" t="s">
        <v>500</v>
      </c>
      <c r="C134" s="42" t="s">
        <v>501</v>
      </c>
      <c r="E134" s="42">
        <f>IF(LEFT(RBC_Personal_Accounts[[#This Row],[If Balance is]],1)&lt;&gt;"$",0,VALUE(LEFT(RBC_Personal_Accounts[[#This Row],[If Balance is]],FIND(" ",RBC_Personal_Accounts[[#This Row],[If Balance is]]))))</f>
        <v>0</v>
      </c>
      <c r="H134">
        <v>36</v>
      </c>
      <c r="I134" t="s">
        <v>295</v>
      </c>
    </row>
    <row r="135" spans="1:9" x14ac:dyDescent="0.25">
      <c r="A135" t="s">
        <v>293</v>
      </c>
      <c r="B135" s="42" t="s">
        <v>500</v>
      </c>
      <c r="C135" s="42" t="s">
        <v>465</v>
      </c>
      <c r="E135" s="42">
        <f>IF(LEFT(RBC_Personal_Accounts[[#This Row],[If Balance is]],1)&lt;&gt;"$",0,VALUE(LEFT(RBC_Personal_Accounts[[#This Row],[If Balance is]],FIND(" ",RBC_Personal_Accounts[[#This Row],[If Balance is]]))))</f>
        <v>0</v>
      </c>
      <c r="H135">
        <v>35</v>
      </c>
      <c r="I135" t="s">
        <v>294</v>
      </c>
    </row>
    <row r="136" spans="1:9" x14ac:dyDescent="0.25">
      <c r="A136" t="s">
        <v>292</v>
      </c>
      <c r="B136" s="42" t="s">
        <v>475</v>
      </c>
      <c r="C136" s="42" t="s">
        <v>465</v>
      </c>
      <c r="E136" s="42">
        <f>IF(LEFT(RBC_Personal_Accounts[[#This Row],[If Balance is]],1)&lt;&gt;"$",0,VALUE(LEFT(RBC_Personal_Accounts[[#This Row],[If Balance is]],FIND(" ",RBC_Personal_Accounts[[#This Row],[If Balance is]]))))</f>
        <v>0</v>
      </c>
      <c r="H136">
        <v>34</v>
      </c>
      <c r="I136" t="s">
        <v>293</v>
      </c>
    </row>
    <row r="137" spans="1:9" x14ac:dyDescent="0.25">
      <c r="B137" s="42" t="s">
        <v>476</v>
      </c>
      <c r="C137" s="42" t="s">
        <v>469</v>
      </c>
      <c r="E137" s="42">
        <f>IF(LEFT(RBC_Personal_Accounts[[#This Row],[If Balance is]],1)&lt;&gt;"$",0,VALUE(LEFT(RBC_Personal_Accounts[[#This Row],[If Balance is]],FIND(" ",RBC_Personal_Accounts[[#This Row],[If Balance is]]))))</f>
        <v>5000</v>
      </c>
      <c r="H137">
        <v>33</v>
      </c>
    </row>
    <row r="138" spans="1:9" x14ac:dyDescent="0.25">
      <c r="B138" s="42" t="s">
        <v>60</v>
      </c>
      <c r="C138" s="42" t="s">
        <v>472</v>
      </c>
      <c r="E138" s="42">
        <f>IF(LEFT(RBC_Personal_Accounts[[#This Row],[If Balance is]],1)&lt;&gt;"$",0,VALUE(LEFT(RBC_Personal_Accounts[[#This Row],[If Balance is]],FIND(" ",RBC_Personal_Accounts[[#This Row],[If Balance is]]))))</f>
        <v>10000</v>
      </c>
      <c r="H138">
        <v>32</v>
      </c>
    </row>
    <row r="139" spans="1:9" x14ac:dyDescent="0.25">
      <c r="B139" s="42" t="s">
        <v>59</v>
      </c>
      <c r="C139" s="42" t="s">
        <v>473</v>
      </c>
      <c r="E139" s="42">
        <f>IF(LEFT(RBC_Personal_Accounts[[#This Row],[If Balance is]],1)&lt;&gt;"$",0,VALUE(LEFT(RBC_Personal_Accounts[[#This Row],[If Balance is]],FIND(" ",RBC_Personal_Accounts[[#This Row],[If Balance is]]))))</f>
        <v>25000</v>
      </c>
      <c r="H139">
        <v>31</v>
      </c>
    </row>
    <row r="140" spans="1:9" x14ac:dyDescent="0.25">
      <c r="B140" s="42" t="s">
        <v>58</v>
      </c>
      <c r="C140" s="42" t="s">
        <v>477</v>
      </c>
      <c r="E140" s="42">
        <f>IF(LEFT(RBC_Personal_Accounts[[#This Row],[If Balance is]],1)&lt;&gt;"$",0,VALUE(LEFT(RBC_Personal_Accounts[[#This Row],[If Balance is]],FIND(" ",RBC_Personal_Accounts[[#This Row],[If Balance is]]))))</f>
        <v>60000</v>
      </c>
      <c r="H140">
        <v>30</v>
      </c>
    </row>
    <row r="141" spans="1:9" x14ac:dyDescent="0.25">
      <c r="B141" s="42" t="s">
        <v>478</v>
      </c>
      <c r="C141" s="42" t="s">
        <v>479</v>
      </c>
      <c r="E141" s="42">
        <f>IF(LEFT(RBC_Personal_Accounts[[#This Row],[If Balance is]],1)&lt;&gt;"$",0,VALUE(LEFT(RBC_Personal_Accounts[[#This Row],[If Balance is]],FIND(" ",RBC_Personal_Accounts[[#This Row],[If Balance is]]))))</f>
        <v>100000</v>
      </c>
      <c r="H141">
        <v>29</v>
      </c>
    </row>
    <row r="142" spans="1:9" x14ac:dyDescent="0.25">
      <c r="B142" s="42" t="s">
        <v>480</v>
      </c>
      <c r="C142" s="42" t="s">
        <v>481</v>
      </c>
      <c r="E142" s="42">
        <f>IF(LEFT(RBC_Personal_Accounts[[#This Row],[If Balance is]],1)&lt;&gt;"$",0,VALUE(LEFT(RBC_Personal_Accounts[[#This Row],[If Balance is]],FIND(" ",RBC_Personal_Accounts[[#This Row],[If Balance is]]))))</f>
        <v>150000</v>
      </c>
      <c r="H142">
        <v>28</v>
      </c>
    </row>
    <row r="143" spans="1:9" x14ac:dyDescent="0.25">
      <c r="B143" s="42" t="s">
        <v>482</v>
      </c>
      <c r="C143" s="42" t="s">
        <v>481</v>
      </c>
      <c r="E143" s="42">
        <f>IF(LEFT(RBC_Personal_Accounts[[#This Row],[If Balance is]],1)&lt;&gt;"$",0,VALUE(LEFT(RBC_Personal_Accounts[[#This Row],[If Balance is]],FIND(" ",RBC_Personal_Accounts[[#This Row],[If Balance is]]))))</f>
        <v>250000</v>
      </c>
      <c r="H143">
        <v>27</v>
      </c>
    </row>
    <row r="144" spans="1:9" x14ac:dyDescent="0.25">
      <c r="A144" t="s">
        <v>291</v>
      </c>
      <c r="B144" s="42" t="s">
        <v>464</v>
      </c>
      <c r="C144" s="42" t="s">
        <v>472</v>
      </c>
      <c r="E144" s="42">
        <f>IF(LEFT(RBC_Personal_Accounts[[#This Row],[If Balance is]],1)&lt;&gt;"$",0,VALUE(LEFT(RBC_Personal_Accounts[[#This Row],[If Balance is]],FIND(" ",RBC_Personal_Accounts[[#This Row],[If Balance is]]))))</f>
        <v>0</v>
      </c>
      <c r="H144">
        <v>26</v>
      </c>
      <c r="I144" t="s">
        <v>292</v>
      </c>
    </row>
    <row r="145" spans="1:9" x14ac:dyDescent="0.25">
      <c r="B145" s="42" t="s">
        <v>466</v>
      </c>
      <c r="C145" s="42" t="s">
        <v>473</v>
      </c>
      <c r="E145" s="42">
        <f>IF(LEFT(RBC_Personal_Accounts[[#This Row],[If Balance is]],1)&lt;&gt;"$",0,VALUE(LEFT(RBC_Personal_Accounts[[#This Row],[If Balance is]],FIND(" ",RBC_Personal_Accounts[[#This Row],[If Balance is]]))))</f>
        <v>1000</v>
      </c>
      <c r="H145">
        <v>25</v>
      </c>
    </row>
    <row r="146" spans="1:9" x14ac:dyDescent="0.25">
      <c r="B146" s="42" t="s">
        <v>467</v>
      </c>
      <c r="C146" s="42" t="s">
        <v>474</v>
      </c>
      <c r="E146" s="42">
        <f>IF(LEFT(RBC_Personal_Accounts[[#This Row],[If Balance is]],1)&lt;&gt;"$",0,VALUE(LEFT(RBC_Personal_Accounts[[#This Row],[If Balance is]],FIND(" ",RBC_Personal_Accounts[[#This Row],[If Balance is]]))))</f>
        <v>3000</v>
      </c>
      <c r="H146">
        <v>24</v>
      </c>
    </row>
    <row r="147" spans="1:9" x14ac:dyDescent="0.25">
      <c r="B147" s="42" t="s">
        <v>61</v>
      </c>
      <c r="C147" s="42" t="s">
        <v>474</v>
      </c>
      <c r="E147" s="42">
        <f>IF(LEFT(RBC_Personal_Accounts[[#This Row],[If Balance is]],1)&lt;&gt;"$",0,VALUE(LEFT(RBC_Personal_Accounts[[#This Row],[If Balance is]],FIND(" ",RBC_Personal_Accounts[[#This Row],[If Balance is]]))))</f>
        <v>5000</v>
      </c>
      <c r="H147">
        <v>23</v>
      </c>
    </row>
    <row r="148" spans="1:9" x14ac:dyDescent="0.25">
      <c r="A148" t="s">
        <v>290</v>
      </c>
      <c r="B148" s="42" t="s">
        <v>500</v>
      </c>
      <c r="C148" s="42" t="s">
        <v>465</v>
      </c>
      <c r="E148" s="42">
        <f>IF(LEFT(RBC_Personal_Accounts[[#This Row],[If Balance is]],1)&lt;&gt;"$",0,VALUE(LEFT(RBC_Personal_Accounts[[#This Row],[If Balance is]],FIND(" ",RBC_Personal_Accounts[[#This Row],[If Balance is]]))))</f>
        <v>0</v>
      </c>
      <c r="H148">
        <v>22</v>
      </c>
      <c r="I148" t="s">
        <v>291</v>
      </c>
    </row>
    <row r="149" spans="1:9" x14ac:dyDescent="0.25">
      <c r="A149" t="s">
        <v>289</v>
      </c>
      <c r="B149" s="42" t="s">
        <v>500</v>
      </c>
      <c r="C149" s="42" t="s">
        <v>465</v>
      </c>
      <c r="E149" s="42">
        <f>IF(LEFT(RBC_Personal_Accounts[[#This Row],[If Balance is]],1)&lt;&gt;"$",0,VALUE(LEFT(RBC_Personal_Accounts[[#This Row],[If Balance is]],FIND(" ",RBC_Personal_Accounts[[#This Row],[If Balance is]]))))</f>
        <v>0</v>
      </c>
      <c r="H149">
        <v>21</v>
      </c>
      <c r="I149" t="s">
        <v>290</v>
      </c>
    </row>
    <row r="150" spans="1:9" x14ac:dyDescent="0.25">
      <c r="A150" t="s">
        <v>288</v>
      </c>
      <c r="B150" s="42" t="s">
        <v>500</v>
      </c>
      <c r="C150" s="42" t="s">
        <v>465</v>
      </c>
      <c r="E150" s="42">
        <f>IF(LEFT(RBC_Personal_Accounts[[#This Row],[If Balance is]],1)&lt;&gt;"$",0,VALUE(LEFT(RBC_Personal_Accounts[[#This Row],[If Balance is]],FIND(" ",RBC_Personal_Accounts[[#This Row],[If Balance is]]))))</f>
        <v>0</v>
      </c>
      <c r="H150">
        <v>20</v>
      </c>
      <c r="I150" t="s">
        <v>289</v>
      </c>
    </row>
    <row r="151" spans="1:9" x14ac:dyDescent="0.25">
      <c r="A151" t="s">
        <v>287</v>
      </c>
      <c r="B151" s="42" t="s">
        <v>464</v>
      </c>
      <c r="C151" s="42" t="s">
        <v>473</v>
      </c>
      <c r="E151" s="42">
        <f>IF(LEFT(RBC_Personal_Accounts[[#This Row],[If Balance is]],1)&lt;&gt;"$",0,VALUE(LEFT(RBC_Personal_Accounts[[#This Row],[If Balance is]],FIND(" ",RBC_Personal_Accounts[[#This Row],[If Balance is]]))))</f>
        <v>0</v>
      </c>
      <c r="H151">
        <v>19</v>
      </c>
      <c r="I151" t="s">
        <v>288</v>
      </c>
    </row>
    <row r="152" spans="1:9" x14ac:dyDescent="0.25">
      <c r="B152" s="42" t="s">
        <v>466</v>
      </c>
      <c r="C152" s="42" t="s">
        <v>473</v>
      </c>
      <c r="E152" s="42">
        <f>IF(LEFT(RBC_Personal_Accounts[[#This Row],[If Balance is]],1)&lt;&gt;"$",0,VALUE(LEFT(RBC_Personal_Accounts[[#This Row],[If Balance is]],FIND(" ",RBC_Personal_Accounts[[#This Row],[If Balance is]]))))</f>
        <v>1000</v>
      </c>
      <c r="H152">
        <v>18</v>
      </c>
    </row>
    <row r="153" spans="1:9" x14ac:dyDescent="0.25">
      <c r="B153" s="42" t="s">
        <v>467</v>
      </c>
      <c r="C153" s="42" t="s">
        <v>474</v>
      </c>
      <c r="E153" s="42">
        <f>IF(LEFT(RBC_Personal_Accounts[[#This Row],[If Balance is]],1)&lt;&gt;"$",0,VALUE(LEFT(RBC_Personal_Accounts[[#This Row],[If Balance is]],FIND(" ",RBC_Personal_Accounts[[#This Row],[If Balance is]]))))</f>
        <v>3000</v>
      </c>
      <c r="H153">
        <v>17</v>
      </c>
    </row>
    <row r="154" spans="1:9" x14ac:dyDescent="0.25">
      <c r="B154" s="42" t="s">
        <v>61</v>
      </c>
      <c r="C154" s="42" t="s">
        <v>474</v>
      </c>
      <c r="E154" s="42">
        <f>IF(LEFT(RBC_Personal_Accounts[[#This Row],[If Balance is]],1)&lt;&gt;"$",0,VALUE(LEFT(RBC_Personal_Accounts[[#This Row],[If Balance is]],FIND(" ",RBC_Personal_Accounts[[#This Row],[If Balance is]]))))</f>
        <v>5000</v>
      </c>
      <c r="H154">
        <v>16</v>
      </c>
    </row>
    <row r="155" spans="1:9" x14ac:dyDescent="0.25">
      <c r="A155" t="s">
        <v>286</v>
      </c>
      <c r="B155" s="42" t="s">
        <v>500</v>
      </c>
      <c r="C155" s="42" t="s">
        <v>502</v>
      </c>
      <c r="E155" s="42">
        <f>IF(LEFT(RBC_Personal_Accounts[[#This Row],[If Balance is]],1)&lt;&gt;"$",0,VALUE(LEFT(RBC_Personal_Accounts[[#This Row],[If Balance is]],FIND(" ",RBC_Personal_Accounts[[#This Row],[If Balance is]]))))</f>
        <v>0</v>
      </c>
      <c r="H155">
        <v>15</v>
      </c>
      <c r="I155" t="s">
        <v>287</v>
      </c>
    </row>
    <row r="156" spans="1:9" x14ac:dyDescent="0.25">
      <c r="A156" t="s">
        <v>285</v>
      </c>
      <c r="B156" s="42" t="s">
        <v>464</v>
      </c>
      <c r="C156" s="42" t="s">
        <v>472</v>
      </c>
      <c r="E156" s="42">
        <f>IF(LEFT(RBC_Personal_Accounts[[#This Row],[If Balance is]],1)&lt;&gt;"$",0,VALUE(LEFT(RBC_Personal_Accounts[[#This Row],[If Balance is]],FIND(" ",RBC_Personal_Accounts[[#This Row],[If Balance is]]))))</f>
        <v>0</v>
      </c>
      <c r="H156">
        <v>14</v>
      </c>
      <c r="I156" t="s">
        <v>286</v>
      </c>
    </row>
    <row r="157" spans="1:9" x14ac:dyDescent="0.25">
      <c r="B157" s="42" t="s">
        <v>466</v>
      </c>
      <c r="C157" s="42" t="s">
        <v>473</v>
      </c>
      <c r="E157" s="42">
        <f>IF(LEFT(RBC_Personal_Accounts[[#This Row],[If Balance is]],1)&lt;&gt;"$",0,VALUE(LEFT(RBC_Personal_Accounts[[#This Row],[If Balance is]],FIND(" ",RBC_Personal_Accounts[[#This Row],[If Balance is]]))))</f>
        <v>1000</v>
      </c>
      <c r="H157">
        <v>13</v>
      </c>
    </row>
    <row r="158" spans="1:9" x14ac:dyDescent="0.25">
      <c r="B158" s="42" t="s">
        <v>467</v>
      </c>
      <c r="C158" s="42" t="s">
        <v>474</v>
      </c>
      <c r="E158" s="42">
        <f>IF(LEFT(RBC_Personal_Accounts[[#This Row],[If Balance is]],1)&lt;&gt;"$",0,VALUE(LEFT(RBC_Personal_Accounts[[#This Row],[If Balance is]],FIND(" ",RBC_Personal_Accounts[[#This Row],[If Balance is]]))))</f>
        <v>3000</v>
      </c>
      <c r="H158">
        <v>12</v>
      </c>
    </row>
    <row r="159" spans="1:9" x14ac:dyDescent="0.25">
      <c r="B159" s="42" t="s">
        <v>61</v>
      </c>
      <c r="C159" s="42" t="s">
        <v>474</v>
      </c>
      <c r="E159" s="42">
        <f>IF(LEFT(RBC_Personal_Accounts[[#This Row],[If Balance is]],1)&lt;&gt;"$",0,VALUE(LEFT(RBC_Personal_Accounts[[#This Row],[If Balance is]],FIND(" ",RBC_Personal_Accounts[[#This Row],[If Balance is]]))))</f>
        <v>5000</v>
      </c>
      <c r="H159">
        <v>11</v>
      </c>
    </row>
    <row r="160" spans="1:9" x14ac:dyDescent="0.25">
      <c r="A160" t="s">
        <v>284</v>
      </c>
      <c r="B160" s="42" t="s">
        <v>475</v>
      </c>
      <c r="C160" s="42" t="s">
        <v>465</v>
      </c>
      <c r="E160" s="42">
        <f>IF(LEFT(RBC_Personal_Accounts[[#This Row],[If Balance is]],1)&lt;&gt;"$",0,VALUE(LEFT(RBC_Personal_Accounts[[#This Row],[If Balance is]],FIND(" ",RBC_Personal_Accounts[[#This Row],[If Balance is]]))))</f>
        <v>0</v>
      </c>
      <c r="H160">
        <v>10</v>
      </c>
      <c r="I160" t="s">
        <v>285</v>
      </c>
    </row>
    <row r="161" spans="1:9" x14ac:dyDescent="0.25">
      <c r="B161" s="42" t="s">
        <v>476</v>
      </c>
      <c r="C161" s="42" t="s">
        <v>469</v>
      </c>
      <c r="E161" s="42">
        <f>IF(LEFT(RBC_Personal_Accounts[[#This Row],[If Balance is]],1)&lt;&gt;"$",0,VALUE(LEFT(RBC_Personal_Accounts[[#This Row],[If Balance is]],FIND(" ",RBC_Personal_Accounts[[#This Row],[If Balance is]]))))</f>
        <v>5000</v>
      </c>
      <c r="H161">
        <v>9</v>
      </c>
    </row>
    <row r="162" spans="1:9" x14ac:dyDescent="0.25">
      <c r="B162" s="42" t="s">
        <v>60</v>
      </c>
      <c r="C162" s="42" t="s">
        <v>472</v>
      </c>
      <c r="E162" s="42">
        <f>IF(LEFT(RBC_Personal_Accounts[[#This Row],[If Balance is]],1)&lt;&gt;"$",0,VALUE(LEFT(RBC_Personal_Accounts[[#This Row],[If Balance is]],FIND(" ",RBC_Personal_Accounts[[#This Row],[If Balance is]]))))</f>
        <v>10000</v>
      </c>
      <c r="H162">
        <v>8</v>
      </c>
    </row>
    <row r="163" spans="1:9" x14ac:dyDescent="0.25">
      <c r="B163" s="42" t="s">
        <v>59</v>
      </c>
      <c r="C163" s="42" t="s">
        <v>473</v>
      </c>
      <c r="E163" s="42">
        <f>IF(LEFT(RBC_Personal_Accounts[[#This Row],[If Balance is]],1)&lt;&gt;"$",0,VALUE(LEFT(RBC_Personal_Accounts[[#This Row],[If Balance is]],FIND(" ",RBC_Personal_Accounts[[#This Row],[If Balance is]]))))</f>
        <v>25000</v>
      </c>
      <c r="H163">
        <v>7</v>
      </c>
    </row>
    <row r="164" spans="1:9" x14ac:dyDescent="0.25">
      <c r="B164" s="42" t="s">
        <v>58</v>
      </c>
      <c r="C164" s="42" t="s">
        <v>477</v>
      </c>
      <c r="E164" s="42">
        <f>IF(LEFT(RBC_Personal_Accounts[[#This Row],[If Balance is]],1)&lt;&gt;"$",0,VALUE(LEFT(RBC_Personal_Accounts[[#This Row],[If Balance is]],FIND(" ",RBC_Personal_Accounts[[#This Row],[If Balance is]]))))</f>
        <v>60000</v>
      </c>
      <c r="H164">
        <v>6</v>
      </c>
    </row>
    <row r="165" spans="1:9" x14ac:dyDescent="0.25">
      <c r="B165" s="42" t="s">
        <v>478</v>
      </c>
      <c r="C165" s="42" t="s">
        <v>479</v>
      </c>
      <c r="E165" s="42">
        <f>IF(LEFT(RBC_Personal_Accounts[[#This Row],[If Balance is]],1)&lt;&gt;"$",0,VALUE(LEFT(RBC_Personal_Accounts[[#This Row],[If Balance is]],FIND(" ",RBC_Personal_Accounts[[#This Row],[If Balance is]]))))</f>
        <v>100000</v>
      </c>
      <c r="H165">
        <v>5</v>
      </c>
    </row>
    <row r="166" spans="1:9" x14ac:dyDescent="0.25">
      <c r="B166" s="42" t="s">
        <v>480</v>
      </c>
      <c r="C166" s="42" t="s">
        <v>481</v>
      </c>
      <c r="E166" s="42">
        <f>IF(LEFT(RBC_Personal_Accounts[[#This Row],[If Balance is]],1)&lt;&gt;"$",0,VALUE(LEFT(RBC_Personal_Accounts[[#This Row],[If Balance is]],FIND(" ",RBC_Personal_Accounts[[#This Row],[If Balance is]]))))</f>
        <v>150000</v>
      </c>
      <c r="H166">
        <v>4</v>
      </c>
    </row>
    <row r="167" spans="1:9" x14ac:dyDescent="0.25">
      <c r="B167" s="42" t="s">
        <v>482</v>
      </c>
      <c r="C167" s="42" t="s">
        <v>481</v>
      </c>
      <c r="E167" s="42">
        <f>IF(LEFT(RBC_Personal_Accounts[[#This Row],[If Balance is]],1)&lt;&gt;"$",0,VALUE(LEFT(RBC_Personal_Accounts[[#This Row],[If Balance is]],FIND(" ",RBC_Personal_Accounts[[#This Row],[If Balance is]]))))</f>
        <v>250000</v>
      </c>
      <c r="H167">
        <v>3</v>
      </c>
    </row>
    <row r="168" spans="1:9" x14ac:dyDescent="0.25">
      <c r="A168" t="s">
        <v>51</v>
      </c>
      <c r="B168" s="42" t="s">
        <v>500</v>
      </c>
      <c r="C168" s="42" t="s">
        <v>503</v>
      </c>
      <c r="E168" s="42">
        <f>IF(LEFT(RBC_Personal_Accounts[[#This Row],[If Balance is]],1)&lt;&gt;"$",0,VALUE(LEFT(RBC_Personal_Accounts[[#This Row],[If Balance is]],FIND(" ",RBC_Personal_Accounts[[#This Row],[If Balance is]]))))</f>
        <v>0</v>
      </c>
      <c r="H168">
        <v>2</v>
      </c>
      <c r="I168" t="s">
        <v>284</v>
      </c>
    </row>
    <row r="169" spans="1:9" x14ac:dyDescent="0.25">
      <c r="E169" s="42"/>
      <c r="H169">
        <v>1</v>
      </c>
      <c r="I169" t="s">
        <v>51</v>
      </c>
    </row>
  </sheetData>
  <pageMargins left="0.7" right="0.7" top="0.75" bottom="0.75" header="0.3" footer="0.3"/>
  <tableParts count="2">
    <tablePart r:id="rId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A24EF-BF9F-4211-B31A-37519D5F4FCB}">
  <sheetPr codeName="Sheet13"/>
  <dimension ref="A1:E57"/>
  <sheetViews>
    <sheetView workbookViewId="0">
      <selection activeCell="B10" sqref="B10:C11"/>
    </sheetView>
  </sheetViews>
  <sheetFormatPr defaultRowHeight="15" x14ac:dyDescent="0.25"/>
  <cols>
    <col min="1" max="1" width="30.42578125" bestFit="1" customWidth="1"/>
    <col min="2" max="2" width="15" bestFit="1" customWidth="1"/>
    <col min="3" max="3" width="17.5703125" bestFit="1" customWidth="1"/>
    <col min="4" max="4" width="15" bestFit="1" customWidth="1"/>
    <col min="5" max="5" width="17.5703125" bestFit="1" customWidth="1"/>
  </cols>
  <sheetData>
    <row r="1" spans="1:5" x14ac:dyDescent="0.25">
      <c r="A1" t="s">
        <v>63</v>
      </c>
      <c r="E1" s="39"/>
    </row>
    <row r="2" spans="1:5" x14ac:dyDescent="0.25">
      <c r="A2" t="s">
        <v>64</v>
      </c>
    </row>
    <row r="8" spans="1:5" x14ac:dyDescent="0.25">
      <c r="A8" t="s">
        <v>65</v>
      </c>
    </row>
    <row r="10" spans="1:5" x14ac:dyDescent="0.25">
      <c r="A10" t="s">
        <v>19</v>
      </c>
      <c r="B10" t="s">
        <v>346</v>
      </c>
      <c r="C10" t="s">
        <v>345</v>
      </c>
    </row>
    <row r="11" spans="1:5" x14ac:dyDescent="0.25">
      <c r="B11" s="18" t="s">
        <v>347</v>
      </c>
      <c r="C11" s="42">
        <v>1.1499999999999999</v>
      </c>
    </row>
    <row r="12" spans="1:5" x14ac:dyDescent="0.25">
      <c r="A12" t="s">
        <v>66</v>
      </c>
    </row>
    <row r="14" spans="1:5" x14ac:dyDescent="0.25">
      <c r="A14" t="s">
        <v>67</v>
      </c>
    </row>
    <row r="22" spans="1:1" x14ac:dyDescent="0.25">
      <c r="A22" t="s">
        <v>68</v>
      </c>
    </row>
    <row r="30" spans="1:1" x14ac:dyDescent="0.25">
      <c r="A30" t="s">
        <v>69</v>
      </c>
    </row>
    <row r="33" spans="1:1" x14ac:dyDescent="0.25">
      <c r="A33" t="s">
        <v>70</v>
      </c>
    </row>
    <row r="41" spans="1:1" x14ac:dyDescent="0.25">
      <c r="A41" t="s">
        <v>71</v>
      </c>
    </row>
    <row r="47" spans="1:1" x14ac:dyDescent="0.25">
      <c r="A47" t="s">
        <v>72</v>
      </c>
    </row>
    <row r="49" spans="1:1" x14ac:dyDescent="0.25">
      <c r="A49" t="s">
        <v>73</v>
      </c>
    </row>
    <row r="57" spans="1:1" x14ac:dyDescent="0.25">
      <c r="A57" t="s">
        <v>74</v>
      </c>
    </row>
  </sheetData>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160AD-1C8C-4DC3-850F-7FC1DE304E58}">
  <sheetPr codeName="Sheet16"/>
  <dimension ref="A1:D96"/>
  <sheetViews>
    <sheetView workbookViewId="0">
      <selection activeCell="C12" sqref="C12"/>
    </sheetView>
  </sheetViews>
  <sheetFormatPr defaultRowHeight="15" x14ac:dyDescent="0.25"/>
  <cols>
    <col min="1" max="1" width="56.7109375" bestFit="1" customWidth="1"/>
    <col min="2" max="2" width="36.5703125" bestFit="1" customWidth="1"/>
    <col min="3" max="3" width="10.28515625" style="42" bestFit="1" customWidth="1"/>
    <col min="4" max="4" width="14.7109375" bestFit="1" customWidth="1"/>
  </cols>
  <sheetData>
    <row r="1" spans="1:4" x14ac:dyDescent="0.25">
      <c r="A1" t="s">
        <v>430</v>
      </c>
      <c r="B1" t="s">
        <v>337</v>
      </c>
      <c r="C1" t="s">
        <v>56</v>
      </c>
    </row>
    <row r="2" spans="1:4" x14ac:dyDescent="0.25">
      <c r="B2" s="18" t="s">
        <v>23</v>
      </c>
      <c r="C2" s="18">
        <v>1.2E-2</v>
      </c>
    </row>
    <row r="3" spans="1:4" x14ac:dyDescent="0.25">
      <c r="B3" s="18" t="s">
        <v>400</v>
      </c>
      <c r="C3" s="18">
        <v>0</v>
      </c>
    </row>
    <row r="4" spans="1:4" x14ac:dyDescent="0.25">
      <c r="B4" s="18" t="s">
        <v>401</v>
      </c>
      <c r="C4" s="18">
        <v>0.15</v>
      </c>
    </row>
    <row r="6" spans="1:4" x14ac:dyDescent="0.25">
      <c r="A6" t="s">
        <v>431</v>
      </c>
      <c r="B6" s="42" t="s">
        <v>337</v>
      </c>
      <c r="C6" s="42" t="s">
        <v>56</v>
      </c>
      <c r="D6" s="42"/>
    </row>
    <row r="7" spans="1:4" x14ac:dyDescent="0.25">
      <c r="B7" s="18" t="s">
        <v>24</v>
      </c>
      <c r="C7" s="42">
        <v>1.4999999999999999E-2</v>
      </c>
    </row>
    <row r="8" spans="1:4" x14ac:dyDescent="0.25">
      <c r="B8" s="18" t="s">
        <v>424</v>
      </c>
      <c r="C8" s="42">
        <v>1.2E-2</v>
      </c>
    </row>
    <row r="9" spans="1:4" x14ac:dyDescent="0.25">
      <c r="B9" s="18" t="s">
        <v>425</v>
      </c>
      <c r="C9" s="42">
        <v>1.4999999999999999E-2</v>
      </c>
    </row>
    <row r="10" spans="1:4" s="42" customFormat="1" x14ac:dyDescent="0.25">
      <c r="B10" s="74" t="s">
        <v>426</v>
      </c>
      <c r="C10" s="42">
        <v>1.4999999999999999E-2</v>
      </c>
    </row>
    <row r="11" spans="1:4" s="42" customFormat="1" x14ac:dyDescent="0.25">
      <c r="B11" s="74" t="s">
        <v>427</v>
      </c>
      <c r="C11" s="42">
        <v>1.4999999999999999E-2</v>
      </c>
    </row>
    <row r="12" spans="1:4" s="42" customFormat="1" x14ac:dyDescent="0.25">
      <c r="B12" s="74" t="s">
        <v>360</v>
      </c>
      <c r="C12" s="42">
        <v>5.0000000000000001E-3</v>
      </c>
    </row>
    <row r="13" spans="1:4" s="42" customFormat="1" x14ac:dyDescent="0.25">
      <c r="B13" s="74" t="s">
        <v>428</v>
      </c>
      <c r="C13" s="42">
        <v>5.0000000000000001E-3</v>
      </c>
    </row>
    <row r="14" spans="1:4" s="42" customFormat="1" x14ac:dyDescent="0.25"/>
    <row r="15" spans="1:4" s="42" customFormat="1" x14ac:dyDescent="0.25">
      <c r="B15"/>
      <c r="C15" s="39"/>
    </row>
    <row r="16" spans="1:4" s="42" customFormat="1" x14ac:dyDescent="0.25">
      <c r="B16" t="s">
        <v>409</v>
      </c>
      <c r="C16" t="s">
        <v>429</v>
      </c>
    </row>
    <row r="17" spans="1:4" s="42" customFormat="1" x14ac:dyDescent="0.25">
      <c r="A17" s="58" t="s">
        <v>383</v>
      </c>
      <c r="B17">
        <v>1.6E-2</v>
      </c>
      <c r="C17" s="42">
        <v>1.7000000000000001E-2</v>
      </c>
    </row>
    <row r="18" spans="1:4" s="42" customFormat="1" x14ac:dyDescent="0.25">
      <c r="B18" s="58"/>
    </row>
    <row r="19" spans="1:4" s="42" customFormat="1" x14ac:dyDescent="0.25">
      <c r="B19"/>
    </row>
    <row r="20" spans="1:4" x14ac:dyDescent="0.25">
      <c r="A20" t="s">
        <v>118</v>
      </c>
    </row>
    <row r="21" spans="1:4" s="42" customFormat="1" x14ac:dyDescent="0.25">
      <c r="B21"/>
      <c r="D21"/>
    </row>
    <row r="22" spans="1:4" x14ac:dyDescent="0.25">
      <c r="A22" s="42" t="s">
        <v>47</v>
      </c>
    </row>
    <row r="23" spans="1:4" x14ac:dyDescent="0.25">
      <c r="A23" s="42"/>
    </row>
    <row r="24" spans="1:4" x14ac:dyDescent="0.25">
      <c r="A24" s="42"/>
    </row>
    <row r="26" spans="1:4" x14ac:dyDescent="0.25">
      <c r="A26" t="s">
        <v>119</v>
      </c>
    </row>
    <row r="32" spans="1:4" x14ac:dyDescent="0.25">
      <c r="A32" t="s">
        <v>120</v>
      </c>
    </row>
    <row r="38" spans="1:1" x14ac:dyDescent="0.25">
      <c r="A38" t="s">
        <v>121</v>
      </c>
    </row>
    <row r="44" spans="1:1" x14ac:dyDescent="0.25">
      <c r="A44" t="s">
        <v>122</v>
      </c>
    </row>
    <row r="58" spans="1:1" x14ac:dyDescent="0.25">
      <c r="A58" t="s">
        <v>123</v>
      </c>
    </row>
    <row r="71" spans="1:1" x14ac:dyDescent="0.25">
      <c r="A71" t="s">
        <v>124</v>
      </c>
    </row>
    <row r="81" spans="1:1" x14ac:dyDescent="0.25">
      <c r="A81" t="s">
        <v>125</v>
      </c>
    </row>
    <row r="84" spans="1:1" x14ac:dyDescent="0.25">
      <c r="A84" t="s">
        <v>126</v>
      </c>
    </row>
    <row r="86" spans="1:1" x14ac:dyDescent="0.25">
      <c r="A86" t="s">
        <v>127</v>
      </c>
    </row>
    <row r="88" spans="1:1" x14ac:dyDescent="0.25">
      <c r="A88" t="s">
        <v>128</v>
      </c>
    </row>
    <row r="96" spans="1:1" x14ac:dyDescent="0.25">
      <c r="A96" s="2"/>
    </row>
  </sheetData>
  <pageMargins left="0.7" right="0.7" top="0.75" bottom="0.75" header="0.3" footer="0.3"/>
  <tableParts count="4">
    <tablePart r:id="rId1"/>
    <tablePart r:id="rId2"/>
    <tablePart r:id="rId3"/>
    <tablePart r:id="rId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1BB7-5E27-4634-A257-3A854600ED19}">
  <sheetPr codeName="Sheet15"/>
  <dimension ref="A1:E28"/>
  <sheetViews>
    <sheetView workbookViewId="0">
      <selection activeCell="B16" sqref="B16"/>
    </sheetView>
  </sheetViews>
  <sheetFormatPr defaultRowHeight="15" x14ac:dyDescent="0.25"/>
  <cols>
    <col min="1" max="1" width="56" bestFit="1" customWidth="1"/>
    <col min="2" max="2" width="34.7109375" bestFit="1" customWidth="1"/>
    <col min="3" max="3" width="7.28515625" bestFit="1" customWidth="1"/>
    <col min="4" max="4" width="10.5703125" customWidth="1"/>
    <col min="5" max="6" width="15.85546875" bestFit="1" customWidth="1"/>
    <col min="7" max="7" width="12.5703125" bestFit="1" customWidth="1"/>
  </cols>
  <sheetData>
    <row r="1" spans="1:5" x14ac:dyDescent="0.25">
      <c r="B1" t="s">
        <v>247</v>
      </c>
      <c r="C1" t="s">
        <v>50</v>
      </c>
      <c r="E1" s="39" t="s">
        <v>269</v>
      </c>
    </row>
    <row r="2" spans="1:5" x14ac:dyDescent="0.25">
      <c r="A2" t="s">
        <v>93</v>
      </c>
      <c r="B2" s="18" t="s">
        <v>280</v>
      </c>
      <c r="C2">
        <v>1E-3</v>
      </c>
      <c r="E2">
        <f>IF(LEFT(NBC_Bank_Accounts[[#This Row],[Balance]],1)&lt;&gt;"$",0,VALUE(LEFT(NBC_Bank_Accounts[[#This Row],[Balance]],FIND(" ",NBC_Bank_Accounts[[#This Row],[Balance]])-1)))</f>
        <v>0</v>
      </c>
    </row>
    <row r="3" spans="1:5" x14ac:dyDescent="0.25">
      <c r="B3" s="18" t="s">
        <v>94</v>
      </c>
      <c r="C3">
        <v>1E-4</v>
      </c>
      <c r="E3">
        <f>IF(LEFT(NBC_Bank_Accounts[[#This Row],[Balance]],1)&lt;&gt;"$",0,VALUE(LEFT(NBC_Bank_Accounts[[#This Row],[Balance]],FIND(" ",NBC_Bank_Accounts[[#This Row],[Balance]])-1)))</f>
        <v>0</v>
      </c>
    </row>
    <row r="4" spans="1:5" x14ac:dyDescent="0.25">
      <c r="B4" s="18" t="s">
        <v>95</v>
      </c>
      <c r="C4">
        <v>1E-4</v>
      </c>
      <c r="E4">
        <f>IF(LEFT(NBC_Bank_Accounts[[#This Row],[Balance]],1)&lt;&gt;"$",0,VALUE(LEFT(NBC_Bank_Accounts[[#This Row],[Balance]],FIND(" ",NBC_Bank_Accounts[[#This Row],[Balance]])-1)))</f>
        <v>0</v>
      </c>
    </row>
    <row r="5" spans="1:5" x14ac:dyDescent="0.25">
      <c r="B5" s="18" t="s">
        <v>96</v>
      </c>
      <c r="C5">
        <v>5.0000000000000001E-4</v>
      </c>
      <c r="E5">
        <f>IF(LEFT(NBC_Bank_Accounts[[#This Row],[Balance]],1)&lt;&gt;"$",0,VALUE(LEFT(NBC_Bank_Accounts[[#This Row],[Balance]],FIND(" ",NBC_Bank_Accounts[[#This Row],[Balance]])-1)))</f>
        <v>0</v>
      </c>
    </row>
    <row r="6" spans="1:5" x14ac:dyDescent="0.25">
      <c r="B6" s="18" t="s">
        <v>97</v>
      </c>
      <c r="C6">
        <v>5.0000000000000001E-4</v>
      </c>
      <c r="E6">
        <f>IF(LEFT(NBC_Bank_Accounts[[#This Row],[Balance]],1)&lt;&gt;"$",0,VALUE(LEFT(NBC_Bank_Accounts[[#This Row],[Balance]],FIND(" ",NBC_Bank_Accounts[[#This Row],[Balance]])-1)))</f>
        <v>0</v>
      </c>
    </row>
    <row r="7" spans="1:5" x14ac:dyDescent="0.25">
      <c r="A7" t="s">
        <v>98</v>
      </c>
      <c r="B7" s="18" t="s">
        <v>99</v>
      </c>
      <c r="C7">
        <v>0</v>
      </c>
      <c r="E7">
        <f>IF(LEFT(NBC_Bank_Accounts[[#This Row],[Balance]],1)&lt;&gt;"$",0,VALUE(LEFT(NBC_Bank_Accounts[[#This Row],[Balance]],FIND(" ",NBC_Bank_Accounts[[#This Row],[Balance]])-1)))</f>
        <v>0</v>
      </c>
    </row>
    <row r="8" spans="1:5" x14ac:dyDescent="0.25">
      <c r="B8" s="18" t="s">
        <v>100</v>
      </c>
      <c r="C8">
        <v>2.0000000000000001E-4</v>
      </c>
      <c r="E8">
        <f>IF(LEFT(NBC_Bank_Accounts[[#This Row],[Balance]],1)&lt;&gt;"$",0,VALUE(LEFT(NBC_Bank_Accounts[[#This Row],[Balance]],FIND(" ",NBC_Bank_Accounts[[#This Row],[Balance]])-1)))</f>
        <v>2000</v>
      </c>
    </row>
    <row r="9" spans="1:5" x14ac:dyDescent="0.25">
      <c r="B9" s="18" t="s">
        <v>60</v>
      </c>
      <c r="C9">
        <v>2.0000000000000001E-4</v>
      </c>
      <c r="E9">
        <f>IF(LEFT(NBC_Bank_Accounts[[#This Row],[Balance]],1)&lt;&gt;"$",0,VALUE(LEFT(NBC_Bank_Accounts[[#This Row],[Balance]],FIND(" ",NBC_Bank_Accounts[[#This Row],[Balance]])-1)))</f>
        <v>10000</v>
      </c>
    </row>
    <row r="10" spans="1:5" x14ac:dyDescent="0.25">
      <c r="B10" s="18" t="s">
        <v>59</v>
      </c>
      <c r="C10">
        <v>5.0000000000000001E-4</v>
      </c>
      <c r="E10">
        <f>IF(LEFT(NBC_Bank_Accounts[[#This Row],[Balance]],1)&lt;&gt;"$",0,VALUE(LEFT(NBC_Bank_Accounts[[#This Row],[Balance]],FIND(" ",NBC_Bank_Accounts[[#This Row],[Balance]])-1)))</f>
        <v>25000</v>
      </c>
    </row>
    <row r="11" spans="1:5" x14ac:dyDescent="0.25">
      <c r="B11" s="18" t="s">
        <v>58</v>
      </c>
      <c r="C11">
        <v>1E-3</v>
      </c>
      <c r="E11">
        <f>IF(LEFT(NBC_Bank_Accounts[[#This Row],[Balance]],1)&lt;&gt;"$",0,VALUE(LEFT(NBC_Bank_Accounts[[#This Row],[Balance]],FIND(" ",NBC_Bank_Accounts[[#This Row],[Balance]])-1)))</f>
        <v>60000</v>
      </c>
    </row>
    <row r="12" spans="1:5" x14ac:dyDescent="0.25">
      <c r="B12" s="18" t="s">
        <v>101</v>
      </c>
      <c r="C12">
        <v>1.5E-3</v>
      </c>
      <c r="E12">
        <f>IF(LEFT(NBC_Bank_Accounts[[#This Row],[Balance]],1)&lt;&gt;"$",0,VALUE(LEFT(NBC_Bank_Accounts[[#This Row],[Balance]],FIND(" ",NBC_Bank_Accounts[[#This Row],[Balance]])-1)))</f>
        <v>100000</v>
      </c>
    </row>
    <row r="13" spans="1:5" x14ac:dyDescent="0.25">
      <c r="A13" t="s">
        <v>104</v>
      </c>
      <c r="B13" s="18" t="s">
        <v>105</v>
      </c>
      <c r="C13">
        <v>0</v>
      </c>
      <c r="E13">
        <f>IF(LEFT(NBC_Bank_Accounts[[#This Row],[Balance]],1)&lt;&gt;"$",0,VALUE(LEFT(NBC_Bank_Accounts[[#This Row],[Balance]],FIND(" ",NBC_Bank_Accounts[[#This Row],[Balance]])-1)))</f>
        <v>0</v>
      </c>
    </row>
    <row r="14" spans="1:5" x14ac:dyDescent="0.25">
      <c r="B14" s="18" t="s">
        <v>106</v>
      </c>
      <c r="C14">
        <v>0</v>
      </c>
      <c r="E14">
        <f>IF(LEFT(NBC_Bank_Accounts[[#This Row],[Balance]],1)&lt;&gt;"$",0,VALUE(LEFT(NBC_Bank_Accounts[[#This Row],[Balance]],FIND(" ",NBC_Bank_Accounts[[#This Row],[Balance]])-1)))</f>
        <v>1000</v>
      </c>
    </row>
    <row r="15" spans="1:5" x14ac:dyDescent="0.25">
      <c r="B15" s="18" t="s">
        <v>107</v>
      </c>
      <c r="C15">
        <v>0</v>
      </c>
      <c r="E15">
        <f>IF(LEFT(NBC_Bank_Accounts[[#This Row],[Balance]],1)&lt;&gt;"$",0,VALUE(LEFT(NBC_Bank_Accounts[[#This Row],[Balance]],FIND(" ",NBC_Bank_Accounts[[#This Row],[Balance]])-1)))</f>
        <v>2000</v>
      </c>
    </row>
    <row r="16" spans="1:5" x14ac:dyDescent="0.25">
      <c r="B16" s="18" t="s">
        <v>103</v>
      </c>
      <c r="C16">
        <v>1E-3</v>
      </c>
      <c r="E16">
        <f>IF(LEFT(NBC_Bank_Accounts[[#This Row],[Balance]],1)&lt;&gt;"$",0,VALUE(LEFT(NBC_Bank_Accounts[[#This Row],[Balance]],FIND(" ",NBC_Bank_Accounts[[#This Row],[Balance]])-1)))</f>
        <v>5000</v>
      </c>
    </row>
    <row r="17" spans="1:5" x14ac:dyDescent="0.25">
      <c r="B17" s="18" t="s">
        <v>108</v>
      </c>
      <c r="C17">
        <v>1.5E-3</v>
      </c>
      <c r="E17">
        <f>IF(LEFT(NBC_Bank_Accounts[[#This Row],[Balance]],1)&lt;&gt;"$",0,VALUE(LEFT(NBC_Bank_Accounts[[#This Row],[Balance]],FIND(" ",NBC_Bank_Accounts[[#This Row],[Balance]])-1)))</f>
        <v>10000</v>
      </c>
    </row>
    <row r="18" spans="1:5" x14ac:dyDescent="0.25">
      <c r="A18" t="s">
        <v>109</v>
      </c>
      <c r="B18" s="18" t="s">
        <v>105</v>
      </c>
      <c r="C18">
        <v>2.0000000000000001E-4</v>
      </c>
      <c r="E18">
        <f>IF(LEFT(NBC_Bank_Accounts[[#This Row],[Balance]],1)&lt;&gt;"$",0,VALUE(LEFT(NBC_Bank_Accounts[[#This Row],[Balance]],FIND(" ",NBC_Bank_Accounts[[#This Row],[Balance]])-1)))</f>
        <v>0</v>
      </c>
    </row>
    <row r="19" spans="1:5" x14ac:dyDescent="0.25">
      <c r="B19" s="18" t="s">
        <v>103</v>
      </c>
      <c r="C19">
        <v>1E-3</v>
      </c>
      <c r="E19">
        <f>IF(LEFT(NBC_Bank_Accounts[[#This Row],[Balance]],1)&lt;&gt;"$",0,VALUE(LEFT(NBC_Bank_Accounts[[#This Row],[Balance]],FIND(" ",NBC_Bank_Accounts[[#This Row],[Balance]])-1)))</f>
        <v>5000</v>
      </c>
    </row>
    <row r="20" spans="1:5" x14ac:dyDescent="0.25">
      <c r="B20" s="18" t="s">
        <v>110</v>
      </c>
      <c r="C20">
        <v>1E-3</v>
      </c>
      <c r="E20">
        <f>IF(LEFT(NBC_Bank_Accounts[[#This Row],[Balance]],1)&lt;&gt;"$",0,VALUE(LEFT(NBC_Bank_Accounts[[#This Row],[Balance]],FIND(" ",NBC_Bank_Accounts[[#This Row],[Balance]])-1)))</f>
        <v>25000</v>
      </c>
    </row>
    <row r="21" spans="1:5" x14ac:dyDescent="0.25">
      <c r="B21" s="18" t="s">
        <v>111</v>
      </c>
      <c r="C21">
        <v>1.5E-3</v>
      </c>
      <c r="E21">
        <f>IF(LEFT(NBC_Bank_Accounts[[#This Row],[Balance]],1)&lt;&gt;"$",0,VALUE(LEFT(NBC_Bank_Accounts[[#This Row],[Balance]],FIND(" ",NBC_Bank_Accounts[[#This Row],[Balance]])-1)))</f>
        <v>60000</v>
      </c>
    </row>
    <row r="22" spans="1:5" x14ac:dyDescent="0.25">
      <c r="B22" s="18" t="s">
        <v>281</v>
      </c>
      <c r="C22">
        <v>2.5000000000000001E-3</v>
      </c>
      <c r="E22">
        <f>IF(LEFT(NBC_Bank_Accounts[[#This Row],[Balance]],1)&lt;&gt;"$",0,VALUE(LEFT(NBC_Bank_Accounts[[#This Row],[Balance]],FIND(" ",NBC_Bank_Accounts[[#This Row],[Balance]])-1)))</f>
        <v>100000</v>
      </c>
    </row>
    <row r="23" spans="1:5" x14ac:dyDescent="0.25">
      <c r="A23" t="s">
        <v>112</v>
      </c>
      <c r="B23" s="18" t="s">
        <v>105</v>
      </c>
      <c r="C23">
        <v>5.0000000000000001E-4</v>
      </c>
      <c r="E23">
        <f>IF(LEFT(NBC_Bank_Accounts[[#This Row],[Balance]],1)&lt;&gt;"$",0,VALUE(LEFT(NBC_Bank_Accounts[[#This Row],[Balance]],FIND(" ",NBC_Bank_Accounts[[#This Row],[Balance]])-1)))</f>
        <v>0</v>
      </c>
    </row>
    <row r="24" spans="1:5" x14ac:dyDescent="0.25">
      <c r="B24" s="18" t="s">
        <v>113</v>
      </c>
      <c r="C24">
        <v>2E-3</v>
      </c>
      <c r="E24">
        <f>IF(LEFT(NBC_Bank_Accounts[[#This Row],[Balance]],1)&lt;&gt;"$",0,VALUE(LEFT(NBC_Bank_Accounts[[#This Row],[Balance]],FIND(" ",NBC_Bank_Accounts[[#This Row],[Balance]])-1)))</f>
        <v>3000</v>
      </c>
    </row>
    <row r="25" spans="1:5" x14ac:dyDescent="0.25">
      <c r="B25" s="18" t="s">
        <v>114</v>
      </c>
      <c r="C25">
        <v>4.0000000000000001E-3</v>
      </c>
      <c r="E25">
        <f>IF(LEFT(NBC_Bank_Accounts[[#This Row],[Balance]],1)&lt;&gt;"$",0,VALUE(LEFT(NBC_Bank_Accounts[[#This Row],[Balance]],FIND(" ",NBC_Bank_Accounts[[#This Row],[Balance]])-1)))</f>
        <v>30000</v>
      </c>
    </row>
    <row r="26" spans="1:5" x14ac:dyDescent="0.25">
      <c r="A26" t="s">
        <v>115</v>
      </c>
      <c r="B26" s="18" t="s">
        <v>116</v>
      </c>
      <c r="C26">
        <v>0.21</v>
      </c>
      <c r="E26">
        <f>IF(LEFT(NBC_Bank_Accounts[[#This Row],[Balance]],1)&lt;&gt;"$",0,VALUE(LEFT(NBC_Bank_Accounts[[#This Row],[Balance]],FIND(" ",NBC_Bank_Accounts[[#This Row],[Balance]])-1)))</f>
        <v>0</v>
      </c>
    </row>
    <row r="27" spans="1:5" x14ac:dyDescent="0.25">
      <c r="B27" s="18" t="s">
        <v>117</v>
      </c>
      <c r="C27">
        <v>0.21</v>
      </c>
      <c r="E27">
        <f>IF(LEFT(NBC_Bank_Accounts[[#This Row],[Balance]],1)&lt;&gt;"$",0,VALUE(LEFT(NBC_Bank_Accounts[[#This Row],[Balance]],FIND(" ",NBC_Bank_Accounts[[#This Row],[Balance]])-1)))</f>
        <v>0</v>
      </c>
    </row>
    <row r="28" spans="1:5" x14ac:dyDescent="0.25">
      <c r="A28" t="s">
        <v>102</v>
      </c>
      <c r="B28" s="18" t="s">
        <v>105</v>
      </c>
      <c r="C28">
        <v>0.01</v>
      </c>
      <c r="E28">
        <f>IF(LEFT(NBC_Bank_Accounts[[#This Row],[Balance]],1)&lt;&gt;"$",0,VALUE(LEFT(NBC_Bank_Accounts[[#This Row],[Balance]],FIND(" ",NBC_Bank_Accounts[[#This Row],[Balance]])-1)))</f>
        <v>0</v>
      </c>
    </row>
  </sheetData>
  <pageMargins left="0.7" right="0.7" top="0.75" bottom="0.75" header="0.3" footer="0.3"/>
  <pageSetup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C8081-6A83-47D2-AD9D-392DF2744A8A}">
  <sheetPr codeName="Sheet26"/>
  <dimension ref="A1:I13"/>
  <sheetViews>
    <sheetView workbookViewId="0">
      <selection activeCell="B4" sqref="B4"/>
    </sheetView>
  </sheetViews>
  <sheetFormatPr defaultRowHeight="15" x14ac:dyDescent="0.25"/>
  <cols>
    <col min="1" max="1" width="31" style="42" bestFit="1" customWidth="1"/>
    <col min="2" max="2" width="30.140625" bestFit="1" customWidth="1"/>
    <col min="3" max="3" width="23.140625" bestFit="1" customWidth="1"/>
    <col min="4" max="4" width="24.28515625" bestFit="1" customWidth="1"/>
    <col min="5" max="5" width="24.140625" bestFit="1" customWidth="1"/>
    <col min="6" max="6" width="30" bestFit="1" customWidth="1"/>
    <col min="7" max="7" width="30.42578125" bestFit="1" customWidth="1"/>
  </cols>
  <sheetData>
    <row r="1" spans="1:9" x14ac:dyDescent="0.25">
      <c r="A1" s="42" t="s">
        <v>439</v>
      </c>
      <c r="B1" t="s">
        <v>81</v>
      </c>
      <c r="C1" t="s">
        <v>170</v>
      </c>
      <c r="I1" s="42" t="s">
        <v>269</v>
      </c>
    </row>
    <row r="2" spans="1:9" x14ac:dyDescent="0.25">
      <c r="B2" s="18" t="s">
        <v>243</v>
      </c>
      <c r="C2">
        <v>5.4999999999999997E-3</v>
      </c>
      <c r="I2" s="42">
        <f>IF(LEFT(HSBC_CAD_Savings[[#This Row],[Daily closing balance]],2)="Up",0,VALUE(MID(HSBC_CAD_Savings[[#This Row],[Daily closing balance]],FIND("$",B2),FIND(" ",B2,FIND("$",B2))-FIND("$",B2))))</f>
        <v>0</v>
      </c>
    </row>
    <row r="3" spans="1:9" x14ac:dyDescent="0.25">
      <c r="B3" s="18" t="s">
        <v>244</v>
      </c>
      <c r="C3">
        <v>1.0500000000000001E-2</v>
      </c>
      <c r="I3" s="42">
        <f>IF(LEFT(HSBC_CAD_Savings[[#This Row],[Daily closing balance]],2)="Up",0,VALUE(MID(HSBC_CAD_Savings[[#This Row],[Daily closing balance]],FIND("$",B3),FIND(" ",B3,FIND("$",B3))-FIND("$",B3))))</f>
        <v>25000</v>
      </c>
    </row>
    <row r="4" spans="1:9" x14ac:dyDescent="0.25">
      <c r="B4" s="18" t="s">
        <v>245</v>
      </c>
      <c r="C4">
        <v>1.15E-2</v>
      </c>
      <c r="I4" s="42">
        <f>IF(LEFT(HSBC_CAD_Savings[[#This Row],[Daily closing balance]],2)="Up",0,VALUE(MID(HSBC_CAD_Savings[[#This Row],[Daily closing balance]],FIND("$",B4),FIND(" ",B4,FIND("$",B4))-FIND("$",B4))))</f>
        <v>50000</v>
      </c>
    </row>
    <row r="5" spans="1:9" x14ac:dyDescent="0.25">
      <c r="B5" s="18" t="s">
        <v>246</v>
      </c>
      <c r="C5">
        <v>1.15E-2</v>
      </c>
      <c r="I5" s="42">
        <f>IF(LEFT(HSBC_CAD_Savings[[#This Row],[Daily closing balance]],2)="Up",0,VALUE(MID(HSBC_CAD_Savings[[#This Row],[Daily closing balance]],FIND("$",B5),FIND(" ",B5,FIND("$",B5))-FIND("$",B5))))</f>
        <v>100000</v>
      </c>
    </row>
    <row r="9" spans="1:9" x14ac:dyDescent="0.25">
      <c r="A9" s="42" t="s">
        <v>456</v>
      </c>
      <c r="B9" s="42" t="s">
        <v>81</v>
      </c>
      <c r="C9" s="42" t="s">
        <v>449</v>
      </c>
      <c r="D9" s="42" t="s">
        <v>450</v>
      </c>
      <c r="E9" s="42" t="s">
        <v>451</v>
      </c>
      <c r="F9" s="42" t="s">
        <v>452</v>
      </c>
      <c r="G9" s="42" t="s">
        <v>453</v>
      </c>
    </row>
    <row r="10" spans="1:9" x14ac:dyDescent="0.25">
      <c r="B10" s="18" t="s">
        <v>454</v>
      </c>
      <c r="C10" s="42">
        <v>1E-3</v>
      </c>
      <c r="D10" s="42">
        <v>1E-3</v>
      </c>
      <c r="E10" s="42">
        <v>0</v>
      </c>
      <c r="F10" s="42">
        <v>5.0000000000000001E-4</v>
      </c>
      <c r="G10" s="42">
        <v>0</v>
      </c>
      <c r="I10">
        <f>IF(LEFT(HSBC_Foreign_Savings[[#This Row],[Daily closing balance]],2)="Up",0,VALUE(MID(HSBC_Foreign_Savings[[#This Row],[Daily closing balance]],FIND("$",B10),FIND(" ",B10,FIND("$",B10))-FIND("$",B10))))</f>
        <v>0</v>
      </c>
    </row>
    <row r="11" spans="1:9" x14ac:dyDescent="0.25">
      <c r="B11" s="18" t="s">
        <v>244</v>
      </c>
      <c r="C11" s="42">
        <v>2E-3</v>
      </c>
      <c r="D11" s="42">
        <v>1E-3</v>
      </c>
      <c r="E11" s="42">
        <v>0</v>
      </c>
      <c r="F11" s="42">
        <v>5.0000000000000001E-4</v>
      </c>
      <c r="G11" s="42">
        <v>0</v>
      </c>
      <c r="I11" s="42">
        <f>IF(LEFT(HSBC_Foreign_Savings[[#This Row],[Daily closing balance]],2)="Up",0,VALUE(MID(HSBC_Foreign_Savings[[#This Row],[Daily closing balance]],FIND("$",B11),FIND(" ",B11,FIND("$",B11))-FIND("$",B11))))</f>
        <v>25000</v>
      </c>
    </row>
    <row r="12" spans="1:9" x14ac:dyDescent="0.25">
      <c r="B12" s="18" t="s">
        <v>245</v>
      </c>
      <c r="C12" s="42">
        <v>2.5000000000000001E-3</v>
      </c>
      <c r="D12" s="42">
        <v>1.5E-3</v>
      </c>
      <c r="E12" s="42">
        <v>0</v>
      </c>
      <c r="F12" s="42">
        <v>5.0000000000000001E-4</v>
      </c>
      <c r="G12" s="42">
        <v>0</v>
      </c>
      <c r="I12" s="42">
        <f>IF(LEFT(HSBC_Foreign_Savings[[#This Row],[Daily closing balance]],2)="Up",0,VALUE(MID(HSBC_Foreign_Savings[[#This Row],[Daily closing balance]],FIND("$",B12),FIND(" ",B12,FIND("$",B12))-FIND("$",B12))))</f>
        <v>50000</v>
      </c>
    </row>
    <row r="13" spans="1:9" x14ac:dyDescent="0.25">
      <c r="B13" s="18" t="s">
        <v>455</v>
      </c>
      <c r="C13" s="42">
        <v>3.0000000000000001E-3</v>
      </c>
      <c r="D13" s="42">
        <v>2E-3</v>
      </c>
      <c r="E13" s="42">
        <v>0</v>
      </c>
      <c r="F13" s="42">
        <v>5.0000000000000001E-4</v>
      </c>
      <c r="G13" s="42">
        <v>0</v>
      </c>
      <c r="I13" s="42">
        <f>IF(LEFT(HSBC_Foreign_Savings[[#This Row],[Daily closing balance]],2)="Up",0,VALUE(MID(HSBC_Foreign_Savings[[#This Row],[Daily closing balance]],FIND("$",B13),FIND(" ",B13,FIND("$",B13))-FIND("$",B13))))</f>
        <v>100000</v>
      </c>
    </row>
  </sheetData>
  <pageMargins left="0.7" right="0.7" top="0.75" bottom="0.75" header="0.3" footer="0.3"/>
  <tableParts count="2">
    <tablePart r:id="rId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02914-10B4-4A93-8338-458BFDDF487F}">
  <sheetPr codeName="Sheet19"/>
  <dimension ref="A1:E8"/>
  <sheetViews>
    <sheetView workbookViewId="0">
      <selection activeCell="B1" sqref="B1:E8"/>
    </sheetView>
  </sheetViews>
  <sheetFormatPr defaultRowHeight="15" x14ac:dyDescent="0.25"/>
  <cols>
    <col min="1" max="1" width="35.85546875" customWidth="1"/>
    <col min="2" max="2" width="15.85546875" style="42" bestFit="1" customWidth="1"/>
    <col min="3" max="3" width="77.28515625" style="42" bestFit="1" customWidth="1"/>
    <col min="4" max="5" width="11.140625" style="42" bestFit="1" customWidth="1"/>
    <col min="6" max="6" width="18.140625" bestFit="1" customWidth="1"/>
    <col min="7" max="7" width="77.28515625" bestFit="1" customWidth="1"/>
    <col min="8" max="8" width="25.42578125" bestFit="1" customWidth="1"/>
    <col min="9" max="9" width="23.42578125" bestFit="1" customWidth="1"/>
    <col min="10" max="10" width="25.42578125" bestFit="1" customWidth="1"/>
    <col min="11" max="11" width="23.42578125" bestFit="1" customWidth="1"/>
    <col min="12" max="12" width="25.42578125" bestFit="1" customWidth="1"/>
    <col min="13" max="13" width="23.42578125" bestFit="1" customWidth="1"/>
  </cols>
  <sheetData>
    <row r="1" spans="1:5" x14ac:dyDescent="0.25">
      <c r="B1" t="s">
        <v>53</v>
      </c>
      <c r="C1" t="s">
        <v>54</v>
      </c>
      <c r="D1" t="s">
        <v>55</v>
      </c>
      <c r="E1" t="s">
        <v>194</v>
      </c>
    </row>
    <row r="2" spans="1:5" x14ac:dyDescent="0.25">
      <c r="A2" t="s">
        <v>48</v>
      </c>
      <c r="B2" s="18" t="s">
        <v>145</v>
      </c>
      <c r="C2" s="18" t="s">
        <v>146</v>
      </c>
      <c r="D2">
        <v>1.6E-2</v>
      </c>
      <c r="E2">
        <v>1.8499999999999999E-2</v>
      </c>
    </row>
    <row r="3" spans="1:5" x14ac:dyDescent="0.25">
      <c r="A3" t="s">
        <v>147</v>
      </c>
      <c r="B3" s="18" t="s">
        <v>145</v>
      </c>
      <c r="C3" s="18" t="s">
        <v>147</v>
      </c>
      <c r="D3">
        <v>8.5000000000000006E-3</v>
      </c>
      <c r="E3"/>
    </row>
    <row r="4" spans="1:5" x14ac:dyDescent="0.25">
      <c r="A4" t="s">
        <v>148</v>
      </c>
      <c r="B4" s="18" t="s">
        <v>145</v>
      </c>
      <c r="C4" s="18" t="s">
        <v>148</v>
      </c>
      <c r="D4">
        <v>1.2500000000000001E-2</v>
      </c>
      <c r="E4"/>
    </row>
    <row r="5" spans="1:5" x14ac:dyDescent="0.25">
      <c r="A5" t="s">
        <v>149</v>
      </c>
      <c r="B5" s="18" t="s">
        <v>145</v>
      </c>
      <c r="C5" s="18" t="s">
        <v>149</v>
      </c>
      <c r="D5">
        <v>1.2500000000000001E-2</v>
      </c>
      <c r="E5"/>
    </row>
    <row r="6" spans="1:5" x14ac:dyDescent="0.25">
      <c r="A6" t="s">
        <v>150</v>
      </c>
      <c r="B6" s="18" t="s">
        <v>145</v>
      </c>
      <c r="C6" s="18" t="s">
        <v>324</v>
      </c>
      <c r="D6">
        <v>1.5E-3</v>
      </c>
      <c r="E6"/>
    </row>
    <row r="7" spans="1:5" x14ac:dyDescent="0.25">
      <c r="B7" s="18" t="s">
        <v>145</v>
      </c>
      <c r="C7" s="18" t="s">
        <v>325</v>
      </c>
      <c r="D7">
        <v>5.4999999999999997E-3</v>
      </c>
      <c r="E7"/>
    </row>
    <row r="8" spans="1:5" x14ac:dyDescent="0.25">
      <c r="B8" s="18" t="s">
        <v>145</v>
      </c>
      <c r="C8" s="18" t="s">
        <v>326</v>
      </c>
      <c r="D8" s="42">
        <v>6.4999999999999997E-3</v>
      </c>
    </row>
  </sheetData>
  <pageMargins left="0.7" right="0.7" top="0.75" bottom="0.75" header="0.3" footer="0.3"/>
  <pageSetup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3D887-26A0-457F-9680-465B244BCFBD}">
  <sheetPr codeName="Sheet27"/>
  <dimension ref="A1:C5"/>
  <sheetViews>
    <sheetView workbookViewId="0">
      <selection sqref="A1:C5"/>
    </sheetView>
  </sheetViews>
  <sheetFormatPr defaultRowHeight="15" x14ac:dyDescent="0.25"/>
  <cols>
    <col min="1" max="1" width="7.28515625" bestFit="1" customWidth="1"/>
    <col min="2" max="2" width="24.7109375" bestFit="1" customWidth="1"/>
    <col min="3" max="3" width="13.42578125" bestFit="1" customWidth="1"/>
  </cols>
  <sheetData>
    <row r="1" spans="1:3" x14ac:dyDescent="0.25">
      <c r="A1" t="s">
        <v>50</v>
      </c>
      <c r="B1" t="s">
        <v>171</v>
      </c>
      <c r="C1" t="s">
        <v>172</v>
      </c>
    </row>
    <row r="2" spans="1:3" x14ac:dyDescent="0.25">
      <c r="A2">
        <v>1.2999999999999999E-2</v>
      </c>
      <c r="B2" s="18" t="s">
        <v>25</v>
      </c>
      <c r="C2" s="18" t="s">
        <v>173</v>
      </c>
    </row>
    <row r="3" spans="1:3" x14ac:dyDescent="0.25">
      <c r="A3">
        <v>1.2999999999999999E-2</v>
      </c>
      <c r="B3" s="18" t="s">
        <v>174</v>
      </c>
      <c r="C3" s="18" t="s">
        <v>173</v>
      </c>
    </row>
    <row r="4" spans="1:3" x14ac:dyDescent="0.25">
      <c r="A4">
        <v>1.2999999999999999E-2</v>
      </c>
      <c r="B4" s="18" t="s">
        <v>175</v>
      </c>
      <c r="C4" s="18" t="s">
        <v>173</v>
      </c>
    </row>
    <row r="5" spans="1:3" x14ac:dyDescent="0.25">
      <c r="A5">
        <v>1.2999999999999999E-2</v>
      </c>
      <c r="B5" s="18" t="s">
        <v>176</v>
      </c>
      <c r="C5" s="18" t="s">
        <v>177</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EA9F3-7E72-4374-B3DB-836472B55807}">
  <sheetPr codeName="Sheet4"/>
  <dimension ref="A1:F12"/>
  <sheetViews>
    <sheetView workbookViewId="0">
      <selection activeCell="D5" sqref="D5"/>
    </sheetView>
  </sheetViews>
  <sheetFormatPr defaultRowHeight="15" x14ac:dyDescent="0.25"/>
  <cols>
    <col min="1" max="2" width="80.28515625" bestFit="1" customWidth="1"/>
    <col min="3" max="6" width="38.28515625" bestFit="1" customWidth="1"/>
  </cols>
  <sheetData>
    <row r="1" spans="1:6" x14ac:dyDescent="0.25">
      <c r="A1" t="s">
        <v>53</v>
      </c>
      <c r="B1" t="s">
        <v>54</v>
      </c>
      <c r="C1" t="s">
        <v>55</v>
      </c>
      <c r="D1" t="s">
        <v>194</v>
      </c>
      <c r="E1" t="s">
        <v>195</v>
      </c>
      <c r="F1" t="s">
        <v>196</v>
      </c>
    </row>
    <row r="2" spans="1:6" x14ac:dyDescent="0.25">
      <c r="A2" s="18" t="s">
        <v>197</v>
      </c>
      <c r="B2" s="18" t="s">
        <v>197</v>
      </c>
      <c r="C2" s="18" t="s">
        <v>198</v>
      </c>
      <c r="D2" s="18" t="s">
        <v>199</v>
      </c>
      <c r="E2" s="18" t="s">
        <v>200</v>
      </c>
      <c r="F2" s="18" t="s">
        <v>201</v>
      </c>
    </row>
    <row r="3" spans="1:6" x14ac:dyDescent="0.25">
      <c r="A3" s="18" t="s">
        <v>202</v>
      </c>
      <c r="B3" s="18" t="s">
        <v>202</v>
      </c>
      <c r="C3" s="18" t="s">
        <v>202</v>
      </c>
      <c r="D3" s="18" t="s">
        <v>202</v>
      </c>
      <c r="E3" s="18" t="s">
        <v>202</v>
      </c>
      <c r="F3" s="18" t="s">
        <v>202</v>
      </c>
    </row>
    <row r="4" spans="1:6" x14ac:dyDescent="0.25">
      <c r="A4" s="18" t="s">
        <v>203</v>
      </c>
      <c r="B4" s="18" t="s">
        <v>203</v>
      </c>
      <c r="C4" s="18" t="s">
        <v>204</v>
      </c>
      <c r="D4" s="18" t="s">
        <v>209</v>
      </c>
      <c r="E4" s="18" t="s">
        <v>205</v>
      </c>
      <c r="F4" s="18" t="s">
        <v>206</v>
      </c>
    </row>
    <row r="5" spans="1:6" x14ac:dyDescent="0.25">
      <c r="A5" s="18" t="s">
        <v>207</v>
      </c>
      <c r="B5" s="18" t="s">
        <v>207</v>
      </c>
      <c r="C5" s="18" t="s">
        <v>208</v>
      </c>
      <c r="D5" s="18" t="s">
        <v>327</v>
      </c>
      <c r="E5" s="18" t="s">
        <v>205</v>
      </c>
      <c r="F5" s="18" t="s">
        <v>206</v>
      </c>
    </row>
    <row r="6" spans="1:6" x14ac:dyDescent="0.25">
      <c r="A6" s="18" t="s">
        <v>210</v>
      </c>
      <c r="B6" s="18" t="s">
        <v>210</v>
      </c>
      <c r="C6" s="18" t="s">
        <v>211</v>
      </c>
      <c r="D6" s="18" t="s">
        <v>209</v>
      </c>
      <c r="E6" s="18" t="s">
        <v>205</v>
      </c>
      <c r="F6" s="18" t="s">
        <v>212</v>
      </c>
    </row>
    <row r="7" spans="1:6" x14ac:dyDescent="0.25">
      <c r="A7" s="18" t="s">
        <v>213</v>
      </c>
      <c r="B7" s="18" t="s">
        <v>213</v>
      </c>
      <c r="C7" s="18" t="s">
        <v>214</v>
      </c>
      <c r="D7" s="18" t="s">
        <v>327</v>
      </c>
      <c r="E7" s="18" t="s">
        <v>205</v>
      </c>
      <c r="F7" s="18" t="s">
        <v>212</v>
      </c>
    </row>
    <row r="8" spans="1:6" x14ac:dyDescent="0.25">
      <c r="A8" s="18" t="s">
        <v>215</v>
      </c>
      <c r="B8" s="18" t="s">
        <v>215</v>
      </c>
      <c r="C8" s="18" t="s">
        <v>216</v>
      </c>
      <c r="D8" s="18" t="s">
        <v>209</v>
      </c>
      <c r="E8" s="18" t="s">
        <v>205</v>
      </c>
      <c r="F8" s="18" t="s">
        <v>212</v>
      </c>
    </row>
    <row r="9" spans="1:6" x14ac:dyDescent="0.25">
      <c r="A9" s="18" t="s">
        <v>217</v>
      </c>
      <c r="B9" s="18" t="s">
        <v>217</v>
      </c>
      <c r="C9" s="18" t="s">
        <v>218</v>
      </c>
      <c r="D9" s="18" t="s">
        <v>327</v>
      </c>
      <c r="E9" s="18" t="s">
        <v>205</v>
      </c>
      <c r="F9" s="18" t="s">
        <v>212</v>
      </c>
    </row>
    <row r="10" spans="1:6" x14ac:dyDescent="0.25">
      <c r="A10" s="18" t="s">
        <v>219</v>
      </c>
      <c r="B10" s="18" t="s">
        <v>219</v>
      </c>
      <c r="C10" s="18" t="s">
        <v>219</v>
      </c>
      <c r="D10" s="18" t="s">
        <v>219</v>
      </c>
      <c r="E10" s="18" t="s">
        <v>219</v>
      </c>
      <c r="F10" s="18" t="s">
        <v>219</v>
      </c>
    </row>
    <row r="11" spans="1:6" x14ac:dyDescent="0.25">
      <c r="A11" s="18" t="s">
        <v>220</v>
      </c>
      <c r="B11" s="18" t="s">
        <v>220</v>
      </c>
      <c r="C11" s="18" t="s">
        <v>221</v>
      </c>
      <c r="D11" s="18" t="s">
        <v>328</v>
      </c>
      <c r="E11" s="18" t="s">
        <v>205</v>
      </c>
      <c r="F11" s="18" t="s">
        <v>206</v>
      </c>
    </row>
    <row r="12" spans="1:6" x14ac:dyDescent="0.25">
      <c r="A12" s="18" t="s">
        <v>222</v>
      </c>
      <c r="B12" s="18" t="s">
        <v>222</v>
      </c>
      <c r="C12" s="18" t="s">
        <v>223</v>
      </c>
      <c r="D12" s="18" t="s">
        <v>329</v>
      </c>
      <c r="E12" s="18" t="s">
        <v>205</v>
      </c>
      <c r="F12" s="18" t="s">
        <v>206</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34262-5FE0-448E-B68B-934A5AC82E80}">
  <sheetPr codeName="Sheet7"/>
  <dimension ref="A1:C13"/>
  <sheetViews>
    <sheetView workbookViewId="0">
      <selection activeCell="A14" sqref="A14"/>
    </sheetView>
  </sheetViews>
  <sheetFormatPr defaultRowHeight="15" x14ac:dyDescent="0.25"/>
  <cols>
    <col min="1" max="1" width="10.7109375" bestFit="1" customWidth="1"/>
    <col min="2" max="2" width="9.42578125" bestFit="1" customWidth="1"/>
    <col min="3" max="3" width="14.85546875" bestFit="1" customWidth="1"/>
  </cols>
  <sheetData>
    <row r="1" spans="1:3" x14ac:dyDescent="0.25">
      <c r="A1" t="s">
        <v>235</v>
      </c>
      <c r="B1" t="s">
        <v>384</v>
      </c>
      <c r="C1" t="s">
        <v>269</v>
      </c>
    </row>
    <row r="2" spans="1:3" x14ac:dyDescent="0.25">
      <c r="A2" s="17">
        <v>41151</v>
      </c>
      <c r="B2" s="42">
        <v>1.35E-2</v>
      </c>
    </row>
    <row r="3" spans="1:3" x14ac:dyDescent="0.25">
      <c r="A3" s="17">
        <v>41213</v>
      </c>
      <c r="B3" s="42">
        <v>1.4E-2</v>
      </c>
    </row>
    <row r="4" spans="1:3" x14ac:dyDescent="0.25">
      <c r="A4" s="17">
        <v>42212</v>
      </c>
      <c r="B4" s="42">
        <v>1.2999999999999999E-2</v>
      </c>
    </row>
    <row r="5" spans="1:3" x14ac:dyDescent="0.25">
      <c r="A5" s="17">
        <v>42397</v>
      </c>
      <c r="B5" s="42">
        <v>1.2E-2</v>
      </c>
    </row>
    <row r="6" spans="1:3" x14ac:dyDescent="0.25">
      <c r="A6" s="17">
        <v>42402</v>
      </c>
      <c r="B6" s="42">
        <v>1.0500000000000001E-2</v>
      </c>
    </row>
    <row r="7" spans="1:3" x14ac:dyDescent="0.25">
      <c r="A7" s="17">
        <v>42649</v>
      </c>
      <c r="B7" s="42">
        <v>8.9999999999999993E-3</v>
      </c>
    </row>
    <row r="8" spans="1:3" x14ac:dyDescent="0.25">
      <c r="A8" s="17">
        <v>42850</v>
      </c>
      <c r="B8" s="42">
        <v>0.01</v>
      </c>
    </row>
    <row r="9" spans="1:3" x14ac:dyDescent="0.25">
      <c r="A9" s="17">
        <v>42886</v>
      </c>
      <c r="B9" s="42">
        <v>1.4999999999999999E-2</v>
      </c>
    </row>
    <row r="10" spans="1:3" x14ac:dyDescent="0.25">
      <c r="A10" s="17">
        <v>42978</v>
      </c>
      <c r="B10" s="42">
        <v>0.01</v>
      </c>
    </row>
    <row r="11" spans="1:3" x14ac:dyDescent="0.25">
      <c r="A11" s="17">
        <v>43125</v>
      </c>
      <c r="B11" s="42">
        <v>1.15E-2</v>
      </c>
    </row>
    <row r="12" spans="1:3" x14ac:dyDescent="0.25">
      <c r="A12" s="17">
        <v>43301</v>
      </c>
      <c r="B12" s="42">
        <v>1.35E-2</v>
      </c>
    </row>
    <row r="13" spans="1:3" x14ac:dyDescent="0.25">
      <c r="A13" s="17">
        <v>43410</v>
      </c>
      <c r="B13" s="42">
        <v>1.6E-2</v>
      </c>
      <c r="C13">
        <v>1000</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582C2-2212-418E-BA30-6478A440B7CC}">
  <sheetPr codeName="Sheet21"/>
  <dimension ref="A1:B2"/>
  <sheetViews>
    <sheetView workbookViewId="0">
      <selection activeCell="B1" sqref="B1:B2"/>
    </sheetView>
  </sheetViews>
  <sheetFormatPr defaultRowHeight="15" x14ac:dyDescent="0.25"/>
  <cols>
    <col min="1" max="1" width="19.5703125" bestFit="1" customWidth="1"/>
    <col min="2" max="2" width="7.28515625" bestFit="1" customWidth="1"/>
    <col min="3" max="3" width="7.140625" bestFit="1" customWidth="1"/>
  </cols>
  <sheetData>
    <row r="1" spans="1:2" x14ac:dyDescent="0.25">
      <c r="B1" t="s">
        <v>50</v>
      </c>
    </row>
    <row r="2" spans="1:2" x14ac:dyDescent="0.25">
      <c r="A2" t="s">
        <v>28</v>
      </c>
      <c r="B2" s="31">
        <v>2.3E-2</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1E488-A533-46E9-9E95-49B2C3E8508D}">
  <sheetPr codeName="Sheet14"/>
  <dimension ref="A1:D56"/>
  <sheetViews>
    <sheetView workbookViewId="0">
      <selection activeCell="A6" sqref="A6"/>
    </sheetView>
  </sheetViews>
  <sheetFormatPr defaultRowHeight="15" x14ac:dyDescent="0.25"/>
  <cols>
    <col min="1" max="1" width="23.7109375" bestFit="1" customWidth="1"/>
    <col min="2" max="2" width="24.7109375" bestFit="1" customWidth="1"/>
    <col min="3" max="3" width="26.42578125" bestFit="1" customWidth="1"/>
    <col min="4" max="4" width="28.7109375" bestFit="1" customWidth="1"/>
    <col min="5" max="6" width="81.140625" bestFit="1" customWidth="1"/>
  </cols>
  <sheetData>
    <row r="1" spans="1:4" s="1" customFormat="1" x14ac:dyDescent="0.25">
      <c r="A1" s="1" t="s">
        <v>75</v>
      </c>
    </row>
    <row r="2" spans="1:4" x14ac:dyDescent="0.25">
      <c r="B2" t="s">
        <v>76</v>
      </c>
      <c r="C2" t="s">
        <v>77</v>
      </c>
      <c r="D2" t="s">
        <v>78</v>
      </c>
    </row>
    <row r="3" spans="1:4" x14ac:dyDescent="0.25">
      <c r="A3" t="s">
        <v>79</v>
      </c>
      <c r="B3" t="s">
        <v>407</v>
      </c>
      <c r="C3" t="s">
        <v>408</v>
      </c>
      <c r="D3" t="s">
        <v>80</v>
      </c>
    </row>
    <row r="4" spans="1:4" x14ac:dyDescent="0.25">
      <c r="B4" t="s">
        <v>81</v>
      </c>
      <c r="C4" t="s">
        <v>81</v>
      </c>
      <c r="D4" t="s">
        <v>81</v>
      </c>
    </row>
    <row r="5" spans="1:4" x14ac:dyDescent="0.25">
      <c r="B5" t="s">
        <v>82</v>
      </c>
      <c r="C5" t="s">
        <v>82</v>
      </c>
      <c r="D5" t="s">
        <v>82</v>
      </c>
    </row>
    <row r="6" spans="1:4" x14ac:dyDescent="0.25">
      <c r="A6" t="s">
        <v>83</v>
      </c>
      <c r="B6" t="s">
        <v>84</v>
      </c>
      <c r="C6" t="s">
        <v>80</v>
      </c>
      <c r="D6" t="s">
        <v>85</v>
      </c>
    </row>
    <row r="7" spans="1:4" x14ac:dyDescent="0.25">
      <c r="B7" t="s">
        <v>81</v>
      </c>
      <c r="C7" t="s">
        <v>81</v>
      </c>
      <c r="D7" t="s">
        <v>81</v>
      </c>
    </row>
    <row r="8" spans="1:4" x14ac:dyDescent="0.25">
      <c r="B8" t="s">
        <v>82</v>
      </c>
      <c r="C8" t="s">
        <v>82</v>
      </c>
      <c r="D8" t="s">
        <v>82</v>
      </c>
    </row>
    <row r="11" spans="1:4" s="1" customFormat="1" x14ac:dyDescent="0.25">
      <c r="A11" s="1" t="s">
        <v>86</v>
      </c>
    </row>
    <row r="12" spans="1:4" x14ac:dyDescent="0.25">
      <c r="B12" t="s">
        <v>348</v>
      </c>
    </row>
    <row r="19" spans="1:2" s="1" customFormat="1" x14ac:dyDescent="0.25">
      <c r="A19" s="1" t="s">
        <v>52</v>
      </c>
    </row>
    <row r="20" spans="1:2" x14ac:dyDescent="0.25">
      <c r="B20" t="s">
        <v>348</v>
      </c>
    </row>
    <row r="35" spans="1:2" s="1" customFormat="1" x14ac:dyDescent="0.25">
      <c r="A35" s="1" t="s">
        <v>87</v>
      </c>
    </row>
    <row r="37" spans="1:2" x14ac:dyDescent="0.25">
      <c r="A37" t="s">
        <v>88</v>
      </c>
      <c r="B37" t="s">
        <v>348</v>
      </c>
    </row>
    <row r="44" spans="1:2" s="1" customFormat="1" x14ac:dyDescent="0.25">
      <c r="A44" s="1" t="s">
        <v>89</v>
      </c>
    </row>
    <row r="45" spans="1:2" x14ac:dyDescent="0.25">
      <c r="A45" t="s">
        <v>90</v>
      </c>
      <c r="B45" t="s">
        <v>348</v>
      </c>
    </row>
    <row r="48" spans="1:2" x14ac:dyDescent="0.25">
      <c r="A48" t="s">
        <v>91</v>
      </c>
      <c r="B48" t="s">
        <v>348</v>
      </c>
    </row>
    <row r="55" spans="1:2" s="1" customFormat="1" x14ac:dyDescent="0.25">
      <c r="A55" s="1" t="s">
        <v>92</v>
      </c>
    </row>
    <row r="56" spans="1:2" x14ac:dyDescent="0.25">
      <c r="B56" t="s">
        <v>348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2"/>
  <sheetViews>
    <sheetView workbookViewId="0">
      <selection sqref="A1:B2"/>
    </sheetView>
  </sheetViews>
  <sheetFormatPr defaultRowHeight="15" x14ac:dyDescent="0.25"/>
  <cols>
    <col min="1" max="1" width="23" bestFit="1" customWidth="1"/>
    <col min="2" max="2" width="14.85546875" bestFit="1" customWidth="1"/>
  </cols>
  <sheetData>
    <row r="1" spans="1:2" x14ac:dyDescent="0.25">
      <c r="A1" t="s">
        <v>129</v>
      </c>
      <c r="B1" t="s">
        <v>62</v>
      </c>
    </row>
    <row r="2" spans="1:2" x14ac:dyDescent="0.25">
      <c r="A2" s="18" t="s">
        <v>25</v>
      </c>
      <c r="B2">
        <v>1.4999999999999999E-2</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F1078E-237A-485A-B67A-78DE8896052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Menu</vt:lpstr>
      <vt:lpstr>Retail_Report</vt:lpstr>
      <vt:lpstr>US$_Report</vt:lpstr>
      <vt:lpstr>Broker_Report</vt:lpstr>
      <vt:lpstr>Dev Change Log</vt:lpstr>
      <vt:lpstr>CIBC_rates</vt:lpstr>
      <vt:lpstr>TD_rates</vt:lpstr>
      <vt:lpstr>BMO_rates</vt:lpstr>
      <vt:lpstr>BNS_Rates</vt:lpstr>
      <vt:lpstr>RBC_Rates</vt:lpstr>
      <vt:lpstr>Simplii_rates</vt:lpstr>
      <vt:lpstr>Manulife_rates</vt:lpstr>
      <vt:lpstr>NBC_rates</vt:lpstr>
      <vt:lpstr>HSBC_rates</vt:lpstr>
      <vt:lpstr>B2B_rates</vt:lpstr>
      <vt:lpstr>Meridian_rates</vt:lpstr>
      <vt:lpstr>Altamira_rates</vt:lpstr>
      <vt:lpstr>HomeTrust_rates</vt:lpstr>
      <vt:lpstr>EQ_rates</vt:lpstr>
      <vt:lpstr>ICICI_rates</vt:lpstr>
      <vt:lpstr>CT_rates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Rudrabhatla, Anila</dc:creator>
  <cp:keywords/>
  <dc:description/>
  <cp:lastModifiedBy>Malixi, Julian</cp:lastModifiedBy>
  <cp:revision/>
  <cp:lastPrinted>2019-07-02T14:04:23Z</cp:lastPrinted>
  <dcterms:created xsi:type="dcterms:W3CDTF">2015-06-05T18:17:20Z</dcterms:created>
  <dcterms:modified xsi:type="dcterms:W3CDTF">2019-07-22T17:49:34Z</dcterms:modified>
  <cp:category/>
  <cp:contentStatus/>
</cp:coreProperties>
</file>