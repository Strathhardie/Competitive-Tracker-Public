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10529F1E-B1E3-432A-BC61-5EA318DCF4A4}"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60" r:id="rId9"/>
    <sheet name="RBC_Rates" sheetId="41" r:id="rId10"/>
    <sheet name="Simplii_rates" sheetId="20" r:id="rId11"/>
    <sheet name="Manulife_rates" sheetId="23" r:id="rId12"/>
    <sheet name="NBC_rates" sheetId="22" r:id="rId13"/>
    <sheet name="HSBC_rates" sheetId="32" r:id="rId14"/>
    <sheet name="B2B_rates" sheetId="28" r:id="rId15"/>
    <sheet name="Meridian_rates" sheetId="33" r:id="rId16"/>
    <sheet name="Altamira_rates" sheetId="37" r:id="rId17"/>
    <sheet name="HomeTrust_rates" sheetId="59" r:id="rId18"/>
    <sheet name="EQ_rates" sheetId="39" r:id="rId19"/>
    <sheet name="ICICI_rates" sheetId="21" r:id="rId20"/>
    <sheet name="CT_rates" sheetId="5" r:id="rId21"/>
  </sheets>
  <functionGroups builtInGroupCount="19"/>
  <definedNames>
    <definedName name="ExternalData_1" localSheetId="16" hidden="1">Altamira_rates!$A$1:$F$12</definedName>
    <definedName name="ExternalData_1" localSheetId="14" hidden="1">B2B_rates!$B$1:$E$8</definedName>
    <definedName name="ExternalData_1" localSheetId="8" hidden="1">BNS_Rates!$B$1:$E$36</definedName>
    <definedName name="ExternalData_1" localSheetId="20" hidden="1">CT_rates!$A$1:$B$2</definedName>
    <definedName name="ExternalData_1" localSheetId="18" hidden="1">EQ_rates!$B$1:$B$2</definedName>
    <definedName name="ExternalData_1" localSheetId="17" hidden="1">HomeTrust_rates!$A$1:$B$13</definedName>
    <definedName name="ExternalData_1" localSheetId="13" hidden="1">HSBC_rates!$B$1:$C$5</definedName>
    <definedName name="ExternalData_1" localSheetId="19" hidden="1">ICICI_rates!$B$2:$D$9</definedName>
    <definedName name="ExternalData_1" localSheetId="15" hidden="1">Meridian_rates!$A$1:$C$5</definedName>
    <definedName name="ExternalData_1" localSheetId="12" hidden="1">NBC_rates!$B$1:$C$28</definedName>
    <definedName name="ExternalData_1" localSheetId="10" hidden="1">Simplii_rates!$B$10:$C$11</definedName>
    <definedName name="ExternalData_1" localSheetId="6" hidden="1">TD_rates!$B$2:$C$26</definedName>
    <definedName name="ExternalData_12" localSheetId="9" hidden="1">RBC_Rates!$B$1:$D$7</definedName>
    <definedName name="ExternalData_12" localSheetId="6" hidden="1">TD_rates!$B$39:$F$44</definedName>
    <definedName name="ExternalData_13" localSheetId="9" hidden="1">RBC_Rates!$B$12:$C$168</definedName>
    <definedName name="ExternalData_14" localSheetId="6"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3" hidden="1">HSBC_rates!$B$9:$G$13</definedName>
    <definedName name="ExternalData_2" localSheetId="11" hidden="1">Manulife_rates!$B$1:$C$4</definedName>
    <definedName name="ExternalData_4" localSheetId="11" hidden="1">Manulife_rates!$B$16:$B$17</definedName>
    <definedName name="ExternalData_5" localSheetId="11" hidden="1">Manulife_rates!$B$6:$C$13</definedName>
    <definedName name="ExternalData_6" localSheetId="11" hidden="1">Manulife_rates!$C$16:$C$17</definedName>
    <definedName name="ExternalData_7" localSheetId="8" hidden="1">BNS_Rates!$B$39:$D$41</definedName>
    <definedName name="Query___BMO___SBA_SSA_PRSA" localSheetId="7"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1" i="25" l="1"/>
  <c r="G12" i="25"/>
  <c r="G13" i="25"/>
  <c r="G14" i="25"/>
  <c r="G15" i="25"/>
  <c r="G16" i="25"/>
  <c r="G17" i="25"/>
  <c r="G18" i="25"/>
  <c r="G19" i="25"/>
  <c r="G20" i="25"/>
  <c r="G21" i="25"/>
  <c r="F12" i="25"/>
  <c r="F13" i="25"/>
  <c r="F14" i="25"/>
  <c r="F15" i="25"/>
  <c r="F16" i="25"/>
  <c r="F17" i="25"/>
  <c r="F18" i="25"/>
  <c r="F19" i="25"/>
  <c r="F20" i="25"/>
  <c r="F21" i="25"/>
  <c r="F11" i="25"/>
  <c r="P11" i="24"/>
  <c r="P12" i="24"/>
  <c r="P13" i="24"/>
  <c r="P14" i="24"/>
  <c r="P15" i="24"/>
  <c r="P16" i="24"/>
  <c r="P17" i="24"/>
  <c r="P18" i="24"/>
  <c r="P19" i="24"/>
  <c r="P20" i="24"/>
  <c r="P21" i="24"/>
  <c r="O12" i="24"/>
  <c r="O13" i="24"/>
  <c r="O14" i="24"/>
  <c r="O15" i="24"/>
  <c r="O16" i="24"/>
  <c r="O17" i="24"/>
  <c r="O18" i="24"/>
  <c r="O19" i="24"/>
  <c r="O20" i="24"/>
  <c r="O21" i="24"/>
  <c r="O11" i="24"/>
  <c r="N12" i="24"/>
  <c r="N13" i="24"/>
  <c r="N14" i="24"/>
  <c r="N15" i="24"/>
  <c r="N16" i="24"/>
  <c r="N17" i="24"/>
  <c r="N18" i="24"/>
  <c r="N19" i="24"/>
  <c r="N20" i="24"/>
  <c r="N21" i="24"/>
  <c r="N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N12" i="25" l="1"/>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background="1"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background="1"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background="1"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background="1"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background="1"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background="1"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background="1"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background="1"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background="1"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background="1"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background="1"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background="1"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background="1"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background="1"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background="1"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background="1"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<sst xmlns="http://schemas.openxmlformats.org/spreadsheetml/2006/main" count="1064" uniqueCount="508">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</sst>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1">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2"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3"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30"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0" dataDxfId="39">
  <autoFilter ref="A3:D7" xr:uid="{3B004F2E-6CE8-48E1-A8CC-1DA6CD38B36C}"/>
  <tableColumns count="4">
    <tableColumn id="1" xr3:uid="{19A4ADB4-65C8-405B-8D69-E238ABA928F0}" name="Date" dataDxfId="38"/>
    <tableColumn id="2" xr3:uid="{F6FEA65B-FF28-42C9-8CC9-61F4CED1B86F}" name="Summary of changes" dataDxfId="37"/>
    <tableColumn id="3" xr3:uid="{B7F57500-225B-47B0-ACC8-DA347AD03334}" name="Change Author" dataDxfId="36"/>
    <tableColumn id="4" xr3:uid="{F323205A-8543-43A5-8E3B-3D09061A12DB}" name="Author AD ID" dataDxfId="3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4"/>
    <tableColumn id="2" xr3:uid="{DD1044A9-F59B-46D0-8718-6C3BDE63183C}" uniqueName="2" name="Data.Rate" queryTableFieldId="2" dataDxfId="3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2"/>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31"/>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30"/>
    <tableColumn id="2" xr3:uid="{5B7C4811-4C53-41A6-96BF-5389107C4D47}" uniqueName="2" name="Currency" queryTableFieldId="2" dataDxfId="29"/>
    <tableColumn id="3" xr3:uid="{734665F7-5DB2-40AD-BD3B-98FD29CBE168}" uniqueName="3" name="Minimum1" queryTableFieldId="3"/>
    <tableColumn id="4" xr3:uid="{BDB4B9A1-7155-498E-B2E8-661728BDEEFB}" uniqueName="4" name="Maximum" queryTableFieldId="4" dataDxfId="28"/>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7"/>
    <tableColumn id="4" xr3:uid="{5AABEE2E-2BF3-4006-B415-E5BEAE632E5A}" uniqueName="4" name="Interest Rate" queryTableFieldId="4" dataDxfId="2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5"/>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4"/>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3"/>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22"/>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1"/>
    <tableColumn id="2" xr3:uid="{49530A74-3685-4C95-B82D-38590BD1233B}" uniqueName="2" name="Annual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0"/>
    <tableColumn id="2" xr3:uid="{1C664E64-3B1D-4B6F-B067-F394E342CE45}" uniqueName="2" name="Interest Rate" queryTableFieldId="2" dataDxfId="1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8">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17"/>
    <tableColumn id="2" xr3:uid="{28CDC393-942E-4D91-9CC4-A347C363D334}" uniqueName="2" name="Interest Rate"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14"/>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3"/>
    <tableColumn id="2" xr3:uid="{D2046F38-483B-420D-B944-6BCD7B2B4D92}" uniqueName="2" name="Column2" queryTableFieldId="10" dataDxfId="1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1"/>
    <tableColumn id="3" xr3:uid="{D2622B16-D1C8-4760-8BD0-953D9FAFA8F1}" uniqueName="3" name="Get Started" queryTableFieldId="3" dataDxfId="1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9"/>
    <tableColumn id="2" xr3:uid="{E833CA69-9186-43DA-874F-48DEFE4DA80F}" uniqueName="2" name="Column2" queryTableFieldId="2" dataDxfId="8"/>
    <tableColumn id="3" xr3:uid="{B093F79F-8E4B-49FF-A371-4731884C2E1B}" uniqueName="3" name="Column3" queryTableFieldId="3" dataDxfId="7"/>
    <tableColumn id="4" xr3:uid="{785FF59B-0966-4865-9D07-9033DADA44AF}" uniqueName="4" name="Column4" queryTableFieldId="4" dataDxfId="6"/>
    <tableColumn id="5" xr3:uid="{C61AE777-3A15-4C02-9B1F-136299A5FAC7}" uniqueName="5" name="Column5" queryTableFieldId="5" dataDxfId="5"/>
    <tableColumn id="6" xr3:uid="{FC09C788-CCE1-4C6F-81DC-01AAACC99B7F}" uniqueName="6" name="Column6" queryTableFieldId="6" dataDxfId="4"/>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3"/>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2" dataCellStyle="Percent">
  <autoFilter ref="B1:B2" xr:uid="{C980BFDA-0405-401E-BCEB-26B225E26F58}"/>
  <tableColumns count="1">
    <tableColumn id="2" xr3:uid="{DE60F904-8EBC-4F28-A839-8683A0C60CD6}" uniqueName="2" name="Rate" queryTableFieldId="2" dataDxfId="1" dataCellStyle="Percent"/>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0"/>
    <tableColumn id="2" xr3:uid="{A70E9728-B118-48A1-BC57-D92BEEC7A685}" uniqueName="2" name="Annual Rates"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4"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tabSelected="1"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10</v>
      </c>
    </row>
    <row r="6" spans="2:9" x14ac:dyDescent="0.25">
      <c r="B6" s="33"/>
      <c r="E6" s="38">
        <v>1</v>
      </c>
      <c r="F6" s="19" t="s">
        <v>374</v>
      </c>
      <c r="G6" s="19" t="s">
        <v>267</v>
      </c>
      <c r="H6" s="19">
        <v>1</v>
      </c>
    </row>
    <row r="7" spans="2:9" x14ac:dyDescent="0.25">
      <c r="B7" s="34"/>
      <c r="E7" s="38">
        <v>2</v>
      </c>
      <c r="F7" s="19" t="s">
        <v>443</v>
      </c>
      <c r="G7" s="19" t="s">
        <v>267</v>
      </c>
      <c r="H7" s="19">
        <v>3</v>
      </c>
    </row>
    <row r="8" spans="2:9" x14ac:dyDescent="0.25">
      <c r="B8" s="35"/>
      <c r="E8" s="38">
        <v>3</v>
      </c>
      <c r="F8" s="19" t="s">
        <v>320</v>
      </c>
      <c r="G8" s="19" t="s">
        <v>267</v>
      </c>
      <c r="H8" s="19">
        <v>13</v>
      </c>
    </row>
    <row r="9" spans="2:9" x14ac:dyDescent="0.25">
      <c r="B9" s="36"/>
      <c r="E9" s="38">
        <v>4</v>
      </c>
      <c r="F9" s="19" t="s">
        <v>268</v>
      </c>
      <c r="G9" s="19" t="s">
        <v>267</v>
      </c>
      <c r="H9" s="19">
        <v>3</v>
      </c>
    </row>
    <row r="10" spans="2:9" x14ac:dyDescent="0.25">
      <c r="B10" s="32" t="s">
        <v>179</v>
      </c>
      <c r="E10" s="38">
        <v>5</v>
      </c>
      <c r="F10" s="19" t="s">
        <v>461</v>
      </c>
      <c r="G10" s="19" t="s">
        <v>267</v>
      </c>
      <c r="H10" s="19">
        <v>2</v>
      </c>
    </row>
    <row r="11" spans="2:9" x14ac:dyDescent="0.25">
      <c r="B11" s="33"/>
      <c r="E11" s="38">
        <v>6</v>
      </c>
      <c r="F11" s="19" t="s">
        <v>321</v>
      </c>
      <c r="G11" s="19" t="s">
        <v>267</v>
      </c>
      <c r="H11" s="19">
        <v>5</v>
      </c>
    </row>
    <row r="12" spans="2:9" x14ac:dyDescent="0.25">
      <c r="B12" s="34"/>
      <c r="E12" s="38">
        <v>7</v>
      </c>
      <c r="F12" s="19" t="s">
        <v>399</v>
      </c>
      <c r="G12" s="19" t="s">
        <v>267</v>
      </c>
      <c r="H12" s="19">
        <v>10</v>
      </c>
    </row>
    <row r="13" spans="2:9" x14ac:dyDescent="0.25">
      <c r="B13" s="34"/>
      <c r="E13" s="38">
        <v>8</v>
      </c>
      <c r="F13" s="19" t="s">
        <v>398</v>
      </c>
      <c r="G13" s="19" t="s">
        <v>267</v>
      </c>
      <c r="H13" s="19">
        <v>11</v>
      </c>
    </row>
    <row r="14" spans="2:9" x14ac:dyDescent="0.25">
      <c r="B14" s="34"/>
      <c r="E14" s="38">
        <v>9</v>
      </c>
      <c r="F14" s="19" t="s">
        <v>444</v>
      </c>
      <c r="G14" s="19" t="s">
        <v>267</v>
      </c>
      <c r="H14" s="19">
        <v>6</v>
      </c>
    </row>
    <row r="15" spans="2:9" x14ac:dyDescent="0.25">
      <c r="B15" s="34"/>
      <c r="E15" s="38">
        <v>10</v>
      </c>
      <c r="F15" s="19" t="s">
        <v>445</v>
      </c>
      <c r="G15" s="19" t="s">
        <v>267</v>
      </c>
      <c r="H15" s="19">
        <v>7</v>
      </c>
    </row>
    <row r="16" spans="2:9" x14ac:dyDescent="0.25">
      <c r="B16" s="34"/>
      <c r="E16" s="38">
        <v>11</v>
      </c>
      <c r="F16" s="19" t="s">
        <v>423</v>
      </c>
      <c r="G16" s="19" t="s">
        <v>267</v>
      </c>
      <c r="H16" s="19">
        <v>1</v>
      </c>
    </row>
    <row r="17" spans="2:8" x14ac:dyDescent="0.25">
      <c r="B17" s="36"/>
      <c r="E17" s="38">
        <v>12</v>
      </c>
      <c r="F17" s="19" t="s">
        <v>402</v>
      </c>
      <c r="G17" s="19" t="s">
        <v>267</v>
      </c>
      <c r="H17" s="19">
        <v>7</v>
      </c>
    </row>
    <row r="18" spans="2:8" x14ac:dyDescent="0.25">
      <c r="B18" s="32" t="s">
        <v>180</v>
      </c>
      <c r="E18" s="38">
        <v>13</v>
      </c>
      <c r="F18" s="19" t="s">
        <v>446</v>
      </c>
      <c r="G18" s="19" t="s">
        <v>267</v>
      </c>
      <c r="H18" s="19">
        <v>1</v>
      </c>
    </row>
    <row r="19" spans="2:8" x14ac:dyDescent="0.25">
      <c r="B19" s="33"/>
      <c r="E19" s="38">
        <v>14</v>
      </c>
      <c r="F19" s="19" t="s">
        <v>403</v>
      </c>
      <c r="G19" s="19" t="s">
        <v>267</v>
      </c>
      <c r="H19" s="19">
        <v>8</v>
      </c>
    </row>
    <row r="20" spans="2:8" x14ac:dyDescent="0.25">
      <c r="B20" s="34"/>
      <c r="E20" s="38">
        <v>15</v>
      </c>
      <c r="F20" s="19" t="s">
        <v>462</v>
      </c>
      <c r="G20" s="19" t="s">
        <v>267</v>
      </c>
      <c r="H20" s="19">
        <v>2</v>
      </c>
    </row>
    <row r="21" spans="2:8" x14ac:dyDescent="0.25">
      <c r="B21" s="34"/>
      <c r="E21" s="38">
        <v>16</v>
      </c>
      <c r="F21" s="19" t="s">
        <v>463</v>
      </c>
      <c r="G21" s="19" t="s">
        <v>267</v>
      </c>
      <c r="H21" s="19">
        <v>1</v>
      </c>
    </row>
    <row r="22" spans="2:8" x14ac:dyDescent="0.25">
      <c r="B22" s="34"/>
      <c r="E22" s="38">
        <v>17</v>
      </c>
      <c r="F22" s="19" t="s">
        <v>404</v>
      </c>
      <c r="G22" s="19" t="s">
        <v>267</v>
      </c>
      <c r="H22" s="19">
        <v>2</v>
      </c>
    </row>
    <row r="23" spans="2:8" x14ac:dyDescent="0.25">
      <c r="B23" s="35"/>
      <c r="E23" s="38">
        <v>18</v>
      </c>
      <c r="F23" s="19" t="s">
        <v>405</v>
      </c>
      <c r="G23" s="19" t="s">
        <v>267</v>
      </c>
      <c r="H23" s="19">
        <v>5</v>
      </c>
    </row>
    <row r="24" spans="2:8" x14ac:dyDescent="0.25">
      <c r="B24" s="37"/>
      <c r="E24" s="38">
        <v>19</v>
      </c>
      <c r="F24" s="19" t="s">
        <v>406</v>
      </c>
      <c r="G24" s="19" t="s">
        <v>267</v>
      </c>
      <c r="H24" s="19">
        <v>10</v>
      </c>
    </row>
    <row r="25" spans="2:8" x14ac:dyDescent="0.25">
      <c r="E25" s="38">
        <v>20</v>
      </c>
      <c r="F25" s="19" t="s">
        <v>504</v>
      </c>
      <c r="G25" s="19" t="s">
        <v>267</v>
      </c>
      <c r="H25" s="19">
        <v>7</v>
      </c>
    </row>
    <row r="26" spans="2:8" x14ac:dyDescent="0.25">
      <c r="E26" s="38">
        <v>21</v>
      </c>
      <c r="F26" s="19" t="s">
        <v>505</v>
      </c>
      <c r="G26" s="19" t="s">
        <v>267</v>
      </c>
      <c r="H26" s="19">
        <v>4</v>
      </c>
    </row>
    <row r="27" spans="2:8" x14ac:dyDescent="0.25">
      <c r="E27" s="38">
        <v>22</v>
      </c>
      <c r="F27" s="19" t="s">
        <v>506</v>
      </c>
      <c r="G27" s="19" t="s">
        <v>267</v>
      </c>
      <c r="H27" s="19">
        <v>8</v>
      </c>
    </row>
    <row r="28" spans="2:8" x14ac:dyDescent="0.25">
      <c r="E28" s="38">
        <v>23</v>
      </c>
      <c r="F28" s="19" t="s">
        <v>507</v>
      </c>
      <c r="G28" s="19" t="s">
        <v>267</v>
      </c>
      <c r="H28" s="19">
        <v>100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349</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440</v>
      </c>
      <c r="I10" s="52" t="s">
        <v>338</v>
      </c>
      <c r="J10" s="53" t="s">
        <v>442</v>
      </c>
      <c r="K10" s="52" t="s">
        <v>339</v>
      </c>
      <c r="L10" s="52" t="s">
        <v>340</v>
      </c>
      <c r="M10" s="52" t="s">
        <v>21</v>
      </c>
      <c r="N10" s="52" t="s">
        <v>341</v>
      </c>
      <c r="O10" s="52" t="s">
        <v>342</v>
      </c>
      <c r="P10" s="52" t="s">
        <v>22</v>
      </c>
      <c r="Q10" s="52" t="s">
        <v>343</v>
      </c>
      <c r="R10" s="52" t="s">
        <v>19</v>
      </c>
      <c r="S10" s="52" t="s">
        <v>344</v>
      </c>
      <c r="T10" s="52" t="s">
        <v>23</v>
      </c>
      <c r="U10" s="52" t="s">
        <v>24</v>
      </c>
      <c r="V10" s="52" t="s">
        <v>441</v>
      </c>
      <c r="W10" s="52" t="s">
        <v>25</v>
      </c>
      <c r="X10" s="52" t="s">
        <v>27</v>
      </c>
      <c r="Y10" s="53" t="s">
        <v>28</v>
      </c>
    </row>
    <row r="11" spans="1:28" x14ac:dyDescent="0.25">
      <c r="A11" s="45" t="s">
        <v>363</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f>Simplii_rates!$C$11</f>
        <v>1.1499999999999999</v>
      </c>
      <c r="S11" s="44">
        <f>LEFT((ICICI_rates!$B$3),5)*100</f>
        <v>1.6</v>
      </c>
      <c r="T11" s="44">
        <f>(NBC_rates!$C$28)*100</f>
        <v>1</v>
      </c>
      <c r="U11" s="45">
        <f>(Manulife_rates!$C$7)*100</f>
        <v>1.5</v>
      </c>
      <c r="V11" s="43">
        <f>INDEX(HSBC_rates!$B$2:$I$5,MATCH(VALUE(LEFT(A11,FIND(" ",A11)-1)),HSBC_rates!$I$2:$I$5,1),2)*100</f>
        <v>1.1499999999999999</v>
      </c>
      <c r="W11" s="43">
        <f>(CT_rates!$B$2)*100</f>
        <v>1.5</v>
      </c>
      <c r="X11" s="45">
        <f>(Meridian_rates!$A$2)*100</f>
        <v>2.85</v>
      </c>
      <c r="Y11" s="8">
        <f>(EQ_rates!$B$2)*100</f>
        <v>2.2999999999999998</v>
      </c>
    </row>
    <row r="12" spans="1:28" x14ac:dyDescent="0.25">
      <c r="A12" s="43" t="s">
        <v>364</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f>Simplii_rates!$C$11</f>
        <v>1.1499999999999999</v>
      </c>
      <c r="S12" s="44">
        <f>LEFT((ICICI_rates!$B$3),5)*100</f>
        <v>1.6</v>
      </c>
      <c r="T12" s="44">
        <f>(NBC_rates!$C$28)*100</f>
        <v>1</v>
      </c>
      <c r="U12" s="45">
        <f>(Manulife_rates!$C$7)*100</f>
        <v>1.5</v>
      </c>
      <c r="V12" s="43">
        <f>INDEX(HSBC_rates!$B$2:$I$5,MATCH(VALUE(LEFT(A12,FIND(" ",A12)-1)),HSBC_rates!$I$2:$I$5,1),2)*100</f>
        <v>1.1499999999999999</v>
      </c>
      <c r="W12" s="43">
        <f>(CT_rates!$B$2)*100</f>
        <v>1.5</v>
      </c>
      <c r="X12" s="45">
        <f>(Meridian_rates!$A$2)*100</f>
        <v>2.85</v>
      </c>
      <c r="Y12" s="8">
        <f>(EQ_rates!$B$2)*100</f>
        <v>2.2999999999999998</v>
      </c>
    </row>
    <row r="13" spans="1:28" x14ac:dyDescent="0.25">
      <c r="A13" s="43" t="s">
        <v>365</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f>Simplii_rates!$C$11</f>
        <v>1.1499999999999999</v>
      </c>
      <c r="S13" s="44">
        <f>LEFT((ICICI_rates!$B$3),5)*100</f>
        <v>1.6</v>
      </c>
      <c r="T13" s="44">
        <f>(NBC_rates!$C$28)*100</f>
        <v>1</v>
      </c>
      <c r="U13" s="45">
        <f>(Manulife_rates!$C$7)*100</f>
        <v>1.5</v>
      </c>
      <c r="V13" s="43">
        <f>INDEX(HSBC_rates!$B$2:$I$5,MATCH(VALUE(LEFT(A13,FIND(" ",A13)-1)),HSBC_rates!$I$2:$I$5,1),2)*100</f>
        <v>1.1499999999999999</v>
      </c>
      <c r="W13" s="43">
        <f>(CT_rates!$B$2)*100</f>
        <v>1.5</v>
      </c>
      <c r="X13" s="45">
        <f>(Meridian_rates!$A$2)*100</f>
        <v>2.85</v>
      </c>
      <c r="Y13" s="8">
        <f>(EQ_rates!$B$2)*100</f>
        <v>2.2999999999999998</v>
      </c>
    </row>
    <row r="14" spans="1:28" x14ac:dyDescent="0.25">
      <c r="A14" s="43" t="s">
        <v>366</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f>Simplii_rates!$C$11</f>
        <v>1.1499999999999999</v>
      </c>
      <c r="S14" s="44">
        <f>LEFT((ICICI_rates!$B$3),5)*100</f>
        <v>1.6</v>
      </c>
      <c r="T14" s="44">
        <f>(NBC_rates!$C$28)*100</f>
        <v>1</v>
      </c>
      <c r="U14" s="45">
        <f>(Manulife_rates!$C$7)*100</f>
        <v>1.5</v>
      </c>
      <c r="V14" s="43">
        <f>INDEX(HSBC_rates!$B$2:$I$5,MATCH(VALUE(LEFT(A14,FIND(" ",A14)-1)),HSBC_rates!$I$2:$I$5,1),2)*100</f>
        <v>1.1499999999999999</v>
      </c>
      <c r="W14" s="43">
        <f>(CT_rates!$B$2)*100</f>
        <v>1.5</v>
      </c>
      <c r="X14" s="45">
        <f>(Meridian_rates!$A$2)*100</f>
        <v>2.85</v>
      </c>
      <c r="Y14" s="8">
        <f>(EQ_rates!$B$2)*100</f>
        <v>2.2999999999999998</v>
      </c>
    </row>
    <row r="15" spans="1:28" x14ac:dyDescent="0.25">
      <c r="A15" s="43" t="s">
        <v>367</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f>Simplii_rates!$C$11</f>
        <v>1.1499999999999999</v>
      </c>
      <c r="S15" s="44">
        <f>LEFT((ICICI_rates!$B$3),5)*100</f>
        <v>1.6</v>
      </c>
      <c r="T15" s="44">
        <f>(NBC_rates!$C$28)*100</f>
        <v>1</v>
      </c>
      <c r="U15" s="45">
        <f>(Manulife_rates!$C$7)*100</f>
        <v>1.5</v>
      </c>
      <c r="V15" s="43">
        <f>INDEX(HSBC_rates!$B$2:$I$5,MATCH(VALUE(LEFT(A15,FIND(" ",A15)-1)),HSBC_rates!$I$2:$I$5,1),2)*100</f>
        <v>1.1499999999999999</v>
      </c>
      <c r="W15" s="43">
        <f>(CT_rates!$B$2)*100</f>
        <v>1.5</v>
      </c>
      <c r="X15" s="45">
        <f>(Meridian_rates!$A$2)*100</f>
        <v>2.85</v>
      </c>
      <c r="Y15" s="8">
        <f>(EQ_rates!$B$2)*100</f>
        <v>2.2999999999999998</v>
      </c>
    </row>
    <row r="16" spans="1:28" x14ac:dyDescent="0.25">
      <c r="A16" s="43" t="s">
        <v>368</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f>Simplii_rates!$C$11</f>
        <v>1.1499999999999999</v>
      </c>
      <c r="S16" s="44">
        <f>LEFT((ICICI_rates!$B$3),5)*100</f>
        <v>1.6</v>
      </c>
      <c r="T16" s="44">
        <f>(NBC_rates!$C$28)*100</f>
        <v>1</v>
      </c>
      <c r="U16" s="45">
        <f>(Manulife_rates!$C$7)*100</f>
        <v>1.5</v>
      </c>
      <c r="V16" s="43">
        <f>INDEX(HSBC_rates!$B$2:$I$5,MATCH(VALUE(LEFT(A16,FIND(" ",A16)-1)),HSBC_rates!$I$2:$I$5,1),2)*100</f>
        <v>1.05</v>
      </c>
      <c r="W16" s="43">
        <f>(CT_rates!$B$2)*100</f>
        <v>1.5</v>
      </c>
      <c r="X16" s="45">
        <f>(Meridian_rates!$A$2)*100</f>
        <v>2.85</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f>Simplii_rates!$C$11</f>
        <v>1.1499999999999999</v>
      </c>
      <c r="S17" s="44">
        <f>LEFT((ICICI_rates!$B$3),5)*100</f>
        <v>1.6</v>
      </c>
      <c r="T17" s="44">
        <f>(NBC_rates!$C$28)*100</f>
        <v>1</v>
      </c>
      <c r="U17" s="45">
        <f>(Manulife_rates!$C$7)*100</f>
        <v>1.5</v>
      </c>
      <c r="V17" s="43">
        <f>INDEX(HSBC_rates!$B$2:$I$5,MATCH(VALUE(LEFT(A17,FIND(" ",A17)-1)),HSBC_rates!$I$2:$I$5,1),2)*100</f>
        <v>0.54999999999999993</v>
      </c>
      <c r="W17" s="43">
        <f>(CT_rates!$B$2)*100</f>
        <v>1.5</v>
      </c>
      <c r="X17" s="45">
        <f>(Meridian_rates!$A$2)*100</f>
        <v>2.85</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f>Simplii_rates!$C$11</f>
        <v>1.1499999999999999</v>
      </c>
      <c r="S18" s="44">
        <f>LEFT((ICICI_rates!$B$3),5)*100</f>
        <v>1.6</v>
      </c>
      <c r="T18" s="44">
        <f>(NBC_rates!$C$28)*100</f>
        <v>1</v>
      </c>
      <c r="U18" s="45">
        <f>(Manulife_rates!$C$7)*100</f>
        <v>1.5</v>
      </c>
      <c r="V18" s="43">
        <f>INDEX(HSBC_rates!$B$2:$I$5,MATCH(VALUE(LEFT(A18,FIND(" ",A18)-1)),HSBC_rates!$I$2:$I$5,1),2)*100</f>
        <v>0.54999999999999993</v>
      </c>
      <c r="W18" s="43">
        <f>(CT_rates!$B$2)*100</f>
        <v>1.5</v>
      </c>
      <c r="X18" s="45">
        <f>(Meridian_rates!$A$2)*100</f>
        <v>2.85</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f>Simplii_rates!$C$11</f>
        <v>1.1499999999999999</v>
      </c>
      <c r="S19" s="44">
        <f>LEFT((ICICI_rates!$B$3),5)*100</f>
        <v>1.6</v>
      </c>
      <c r="T19" s="44">
        <f>(NBC_rates!$C$28)*100</f>
        <v>1</v>
      </c>
      <c r="U19" s="45">
        <f>(Manulife_rates!$C$7)*100</f>
        <v>1.5</v>
      </c>
      <c r="V19" s="43">
        <f>INDEX(HSBC_rates!$B$2:$I$5,MATCH(VALUE(LEFT(A19,FIND(" ",A19)-1)),HSBC_rates!$I$2:$I$5,1),2)*100</f>
        <v>0.54999999999999993</v>
      </c>
      <c r="W19" s="43">
        <f>(CT_rates!$B$2)*100</f>
        <v>1.5</v>
      </c>
      <c r="X19" s="45">
        <f>(Meridian_rates!$A$2)*100</f>
        <v>2.85</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f>Simplii_rates!$C$11</f>
        <v>1.1499999999999999</v>
      </c>
      <c r="S20" s="44">
        <f>LEFT((ICICI_rates!$B$3),5)*100</f>
        <v>1.6</v>
      </c>
      <c r="T20" s="44">
        <f>(NBC_rates!$C$28)*100</f>
        <v>1</v>
      </c>
      <c r="U20" s="45">
        <f>(Manulife_rates!$C$7)*100</f>
        <v>1.5</v>
      </c>
      <c r="V20" s="43">
        <f>INDEX(HSBC_rates!$B$2:$I$5,MATCH(VALUE(LEFT(A20,FIND(" ",A20)-1)),HSBC_rates!$I$2:$I$5,1),2)*100</f>
        <v>0.54999999999999993</v>
      </c>
      <c r="W20" s="43">
        <f>(CT_rates!$B$2)*100</f>
        <v>1.5</v>
      </c>
      <c r="X20" s="45">
        <f>(Meridian_rates!$A$2)*100</f>
        <v>2.85</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f>Simplii_rates!$C$11</f>
        <v>1.1499999999999999</v>
      </c>
      <c r="S21" s="44">
        <f>LEFT((ICICI_rates!$B$3),5)*100</f>
        <v>1.6</v>
      </c>
      <c r="T21" s="44">
        <f>(NBC_rates!$C$28)*100</f>
        <v>1</v>
      </c>
      <c r="U21" s="45">
        <f>(Manulife_rates!$C$7)*100</f>
        <v>1.5</v>
      </c>
      <c r="V21" s="43">
        <f>INDEX(HSBC_rates!$B$2:$I$5,MATCH(VALUE(LEFT(A21,FIND(" ",A21)-1)),HSBC_rates!$I$2:$I$5,1),2)*100</f>
        <v>0.54999999999999993</v>
      </c>
      <c r="W21" s="43">
        <f>(CT_rates!$B$2)*100</f>
        <v>1.5</v>
      </c>
      <c r="X21" s="45">
        <f>(Meridian_rates!$A$2)*100</f>
        <v>2.85</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349</v>
      </c>
      <c r="N9" s="49" t="s">
        <v>350</v>
      </c>
      <c r="O9" s="49" t="s">
        <v>350</v>
      </c>
      <c r="P9" s="49" t="s">
        <v>9</v>
      </c>
      <c r="Q9" s="49" t="s">
        <v>44</v>
      </c>
      <c r="R9" s="59" t="s">
        <v>12</v>
      </c>
    </row>
    <row r="10" spans="1:28" ht="64.5" x14ac:dyDescent="0.25">
      <c r="A10" s="52"/>
      <c r="B10" s="52" t="s">
        <v>351</v>
      </c>
      <c r="C10" s="52" t="s">
        <v>34</v>
      </c>
      <c r="D10" s="52" t="s">
        <v>352</v>
      </c>
      <c r="E10" s="52" t="s">
        <v>353</v>
      </c>
      <c r="F10" s="52" t="s">
        <v>354</v>
      </c>
      <c r="G10" s="52" t="s">
        <v>351</v>
      </c>
      <c r="H10" s="52" t="s">
        <v>355</v>
      </c>
      <c r="I10" s="52" t="s">
        <v>356</v>
      </c>
      <c r="J10" s="52" t="s">
        <v>457</v>
      </c>
      <c r="K10" s="52" t="s">
        <v>357</v>
      </c>
      <c r="L10" s="52" t="s">
        <v>358</v>
      </c>
      <c r="M10" s="52" t="s">
        <v>359</v>
      </c>
      <c r="N10" s="52" t="s">
        <v>360</v>
      </c>
      <c r="O10" s="52" t="s">
        <v>355</v>
      </c>
      <c r="P10" s="52" t="s">
        <v>456</v>
      </c>
      <c r="Q10" s="52" t="s">
        <v>361</v>
      </c>
      <c r="R10" s="52" t="s">
        <v>362</v>
      </c>
    </row>
    <row r="11" spans="1:28" x14ac:dyDescent="0.25">
      <c r="A11" s="43" t="s">
        <v>434</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365</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1.7000000000000001E-2</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366</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1.7000000000000001E-2</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367</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1.7000000000000001E-2</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368</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1.7000000000000001E-2</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1.7000000000000001E-2</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1.7000000000000001E-2</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1.7000000000000001E-2</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1.7000000000000001E-2</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432</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1.7000000000000001E-2</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433</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460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397</v>
      </c>
      <c r="C10" s="52" t="s">
        <v>46</v>
      </c>
      <c r="D10" s="52" t="s">
        <v>47</v>
      </c>
      <c r="E10" s="52" t="s">
        <v>380</v>
      </c>
      <c r="F10" s="52" t="s">
        <v>381</v>
      </c>
      <c r="G10" s="52" t="s">
        <v>382</v>
      </c>
      <c r="H10" s="52" t="s">
        <v>386</v>
      </c>
      <c r="I10" s="52" t="s">
        <v>47</v>
      </c>
      <c r="J10" s="52" t="s">
        <v>448</v>
      </c>
      <c r="K10" s="52" t="s">
        <v>47</v>
      </c>
      <c r="L10" s="52" t="s">
        <v>48</v>
      </c>
      <c r="M10" s="52" t="s">
        <v>26</v>
      </c>
      <c r="N10" s="52" t="s">
        <v>49</v>
      </c>
    </row>
    <row r="11" spans="1:14" x14ac:dyDescent="0.25">
      <c r="A11" s="7" t="s">
        <v>434</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1.6</v>
      </c>
      <c r="M11" s="45">
        <f>(BNS_Rates!$C$40)*100</f>
        <v>0.25</v>
      </c>
      <c r="N11" s="45">
        <f>(HomeTrust_rates!$B$13)*100</f>
        <v>1.6</v>
      </c>
    </row>
    <row r="12" spans="1:14" s="42" customFormat="1" x14ac:dyDescent="0.25">
      <c r="A12" s="43" t="s">
        <v>365</v>
      </c>
      <c r="B12" s="45">
        <f>(CIBC_rates!$B$25)*100</f>
        <v>1.6</v>
      </c>
      <c r="C12" s="45">
        <f>(CIBC_rates!$C$21)*100</f>
        <v>1.6</v>
      </c>
      <c r="D12" s="45">
        <f>(TD_rates!$F$40)*100</f>
        <v>1.6</v>
      </c>
      <c r="E12" s="45">
        <f>(TD_rates!$F$42)*100</f>
        <v>1.6</v>
      </c>
      <c r="F12" s="45">
        <f>(TD_rates!$F$43)*100</f>
        <v>1.6</v>
      </c>
      <c r="G12" s="45">
        <f>(TD_rates!$F$44)*100</f>
        <v>1.6</v>
      </c>
      <c r="H12" s="60">
        <v>1.75</v>
      </c>
      <c r="I12" s="45">
        <f>(RBC_Rates!$C$2)*100</f>
        <v>1.6</v>
      </c>
      <c r="J12" s="45">
        <f>(Altamira_rates!$D$4)*100</f>
        <v>1.6</v>
      </c>
      <c r="K12" s="45">
        <f>(Manulife_ISA_CAD[ISA CAD])*100</f>
        <v>1.6</v>
      </c>
      <c r="L12" s="76">
        <f>(B2B_rates!$D$2)*100</f>
        <v>1.6</v>
      </c>
      <c r="M12" s="45">
        <f>(BNS_Rates!$C$40)*100</f>
        <v>0.25</v>
      </c>
      <c r="N12" s="45">
        <f>(HomeTrust_rates!$B$13)*100</f>
        <v>1.6</v>
      </c>
    </row>
    <row r="13" spans="1:14" x14ac:dyDescent="0.25">
      <c r="A13" s="43" t="s">
        <v>366</v>
      </c>
      <c r="B13" s="45">
        <f>(CIBC_rates!$B$25)*100</f>
        <v>1.6</v>
      </c>
      <c r="C13" s="45">
        <f>(CIBC_rates!$C$21)*100</f>
        <v>1.6</v>
      </c>
      <c r="D13" s="45">
        <f>(TD_rates!$F$40)*100</f>
        <v>1.6</v>
      </c>
      <c r="E13" s="45">
        <f>(TD_rates!$F$42)*100</f>
        <v>1.6</v>
      </c>
      <c r="F13" s="45">
        <f>(TD_rates!$F$43)*100</f>
        <v>1.6</v>
      </c>
      <c r="G13" s="45">
        <f>(TD_rates!$F$44)*100</f>
        <v>1.6</v>
      </c>
      <c r="H13" s="60">
        <v>1.6</v>
      </c>
      <c r="I13" s="45">
        <f>(RBC_Rates!$C$2)*100</f>
        <v>1.6</v>
      </c>
      <c r="J13" s="45">
        <f>(Altamira_rates!$D$4)*100</f>
        <v>1.6</v>
      </c>
      <c r="K13" s="45">
        <f>(Manulife_ISA_CAD[ISA CAD])*100</f>
        <v>1.6</v>
      </c>
      <c r="L13" s="76">
        <f>(B2B_rates!$D$2)*100</f>
        <v>1.6</v>
      </c>
      <c r="M13" s="45">
        <f>(BNS_Rates!$C$40)*100</f>
        <v>0.25</v>
      </c>
      <c r="N13" s="45">
        <f>(HomeTrust_rates!$B$13)*100</f>
        <v>1.6</v>
      </c>
    </row>
    <row r="14" spans="1:14" x14ac:dyDescent="0.25">
      <c r="A14" s="43" t="s">
        <v>367</v>
      </c>
      <c r="B14" s="45">
        <f>(CIBC_rates!$B$25)*100</f>
        <v>1.6</v>
      </c>
      <c r="C14" s="45">
        <f>(CIBC_rates!$C$21)*100</f>
        <v>1.6</v>
      </c>
      <c r="D14" s="45">
        <f>(TD_rates!$F$40)*100</f>
        <v>1.6</v>
      </c>
      <c r="E14" s="45">
        <f>(TD_rates!$F$42)*100</f>
        <v>1.6</v>
      </c>
      <c r="F14" s="45">
        <f>(TD_rates!$F$43)*100</f>
        <v>1.6</v>
      </c>
      <c r="G14" s="45">
        <f>(TD_rates!$F$44)*100</f>
        <v>1.6</v>
      </c>
      <c r="H14" s="60">
        <v>1.6</v>
      </c>
      <c r="I14" s="45">
        <f>(RBC_Rates!$C$2)*100</f>
        <v>1.6</v>
      </c>
      <c r="J14" s="45">
        <f>(Altamira_rates!$D$4)*100</f>
        <v>1.6</v>
      </c>
      <c r="K14" s="45">
        <f>(Manulife_ISA_CAD[ISA CAD])*100</f>
        <v>1.6</v>
      </c>
      <c r="L14" s="76">
        <f>(B2B_rates!$D$2)*100</f>
        <v>1.6</v>
      </c>
      <c r="M14" s="45">
        <f>(BNS_Rates!$C$40)*100</f>
        <v>0.25</v>
      </c>
      <c r="N14" s="45">
        <f>(HomeTrust_rates!$B$13)*100</f>
        <v>1.6</v>
      </c>
    </row>
    <row r="15" spans="1:14" x14ac:dyDescent="0.25">
      <c r="A15" s="43" t="s">
        <v>368</v>
      </c>
      <c r="B15" s="45">
        <f>(CIBC_rates!$B$25)*100</f>
        <v>1.6</v>
      </c>
      <c r="C15" s="45">
        <f>(CIBC_rates!$C$21)*100</f>
        <v>1.6</v>
      </c>
      <c r="D15" s="45">
        <f>(TD_rates!$F$40)*100</f>
        <v>1.6</v>
      </c>
      <c r="E15" s="45">
        <f>(TD_rates!$F$42)*100</f>
        <v>1.6</v>
      </c>
      <c r="F15" s="45">
        <f>(TD_rates!$F$43)*100</f>
        <v>1.6</v>
      </c>
      <c r="G15" s="45">
        <f>(TD_rates!$F$44)*100</f>
        <v>1.6</v>
      </c>
      <c r="H15" s="60">
        <v>1.6</v>
      </c>
      <c r="I15" s="45">
        <f>(RBC_Rates!$C$2)*100</f>
        <v>1.6</v>
      </c>
      <c r="J15" s="45">
        <f>(Altamira_rates!$D$4)*100</f>
        <v>1.6</v>
      </c>
      <c r="K15" s="45">
        <f>(Manulife_ISA_CAD[ISA CAD])*100</f>
        <v>1.6</v>
      </c>
      <c r="L15" s="76">
        <f>(B2B_rates!$D$2)*100</f>
        <v>1.6</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1.6</v>
      </c>
      <c r="J16" s="45">
        <f>(Altamira_rates!$D$4)*100</f>
        <v>1.6</v>
      </c>
      <c r="K16" s="45">
        <f>(Manulife_ISA_CAD[ISA CAD])*100</f>
        <v>1.6</v>
      </c>
      <c r="L16" s="76">
        <f>(B2B_rates!$D$2)*100</f>
        <v>1.6</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1.6</v>
      </c>
      <c r="J17" s="45">
        <f>(Altamira_rates!$D$4)*100</f>
        <v>1.6</v>
      </c>
      <c r="K17" s="45">
        <f>(Manulife_ISA_CAD[ISA CAD])*100</f>
        <v>1.6</v>
      </c>
      <c r="L17" s="76">
        <f>(B2B_rates!$D$2)*100</f>
        <v>1.6</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1.6</v>
      </c>
      <c r="J18" s="45">
        <f>(Altamira_rates!$D$4)*100</f>
        <v>1.6</v>
      </c>
      <c r="K18" s="45">
        <f>(Manulife_ISA_CAD[ISA CAD])*100</f>
        <v>1.6</v>
      </c>
      <c r="L18" s="76">
        <f>(B2B_rates!$D$2)*100</f>
        <v>1.6</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1.6</v>
      </c>
      <c r="J19" s="45">
        <f>(Altamira_rates!$D$4)*100</f>
        <v>1.6</v>
      </c>
      <c r="K19" s="45">
        <f>(Manulife_ISA_CAD[ISA CAD])*100</f>
        <v>1.6</v>
      </c>
      <c r="L19" s="76">
        <f>(B2B_rates!$D$2)*100</f>
        <v>1.6</v>
      </c>
      <c r="M19" s="45">
        <f>(BNS_Rates!$C$40)*100</f>
        <v>0.25</v>
      </c>
      <c r="N19" s="45">
        <f>(HomeTrust_rates!$B$13)*100</f>
        <v>1.6</v>
      </c>
    </row>
    <row r="20" spans="1:14" s="42" customFormat="1" x14ac:dyDescent="0.25">
      <c r="A20" s="43" t="s">
        <v>432</v>
      </c>
      <c r="B20" s="45">
        <f>(CIBC_rates!$B$25)*100</f>
        <v>1.6</v>
      </c>
      <c r="C20" s="45">
        <f>(CIBC_rates!$C$21)*100</f>
        <v>1.6</v>
      </c>
      <c r="D20" s="45">
        <f>(TD_rates!$F$40)*100</f>
        <v>1.6</v>
      </c>
      <c r="E20" s="45">
        <f>(TD_rates!$F$42)*100</f>
        <v>1.6</v>
      </c>
      <c r="F20" s="45">
        <f>(TD_rates!$F$43)*100</f>
        <v>1.6</v>
      </c>
      <c r="G20" s="45">
        <f>(TD_rates!$F$44)*100</f>
        <v>1.6</v>
      </c>
      <c r="H20" s="60">
        <v>1.6</v>
      </c>
      <c r="I20" s="45">
        <f>(RBC_Rates!$C$2)*100</f>
        <v>1.6</v>
      </c>
      <c r="J20" s="45">
        <f>(Altamira_rates!$D$4)*100</f>
        <v>1.6</v>
      </c>
      <c r="K20" s="45">
        <f>(Manulife_ISA_CAD[ISA CAD])*100</f>
        <v>1.6</v>
      </c>
      <c r="L20" s="76">
        <f>(B2B_rates!$D$2)*100</f>
        <v>1.6</v>
      </c>
      <c r="M20" s="45">
        <f>(BNS_Rates!$C$40)*100</f>
        <v>0.25</v>
      </c>
      <c r="N20" s="45">
        <f>(HomeTrust_rates!$B$13)*100</f>
        <v>1.6</v>
      </c>
    </row>
    <row r="21" spans="1:14" x14ac:dyDescent="0.25">
      <c r="A21" s="43" t="s">
        <v>433</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1.6</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377</v>
      </c>
      <c r="C6" s="28" t="s">
        <v>378</v>
      </c>
      <c r="D6" s="28" t="s">
        <v>379</v>
      </c>
    </row>
    <row r="7" spans="1:4" ht="45" x14ac:dyDescent="0.25">
      <c r="A7" s="26">
        <v>43656</v>
      </c>
      <c r="B7" s="27" t="s">
        <v>447</v>
      </c>
      <c r="C7" s="28" t="s">
        <v>378</v>
      </c>
      <c r="D7" s="28" t="s">
        <v>379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4" sqref="B24:B25"/>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369</v>
      </c>
      <c r="B20" t="s">
        <v>387</v>
      </c>
      <c r="C20" t="s">
        <v>388</v>
      </c>
    </row>
    <row r="21" spans="1:5" x14ac:dyDescent="0.25">
      <c r="B21" s="18" t="s">
        <v>370</v>
      </c>
      <c r="C21">
        <v>1.6E-2</v>
      </c>
      <c r="E21">
        <v>0</v>
      </c>
    </row>
    <row r="22" spans="1:5" x14ac:dyDescent="0.25">
      <c r="B22" s="18" t="s">
        <v>371</v>
      </c>
      <c r="C22">
        <v>1.7000000000000001E-2</v>
      </c>
      <c r="E22">
        <v>0</v>
      </c>
    </row>
    <row r="24" spans="1:5" x14ac:dyDescent="0.25">
      <c r="A24" t="s">
        <v>397</v>
      </c>
      <c r="B24" t="s">
        <v>385</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workbookViewId="0">
      <selection activeCell="B29" sqref="B29:C35"/>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436</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389</v>
      </c>
      <c r="C12">
        <v>5.0000000000000001E-3</v>
      </c>
      <c r="E12">
        <f>VALUE(LEFT(TD_Savings_Accounts[[#This Row],[Account Balance]],FIND(" ",TD_Savings_Accounts[[#This Row],[Account Balance]])))</f>
        <v>5000</v>
      </c>
    </row>
    <row r="13" spans="1:5" x14ac:dyDescent="0.25">
      <c r="B13" s="18" t="s">
        <v>390</v>
      </c>
      <c r="C13">
        <v>5.0000000000000001E-3</v>
      </c>
      <c r="E13">
        <f>VALUE(LEFT(TD_Savings_Accounts[[#This Row],[Account Balance]],FIND(" ",TD_Savings_Accounts[[#This Row],[Account Balance]])))</f>
        <v>50000</v>
      </c>
    </row>
    <row r="14" spans="1:5" x14ac:dyDescent="0.25">
      <c r="B14" s="18" t="s">
        <v>391</v>
      </c>
      <c r="C14">
        <v>5.0000000000000001E-3</v>
      </c>
      <c r="E14" t="e">
        <f>VALUE(LEFT(TD_Savings_Accounts[[#This Row],[Account Balance]],FIND(" ",TD_Savings_Accounts[[#This Row],[Account Balance]])))</f>
        <v>#VALUE!</v>
      </c>
    </row>
    <row r="15" spans="1:5" x14ac:dyDescent="0.25">
      <c r="B15" s="18" t="s">
        <v>392</v>
      </c>
      <c r="C15">
        <v>5.0000000000000001E-3</v>
      </c>
      <c r="E15">
        <f>VALUE(LEFT(TD_Savings_Accounts[[#This Row],[Account Balance]],FIND(" ",TD_Savings_Accounts[[#This Row],[Account Balance]])))</f>
        <v>250000</v>
      </c>
    </row>
    <row r="16" spans="1:5" x14ac:dyDescent="0.25">
      <c r="B16" s="18" t="s">
        <v>393</v>
      </c>
      <c r="C16">
        <v>5.0000000000000001E-3</v>
      </c>
      <c r="E16">
        <f>VALUE(LEFT(TD_Savings_Accounts[[#This Row],[Account Balance]],FIND(" ",TD_Savings_Accounts[[#This Row],[Account Balance]])))</f>
        <v>1000000.01</v>
      </c>
    </row>
    <row r="17" spans="1:5" x14ac:dyDescent="0.25">
      <c r="B17" s="18" t="s">
        <v>167</v>
      </c>
    </row>
    <row r="18" spans="1:5" x14ac:dyDescent="0.25">
      <c r="B18" s="18" t="s">
        <v>394</v>
      </c>
      <c r="C18">
        <v>0</v>
      </c>
      <c r="E18">
        <f>VALUE(LEFT(TD_Savings_Accounts[[#This Row],[Account Balance]],FIND(" ",TD_Savings_Accounts[[#This Row],[Account Balance]])))</f>
        <v>0</v>
      </c>
    </row>
    <row r="19" spans="1:5" x14ac:dyDescent="0.25">
      <c r="B19" s="18" t="s">
        <v>395</v>
      </c>
      <c r="C19">
        <v>1.0500000000000001E-2</v>
      </c>
      <c r="E19">
        <f>VALUE(LEFT(TD_Savings_Accounts[[#This Row],[Account Balance]],FIND(" ",TD_Savings_Accounts[[#This Row],[Account Balance]])))</f>
        <v>10000</v>
      </c>
    </row>
    <row r="20" spans="1:5" x14ac:dyDescent="0.25">
      <c r="B20" s="18" t="s">
        <v>390</v>
      </c>
      <c r="C20">
        <v>1.0500000000000001E-2</v>
      </c>
      <c r="E20">
        <f>VALUE(LEFT(TD_Savings_Accounts[[#This Row],[Account Balance]],FIND(" ",TD_Savings_Accounts[[#This Row],[Account Balance]])))</f>
        <v>50000</v>
      </c>
    </row>
    <row r="21" spans="1:5" x14ac:dyDescent="0.25">
      <c r="B21" s="18" t="s">
        <v>396</v>
      </c>
      <c r="C21">
        <v>1.0500000000000001E-2</v>
      </c>
      <c r="E21">
        <f>VALUE(LEFT(TD_Savings_Accounts[[#This Row],[Account Balance]],FIND(" ",TD_Savings_Accounts[[#This Row],[Account Balance]])))</f>
        <v>100000</v>
      </c>
    </row>
    <row r="22" spans="1:5" x14ac:dyDescent="0.25">
      <c r="B22" s="18" t="s">
        <v>392</v>
      </c>
      <c r="C22">
        <v>1.0500000000000001E-2</v>
      </c>
      <c r="E22">
        <f>VALUE(LEFT(TD_Savings_Accounts[[#This Row],[Account Balance]],FIND(" ",TD_Savings_Accounts[[#This Row],[Account Balance]])))</f>
        <v>250000</v>
      </c>
    </row>
    <row r="23" spans="1:5" x14ac:dyDescent="0.25">
      <c r="B23" s="18" t="s">
        <v>393</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372</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435</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422</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421</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420</v>
      </c>
      <c r="B6" s="18" t="s">
        <v>410</v>
      </c>
      <c r="C6" s="42">
        <v>0</v>
      </c>
      <c r="D6" s="42"/>
      <c r="E6" s="42"/>
      <c r="G6" s="42">
        <f>IF(MID(BNS_Savings_Accounts[[#This Row],[Account Balance]],1,5)="Under",0,VALUE(TRIM(MID(BNS_Savings_Accounts[[#This Row],[Account Balance]],2,FIND(" ",BNS_Savings_Accounts[[#This Row],[Account Balance]],2)-2))))</f>
        <v>0</v>
      </c>
    </row>
    <row r="7" spans="1:7" x14ac:dyDescent="0.25">
      <c r="B7" s="18" t="s">
        <v>411</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419</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418</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417</v>
      </c>
      <c r="B12" s="18" t="s">
        <v>412</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413</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414</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415</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416</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373</v>
      </c>
      <c r="B43" s="61" t="s">
        <v>140</v>
      </c>
      <c r="C43" s="63" t="s">
        <v>331</v>
      </c>
      <c r="D43" s="62" t="s">
        <v>332</v>
      </c>
    </row>
    <row r="44" spans="1:7" x14ac:dyDescent="0.25">
      <c r="B44" s="66" t="s">
        <v>375</v>
      </c>
      <c r="C44" s="68">
        <v>1.6E-2</v>
      </c>
      <c r="D44" s="69">
        <v>1.6500000000000001E-2</v>
      </c>
    </row>
    <row r="45" spans="1:7" x14ac:dyDescent="0.25">
      <c r="B45" s="67" t="s">
        <v>376</v>
      </c>
      <c r="C45" s="70">
        <v>1.7500000000000002E-2</v>
      </c>
      <c r="D45" s="71">
        <v>1.7999999999999999E-2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election activeCell="A161" sqref="A161"/>
    </sheetView>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336</v>
      </c>
      <c r="B1" t="s">
        <v>181</v>
      </c>
      <c r="C1" t="s">
        <v>182</v>
      </c>
      <c r="D1" t="s">
        <v>183</v>
      </c>
      <c r="E1" t="s">
        <v>269</v>
      </c>
    </row>
    <row r="2" spans="1:8" x14ac:dyDescent="0.25">
      <c r="B2" s="18" t="s">
        <v>184</v>
      </c>
      <c r="C2">
        <v>1.6E-2</v>
      </c>
      <c r="D2">
        <v>1.7000000000000001E-2</v>
      </c>
      <c r="E2">
        <v>500</v>
      </c>
    </row>
    <row r="3" spans="1:8" x14ac:dyDescent="0.25">
      <c r="B3" s="18" t="s">
        <v>185</v>
      </c>
      <c r="C3">
        <v>1.8499999999999999E-2</v>
      </c>
      <c r="D3">
        <v>1.95E-2</v>
      </c>
    </row>
    <row r="4" spans="1:8" x14ac:dyDescent="0.25">
      <c r="B4" s="18" t="s">
        <v>186</v>
      </c>
      <c r="C4">
        <v>1.4500000000000001E-2</v>
      </c>
      <c r="D4">
        <v>1.7000000000000001E-2</v>
      </c>
    </row>
    <row r="5" spans="1:8" x14ac:dyDescent="0.25">
      <c r="B5" s="18" t="s">
        <v>187</v>
      </c>
      <c r="C5">
        <v>1.55E-2</v>
      </c>
      <c r="D5">
        <v>1.7999999999999999E-2</v>
      </c>
    </row>
    <row r="6" spans="1:8" x14ac:dyDescent="0.25">
      <c r="B6" s="18" t="s">
        <v>188</v>
      </c>
      <c r="C6">
        <v>1.6E-2</v>
      </c>
      <c r="D6">
        <v>1.7000000000000001E-2</v>
      </c>
    </row>
    <row r="7" spans="1:8" x14ac:dyDescent="0.25">
      <c r="B7" s="18" t="s">
        <v>189</v>
      </c>
      <c r="C7">
        <v>1.7000000000000001E-2</v>
      </c>
      <c r="D7">
        <v>1.7999999999999999E-2</v>
      </c>
    </row>
    <row r="12" spans="1:8" x14ac:dyDescent="0.25">
      <c r="B12" t="s">
        <v>283</v>
      </c>
      <c r="C12" t="s">
        <v>57</v>
      </c>
      <c r="E12" s="39" t="s">
        <v>269</v>
      </c>
    </row>
    <row r="13" spans="1:8" x14ac:dyDescent="0.25">
      <c r="A13" t="s">
        <v>314</v>
      </c>
      <c r="B13" s="42" t="s">
        <v>464</v>
      </c>
      <c r="C13" s="42" t="s">
        <v>465</v>
      </c>
      <c r="E13">
        <f>IF(LEFT(RBC_Personal_Accounts[[#This Row],[If Balance is]],1)&lt;&gt;"$",0,VALUE(LEFT(RBC_Personal_Accounts[[#This Row],[If Balance is]],FIND(" ",RBC_Personal_Accounts[[#This Row],[If Balance is]]))))</f>
        <v>0</v>
      </c>
      <c r="H13">
        <v>157</v>
      </c>
    </row>
    <row r="14" spans="1:8" x14ac:dyDescent="0.25">
      <c r="B14" s="42" t="s">
        <v>466</v>
      </c>
      <c r="C14" s="42" t="s">
        <v>465</v>
      </c>
      <c r="E14" s="42">
        <f>IF(LEFT(RBC_Personal_Accounts[[#This Row],[If Balance is]],1)&lt;&gt;"$",0,VALUE(LEFT(RBC_Personal_Accounts[[#This Row],[If Balance is]],FIND(" ",RBC_Personal_Accounts[[#This Row],[If Balance is]]))))</f>
        <v>1000</v>
      </c>
      <c r="H14">
        <v>156</v>
      </c>
    </row>
    <row r="15" spans="1:8" x14ac:dyDescent="0.25">
      <c r="B15" s="42" t="s">
        <v>467</v>
      </c>
      <c r="C15" s="42" t="s">
        <v>465</v>
      </c>
      <c r="E15" s="42">
        <f>IF(LEFT(RBC_Personal_Accounts[[#This Row],[If Balance is]],1)&lt;&gt;"$",0,VALUE(LEFT(RBC_Personal_Accounts[[#This Row],[If Balance is]],FIND(" ",RBC_Personal_Accounts[[#This Row],[If Balance is]]))))</f>
        <v>3000</v>
      </c>
      <c r="H15">
        <v>155</v>
      </c>
    </row>
    <row r="16" spans="1:8" x14ac:dyDescent="0.25">
      <c r="B16" s="42" t="s">
        <v>468</v>
      </c>
      <c r="C16" s="42" t="s">
        <v>469</v>
      </c>
      <c r="E16" s="42">
        <f>IF(LEFT(RBC_Personal_Accounts[[#This Row],[If Balance is]],1)&lt;&gt;"$",0,VALUE(LEFT(RBC_Personal_Accounts[[#This Row],[If Balance is]],FIND(" ",RBC_Personal_Accounts[[#This Row],[If Balance is]]))))</f>
        <v>5000</v>
      </c>
      <c r="H16">
        <v>154</v>
      </c>
    </row>
    <row r="17" spans="1:9" x14ac:dyDescent="0.25">
      <c r="B17" s="42" t="s">
        <v>59</v>
      </c>
      <c r="C17" s="42" t="s">
        <v>469</v>
      </c>
      <c r="E17" s="42">
        <f>IF(LEFT(RBC_Personal_Accounts[[#This Row],[If Balance is]],1)&lt;&gt;"$",0,VALUE(LEFT(RBC_Personal_Accounts[[#This Row],[If Balance is]],FIND(" ",RBC_Personal_Accounts[[#This Row],[If Balance is]]))))</f>
        <v>25000</v>
      </c>
      <c r="H17">
        <v>153</v>
      </c>
    </row>
    <row r="18" spans="1:9" x14ac:dyDescent="0.25">
      <c r="B18" s="42" t="s">
        <v>470</v>
      </c>
      <c r="C18" s="42" t="s">
        <v>471</v>
      </c>
      <c r="E18" s="42">
        <f>IF(LEFT(RBC_Personal_Accounts[[#This Row],[If Balance is]],1)&lt;&gt;"$",0,VALUE(LEFT(RBC_Personal_Accounts[[#This Row],[If Balance is]],FIND(" ",RBC_Personal_Accounts[[#This Row],[If Balance is]]))))</f>
        <v>60000</v>
      </c>
      <c r="H18">
        <v>152</v>
      </c>
    </row>
    <row r="19" spans="1:9" x14ac:dyDescent="0.25">
      <c r="A19" t="s">
        <v>313</v>
      </c>
      <c r="B19" s="42" t="s">
        <v>464</v>
      </c>
      <c r="C19" s="42" t="s">
        <v>465</v>
      </c>
      <c r="E19" s="42">
        <f>IF(LEFT(RBC_Personal_Accounts[[#This Row],[If Balance is]],1)&lt;&gt;"$",0,VALUE(LEFT(RBC_Personal_Accounts[[#This Row],[If Balance is]],FIND(" ",RBC_Personal_Accounts[[#This Row],[If Balance is]]))))</f>
        <v>0</v>
      </c>
      <c r="H19">
        <v>151</v>
      </c>
      <c r="I19" t="s">
        <v>314</v>
      </c>
    </row>
    <row r="20" spans="1:9" x14ac:dyDescent="0.25">
      <c r="B20" s="42" t="s">
        <v>466</v>
      </c>
      <c r="C20" s="42" t="s">
        <v>465</v>
      </c>
      <c r="E20" s="42">
        <f>IF(LEFT(RBC_Personal_Accounts[[#This Row],[If Balance is]],1)&lt;&gt;"$",0,VALUE(LEFT(RBC_Personal_Accounts[[#This Row],[If Balance is]],FIND(" ",RBC_Personal_Accounts[[#This Row],[If Balance is]]))))</f>
        <v>1000</v>
      </c>
      <c r="H20">
        <v>150</v>
      </c>
    </row>
    <row r="21" spans="1:9" x14ac:dyDescent="0.25">
      <c r="B21" s="42" t="s">
        <v>467</v>
      </c>
      <c r="C21" s="42" t="s">
        <v>469</v>
      </c>
      <c r="E21" s="42">
        <f>IF(LEFT(RBC_Personal_Accounts[[#This Row],[If Balance is]],1)&lt;&gt;"$",0,VALUE(LEFT(RBC_Personal_Accounts[[#This Row],[If Balance is]],FIND(" ",RBC_Personal_Accounts[[#This Row],[If Balance is]]))))</f>
        <v>3000</v>
      </c>
      <c r="H21">
        <v>149</v>
      </c>
    </row>
    <row r="22" spans="1:9" x14ac:dyDescent="0.25">
      <c r="B22" s="42" t="s">
        <v>61</v>
      </c>
      <c r="C22" s="42" t="s">
        <v>471</v>
      </c>
      <c r="E22" s="42">
        <f>IF(LEFT(RBC_Personal_Accounts[[#This Row],[If Balance is]],1)&lt;&gt;"$",0,VALUE(LEFT(RBC_Personal_Accounts[[#This Row],[If Balance is]],FIND(" ",RBC_Personal_Accounts[[#This Row],[If Balance is]]))))</f>
        <v>5000</v>
      </c>
      <c r="H22">
        <v>148</v>
      </c>
    </row>
    <row r="23" spans="1:9" x14ac:dyDescent="0.25">
      <c r="A23" t="s">
        <v>312</v>
      </c>
      <c r="B23" s="42" t="s">
        <v>464</v>
      </c>
      <c r="C23" s="42" t="s">
        <v>472</v>
      </c>
      <c r="E23" s="42">
        <f>IF(LEFT(RBC_Personal_Accounts[[#This Row],[If Balance is]],1)&lt;&gt;"$",0,VALUE(LEFT(RBC_Personal_Accounts[[#This Row],[If Balance is]],FIND(" ",RBC_Personal_Accounts[[#This Row],[If Balance is]]))))</f>
        <v>0</v>
      </c>
      <c r="H23">
        <v>147</v>
      </c>
      <c r="I23" t="s">
        <v>313</v>
      </c>
    </row>
    <row r="24" spans="1:9" x14ac:dyDescent="0.25">
      <c r="B24" s="42" t="s">
        <v>466</v>
      </c>
      <c r="C24" s="42" t="s">
        <v>473</v>
      </c>
      <c r="E24" s="42">
        <f>IF(LEFT(RBC_Personal_Accounts[[#This Row],[If Balance is]],1)&lt;&gt;"$",0,VALUE(LEFT(RBC_Personal_Accounts[[#This Row],[If Balance is]],FIND(" ",RBC_Personal_Accounts[[#This Row],[If Balance is]]))))</f>
        <v>1000</v>
      </c>
      <c r="H24">
        <v>146</v>
      </c>
    </row>
    <row r="25" spans="1:9" x14ac:dyDescent="0.25">
      <c r="B25" s="42" t="s">
        <v>467</v>
      </c>
      <c r="C25" s="42" t="s">
        <v>474</v>
      </c>
      <c r="E25" s="42">
        <f>IF(LEFT(RBC_Personal_Accounts[[#This Row],[If Balance is]],1)&lt;&gt;"$",0,VALUE(LEFT(RBC_Personal_Accounts[[#This Row],[If Balance is]],FIND(" ",RBC_Personal_Accounts[[#This Row],[If Balance is]]))))</f>
        <v>3000</v>
      </c>
      <c r="H25">
        <v>145</v>
      </c>
    </row>
    <row r="26" spans="1:9" x14ac:dyDescent="0.25">
      <c r="B26" s="42" t="s">
        <v>61</v>
      </c>
      <c r="C26" s="42" t="s">
        <v>474</v>
      </c>
      <c r="E26" s="42">
        <f>IF(LEFT(RBC_Personal_Accounts[[#This Row],[If Balance is]],1)&lt;&gt;"$",0,VALUE(LEFT(RBC_Personal_Accounts[[#This Row],[If Balance is]],FIND(" ",RBC_Personal_Accounts[[#This Row],[If Balance is]]))))</f>
        <v>5000</v>
      </c>
      <c r="H26">
        <v>144</v>
      </c>
    </row>
    <row r="27" spans="1:9" x14ac:dyDescent="0.25">
      <c r="A27" t="s">
        <v>311</v>
      </c>
      <c r="B27" s="42" t="s">
        <v>475</v>
      </c>
      <c r="C27" s="42" t="s">
        <v>465</v>
      </c>
      <c r="E27" s="42">
        <f>IF(LEFT(RBC_Personal_Accounts[[#This Row],[If Balance is]],1)&lt;&gt;"$",0,VALUE(LEFT(RBC_Personal_Accounts[[#This Row],[If Balance is]],FIND(" ",RBC_Personal_Accounts[[#This Row],[If Balance is]]))))</f>
        <v>0</v>
      </c>
      <c r="H27">
        <v>143</v>
      </c>
      <c r="I27" t="s">
        <v>312</v>
      </c>
    </row>
    <row r="28" spans="1:9" x14ac:dyDescent="0.25">
      <c r="B28" s="42" t="s">
        <v>476</v>
      </c>
      <c r="C28" s="42" t="s">
        <v>469</v>
      </c>
      <c r="E28" s="42">
        <f>IF(LEFT(RBC_Personal_Accounts[[#This Row],[If Balance is]],1)&lt;&gt;"$",0,VALUE(LEFT(RBC_Personal_Accounts[[#This Row],[If Balance is]],FIND(" ",RBC_Personal_Accounts[[#This Row],[If Balance is]]))))</f>
        <v>5000</v>
      </c>
      <c r="H28">
        <v>142</v>
      </c>
    </row>
    <row r="29" spans="1:9" x14ac:dyDescent="0.25">
      <c r="B29" s="42" t="s">
        <v>60</v>
      </c>
      <c r="C29" s="42" t="s">
        <v>472</v>
      </c>
      <c r="E29" s="42">
        <f>IF(LEFT(RBC_Personal_Accounts[[#This Row],[If Balance is]],1)&lt;&gt;"$",0,VALUE(LEFT(RBC_Personal_Accounts[[#This Row],[If Balance is]],FIND(" ",RBC_Personal_Accounts[[#This Row],[If Balance is]]))))</f>
        <v>10000</v>
      </c>
      <c r="H29">
        <v>141</v>
      </c>
    </row>
    <row r="30" spans="1:9" x14ac:dyDescent="0.25">
      <c r="B30" s="42" t="s">
        <v>59</v>
      </c>
      <c r="C30" s="42" t="s">
        <v>473</v>
      </c>
      <c r="E30" s="42">
        <f>IF(LEFT(RBC_Personal_Accounts[[#This Row],[If Balance is]],1)&lt;&gt;"$",0,VALUE(LEFT(RBC_Personal_Accounts[[#This Row],[If Balance is]],FIND(" ",RBC_Personal_Accounts[[#This Row],[If Balance is]]))))</f>
        <v>25000</v>
      </c>
      <c r="H30">
        <v>140</v>
      </c>
    </row>
    <row r="31" spans="1:9" x14ac:dyDescent="0.25">
      <c r="B31" s="42" t="s">
        <v>58</v>
      </c>
      <c r="C31" s="42" t="s">
        <v>477</v>
      </c>
      <c r="E31" s="42">
        <f>IF(LEFT(RBC_Personal_Accounts[[#This Row],[If Balance is]],1)&lt;&gt;"$",0,VALUE(LEFT(RBC_Personal_Accounts[[#This Row],[If Balance is]],FIND(" ",RBC_Personal_Accounts[[#This Row],[If Balance is]]))))</f>
        <v>60000</v>
      </c>
      <c r="H31">
        <v>139</v>
      </c>
    </row>
    <row r="32" spans="1:9" x14ac:dyDescent="0.25">
      <c r="B32" s="42" t="s">
        <v>478</v>
      </c>
      <c r="C32" s="42" t="s">
        <v>479</v>
      </c>
      <c r="E32" s="42">
        <f>IF(LEFT(RBC_Personal_Accounts[[#This Row],[If Balance is]],1)&lt;&gt;"$",0,VALUE(LEFT(RBC_Personal_Accounts[[#This Row],[If Balance is]],FIND(" ",RBC_Personal_Accounts[[#This Row],[If Balance is]]))))</f>
        <v>100000</v>
      </c>
      <c r="H32">
        <v>138</v>
      </c>
    </row>
    <row r="33" spans="1:9" x14ac:dyDescent="0.25">
      <c r="B33" s="42" t="s">
        <v>480</v>
      </c>
      <c r="C33" s="42" t="s">
        <v>481</v>
      </c>
      <c r="E33" s="42">
        <f>IF(LEFT(RBC_Personal_Accounts[[#This Row],[If Balance is]],1)&lt;&gt;"$",0,VALUE(LEFT(RBC_Personal_Accounts[[#This Row],[If Balance is]],FIND(" ",RBC_Personal_Accounts[[#This Row],[If Balance is]]))))</f>
        <v>150000</v>
      </c>
      <c r="H33">
        <v>137</v>
      </c>
    </row>
    <row r="34" spans="1:9" x14ac:dyDescent="0.25">
      <c r="B34" s="42" t="s">
        <v>482</v>
      </c>
      <c r="C34" s="42" t="s">
        <v>481</v>
      </c>
      <c r="E34" s="42">
        <f>IF(LEFT(RBC_Personal_Accounts[[#This Row],[If Balance is]],1)&lt;&gt;"$",0,VALUE(LEFT(RBC_Personal_Accounts[[#This Row],[If Balance is]],FIND(" ",RBC_Personal_Accounts[[#This Row],[If Balance is]]))))</f>
        <v>250000</v>
      </c>
      <c r="H34">
        <v>136</v>
      </c>
    </row>
    <row r="35" spans="1:9" x14ac:dyDescent="0.25">
      <c r="A35" t="s">
        <v>310</v>
      </c>
      <c r="B35" s="42" t="s">
        <v>483</v>
      </c>
      <c r="C35" s="42" t="s">
        <v>472</v>
      </c>
      <c r="E35" s="42">
        <f>IF(LEFT(RBC_Personal_Accounts[[#This Row],[If Balance is]],1)&lt;&gt;"$",0,VALUE(LEFT(RBC_Personal_Accounts[[#This Row],[If Balance is]],FIND(" ",RBC_Personal_Accounts[[#This Row],[If Balance is]]))))</f>
        <v>0</v>
      </c>
      <c r="H35">
        <v>135</v>
      </c>
      <c r="I35" t="s">
        <v>311</v>
      </c>
    </row>
    <row r="36" spans="1:9" x14ac:dyDescent="0.25">
      <c r="B36" s="42" t="s">
        <v>484</v>
      </c>
      <c r="C36" s="42" t="s">
        <v>472</v>
      </c>
      <c r="E36" s="42">
        <f>IF(LEFT(RBC_Personal_Accounts[[#This Row],[If Balance is]],1)&lt;&gt;"$",0,VALUE(LEFT(RBC_Personal_Accounts[[#This Row],[If Balance is]],FIND(" ",RBC_Personal_Accounts[[#This Row],[If Balance is]]))))</f>
        <v>1000</v>
      </c>
      <c r="H36">
        <v>134</v>
      </c>
    </row>
    <row r="37" spans="1:9" x14ac:dyDescent="0.25">
      <c r="B37" s="42" t="s">
        <v>485</v>
      </c>
      <c r="C37" s="42" t="s">
        <v>472</v>
      </c>
      <c r="E37" s="42">
        <f>IF(LEFT(RBC_Personal_Accounts[[#This Row],[If Balance is]],1)&lt;&gt;"$",0,VALUE(LEFT(RBC_Personal_Accounts[[#This Row],[If Balance is]],FIND(" ",RBC_Personal_Accounts[[#This Row],[If Balance is]]))))</f>
        <v>3000</v>
      </c>
      <c r="H37">
        <v>133</v>
      </c>
    </row>
    <row r="38" spans="1:9" x14ac:dyDescent="0.25">
      <c r="B38" s="42" t="s">
        <v>486</v>
      </c>
      <c r="C38" s="42" t="s">
        <v>472</v>
      </c>
      <c r="E38" s="42">
        <f>IF(LEFT(RBC_Personal_Accounts[[#This Row],[If Balance is]],1)&lt;&gt;"$",0,VALUE(LEFT(RBC_Personal_Accounts[[#This Row],[If Balance is]],FIND(" ",RBC_Personal_Accounts[[#This Row],[If Balance is]]))))</f>
        <v>5000</v>
      </c>
      <c r="H38">
        <v>132</v>
      </c>
    </row>
    <row r="39" spans="1:9" x14ac:dyDescent="0.25">
      <c r="B39" s="42" t="s">
        <v>487</v>
      </c>
      <c r="C39" s="42" t="s">
        <v>472</v>
      </c>
      <c r="E39" s="42">
        <f>IF(LEFT(RBC_Personal_Accounts[[#This Row],[If Balance is]],1)&lt;&gt;"$",0,VALUE(LEFT(RBC_Personal_Accounts[[#This Row],[If Balance is]],FIND(" ",RBC_Personal_Accounts[[#This Row],[If Balance is]]))))</f>
        <v>10000</v>
      </c>
      <c r="H39">
        <v>131</v>
      </c>
    </row>
    <row r="40" spans="1:9" x14ac:dyDescent="0.25">
      <c r="B40" s="42" t="s">
        <v>488</v>
      </c>
      <c r="C40" s="42" t="s">
        <v>472</v>
      </c>
      <c r="E40" s="42">
        <f>IF(LEFT(RBC_Personal_Accounts[[#This Row],[If Balance is]],1)&lt;&gt;"$",0,VALUE(LEFT(RBC_Personal_Accounts[[#This Row],[If Balance is]],FIND(" ",RBC_Personal_Accounts[[#This Row],[If Balance is]]))))</f>
        <v>25000</v>
      </c>
      <c r="H40">
        <v>130</v>
      </c>
    </row>
    <row r="41" spans="1:9" x14ac:dyDescent="0.25">
      <c r="B41" s="42" t="s">
        <v>489</v>
      </c>
      <c r="C41" s="42" t="s">
        <v>490</v>
      </c>
      <c r="E41" s="42">
        <f>IF(LEFT(RBC_Personal_Accounts[[#This Row],[If Balance is]],1)&lt;&gt;"$",0,VALUE(LEFT(RBC_Personal_Accounts[[#This Row],[If Balance is]],FIND(" ",RBC_Personal_Accounts[[#This Row],[If Balance is]]))))</f>
        <v>60000</v>
      </c>
      <c r="H41">
        <v>129</v>
      </c>
    </row>
    <row r="42" spans="1:9" x14ac:dyDescent="0.25">
      <c r="B42" s="42" t="s">
        <v>491</v>
      </c>
      <c r="C42" s="42" t="s">
        <v>490</v>
      </c>
      <c r="E42" s="42">
        <f>IF(LEFT(RBC_Personal_Accounts[[#This Row],[If Balance is]],1)&lt;&gt;"$",0,VALUE(LEFT(RBC_Personal_Accounts[[#This Row],[If Balance is]],FIND(" ",RBC_Personal_Accounts[[#This Row],[If Balance is]]))))</f>
        <v>100000</v>
      </c>
      <c r="H42">
        <v>128</v>
      </c>
    </row>
    <row r="43" spans="1:9" x14ac:dyDescent="0.25">
      <c r="B43" s="42" t="s">
        <v>492</v>
      </c>
      <c r="C43" s="42" t="s">
        <v>490</v>
      </c>
      <c r="E43" s="42">
        <f>IF(LEFT(RBC_Personal_Accounts[[#This Row],[If Balance is]],1)&lt;&gt;"$",0,VALUE(LEFT(RBC_Personal_Accounts[[#This Row],[If Balance is]],FIND(" ",RBC_Personal_Accounts[[#This Row],[If Balance is]]))))</f>
        <v>150000</v>
      </c>
      <c r="H43">
        <v>127</v>
      </c>
    </row>
    <row r="44" spans="1:9" x14ac:dyDescent="0.25">
      <c r="B44" s="42" t="s">
        <v>482</v>
      </c>
      <c r="C44" s="42" t="s">
        <v>490</v>
      </c>
      <c r="E44" s="42">
        <f>IF(LEFT(RBC_Personal_Accounts[[#This Row],[If Balance is]],1)&lt;&gt;"$",0,VALUE(LEFT(RBC_Personal_Accounts[[#This Row],[If Balance is]],FIND(" ",RBC_Personal_Accounts[[#This Row],[If Balance is]]))))</f>
        <v>250000</v>
      </c>
      <c r="H44">
        <v>126</v>
      </c>
    </row>
    <row r="45" spans="1:9" x14ac:dyDescent="0.25">
      <c r="A45" t="s">
        <v>309</v>
      </c>
      <c r="B45" s="42" t="s">
        <v>464</v>
      </c>
      <c r="C45" s="42" t="s">
        <v>465</v>
      </c>
      <c r="E45" s="42">
        <f>IF(LEFT(RBC_Personal_Accounts[[#This Row],[If Balance is]],1)&lt;&gt;"$",0,VALUE(LEFT(RBC_Personal_Accounts[[#This Row],[If Balance is]],FIND(" ",RBC_Personal_Accounts[[#This Row],[If Balance is]]))))</f>
        <v>0</v>
      </c>
      <c r="H45">
        <v>125</v>
      </c>
      <c r="I45" t="s">
        <v>310</v>
      </c>
    </row>
    <row r="46" spans="1:9" x14ac:dyDescent="0.25">
      <c r="B46" s="42" t="s">
        <v>466</v>
      </c>
      <c r="C46" s="42" t="s">
        <v>465</v>
      </c>
      <c r="E46" s="42">
        <f>IF(LEFT(RBC_Personal_Accounts[[#This Row],[If Balance is]],1)&lt;&gt;"$",0,VALUE(LEFT(RBC_Personal_Accounts[[#This Row],[If Balance is]],FIND(" ",RBC_Personal_Accounts[[#This Row],[If Balance is]]))))</f>
        <v>1000</v>
      </c>
      <c r="H46">
        <v>124</v>
      </c>
    </row>
    <row r="47" spans="1:9" x14ac:dyDescent="0.25">
      <c r="B47" s="42" t="s">
        <v>467</v>
      </c>
      <c r="C47" s="42" t="s">
        <v>465</v>
      </c>
      <c r="E47" s="42">
        <f>IF(LEFT(RBC_Personal_Accounts[[#This Row],[If Balance is]],1)&lt;&gt;"$",0,VALUE(LEFT(RBC_Personal_Accounts[[#This Row],[If Balance is]],FIND(" ",RBC_Personal_Accounts[[#This Row],[If Balance is]]))))</f>
        <v>3000</v>
      </c>
      <c r="H47">
        <v>123</v>
      </c>
    </row>
    <row r="48" spans="1:9" x14ac:dyDescent="0.25">
      <c r="B48" s="42" t="s">
        <v>468</v>
      </c>
      <c r="C48" s="42" t="s">
        <v>469</v>
      </c>
      <c r="E48" s="42">
        <f>IF(LEFT(RBC_Personal_Accounts[[#This Row],[If Balance is]],1)&lt;&gt;"$",0,VALUE(LEFT(RBC_Personal_Accounts[[#This Row],[If Balance is]],FIND(" ",RBC_Personal_Accounts[[#This Row],[If Balance is]]))))</f>
        <v>5000</v>
      </c>
      <c r="H48">
        <v>122</v>
      </c>
    </row>
    <row r="49" spans="1:9" x14ac:dyDescent="0.25">
      <c r="B49" s="42" t="s">
        <v>59</v>
      </c>
      <c r="C49" s="42" t="s">
        <v>469</v>
      </c>
      <c r="E49" s="42">
        <f>IF(LEFT(RBC_Personal_Accounts[[#This Row],[If Balance is]],1)&lt;&gt;"$",0,VALUE(LEFT(RBC_Personal_Accounts[[#This Row],[If Balance is]],FIND(" ",RBC_Personal_Accounts[[#This Row],[If Balance is]]))))</f>
        <v>25000</v>
      </c>
      <c r="H49">
        <v>121</v>
      </c>
    </row>
    <row r="50" spans="1:9" x14ac:dyDescent="0.25">
      <c r="B50" s="42" t="s">
        <v>470</v>
      </c>
      <c r="C50" s="42" t="s">
        <v>471</v>
      </c>
      <c r="E50" s="42">
        <f>IF(LEFT(RBC_Personal_Accounts[[#This Row],[If Balance is]],1)&lt;&gt;"$",0,VALUE(LEFT(RBC_Personal_Accounts[[#This Row],[If Balance is]],FIND(" ",RBC_Personal_Accounts[[#This Row],[If Balance is]]))))</f>
        <v>60000</v>
      </c>
      <c r="H50">
        <v>120</v>
      </c>
    </row>
    <row r="51" spans="1:9" x14ac:dyDescent="0.25">
      <c r="A51" t="s">
        <v>308</v>
      </c>
      <c r="B51" s="42" t="s">
        <v>475</v>
      </c>
      <c r="C51" s="42" t="s">
        <v>465</v>
      </c>
      <c r="E51" s="42">
        <f>IF(LEFT(RBC_Personal_Accounts[[#This Row],[If Balance is]],1)&lt;&gt;"$",0,VALUE(LEFT(RBC_Personal_Accounts[[#This Row],[If Balance is]],FIND(" ",RBC_Personal_Accounts[[#This Row],[If Balance is]]))))</f>
        <v>0</v>
      </c>
      <c r="H51">
        <v>119</v>
      </c>
      <c r="I51" t="s">
        <v>309</v>
      </c>
    </row>
    <row r="52" spans="1:9" x14ac:dyDescent="0.25">
      <c r="B52" s="42" t="s">
        <v>476</v>
      </c>
      <c r="C52" s="42" t="s">
        <v>469</v>
      </c>
      <c r="E52" s="42">
        <f>IF(LEFT(RBC_Personal_Accounts[[#This Row],[If Balance is]],1)&lt;&gt;"$",0,VALUE(LEFT(RBC_Personal_Accounts[[#This Row],[If Balance is]],FIND(" ",RBC_Personal_Accounts[[#This Row],[If Balance is]]))))</f>
        <v>5000</v>
      </c>
      <c r="H52">
        <v>118</v>
      </c>
    </row>
    <row r="53" spans="1:9" x14ac:dyDescent="0.25">
      <c r="B53" s="42" t="s">
        <v>60</v>
      </c>
      <c r="C53" s="42" t="s">
        <v>472</v>
      </c>
      <c r="E53" s="42">
        <f>IF(LEFT(RBC_Personal_Accounts[[#This Row],[If Balance is]],1)&lt;&gt;"$",0,VALUE(LEFT(RBC_Personal_Accounts[[#This Row],[If Balance is]],FIND(" ",RBC_Personal_Accounts[[#This Row],[If Balance is]]))))</f>
        <v>10000</v>
      </c>
      <c r="H53">
        <v>117</v>
      </c>
    </row>
    <row r="54" spans="1:9" x14ac:dyDescent="0.25">
      <c r="B54" s="42" t="s">
        <v>59</v>
      </c>
      <c r="C54" s="42" t="s">
        <v>473</v>
      </c>
      <c r="E54" s="42">
        <f>IF(LEFT(RBC_Personal_Accounts[[#This Row],[If Balance is]],1)&lt;&gt;"$",0,VALUE(LEFT(RBC_Personal_Accounts[[#This Row],[If Balance is]],FIND(" ",RBC_Personal_Accounts[[#This Row],[If Balance is]]))))</f>
        <v>25000</v>
      </c>
      <c r="H54">
        <v>116</v>
      </c>
    </row>
    <row r="55" spans="1:9" x14ac:dyDescent="0.25">
      <c r="B55" s="42" t="s">
        <v>58</v>
      </c>
      <c r="C55" s="42" t="s">
        <v>477</v>
      </c>
      <c r="E55" s="42">
        <f>IF(LEFT(RBC_Personal_Accounts[[#This Row],[If Balance is]],1)&lt;&gt;"$",0,VALUE(LEFT(RBC_Personal_Accounts[[#This Row],[If Balance is]],FIND(" ",RBC_Personal_Accounts[[#This Row],[If Balance is]]))))</f>
        <v>60000</v>
      </c>
      <c r="H55">
        <v>115</v>
      </c>
    </row>
    <row r="56" spans="1:9" x14ac:dyDescent="0.25">
      <c r="B56" s="42" t="s">
        <v>478</v>
      </c>
      <c r="C56" s="42" t="s">
        <v>479</v>
      </c>
      <c r="E56" s="42">
        <f>IF(LEFT(RBC_Personal_Accounts[[#This Row],[If Balance is]],1)&lt;&gt;"$",0,VALUE(LEFT(RBC_Personal_Accounts[[#This Row],[If Balance is]],FIND(" ",RBC_Personal_Accounts[[#This Row],[If Balance is]]))))</f>
        <v>100000</v>
      </c>
      <c r="H56">
        <v>114</v>
      </c>
    </row>
    <row r="57" spans="1:9" x14ac:dyDescent="0.25">
      <c r="B57" s="42" t="s">
        <v>480</v>
      </c>
      <c r="C57" s="42" t="s">
        <v>481</v>
      </c>
      <c r="E57" s="42">
        <f>IF(LEFT(RBC_Personal_Accounts[[#This Row],[If Balance is]],1)&lt;&gt;"$",0,VALUE(LEFT(RBC_Personal_Accounts[[#This Row],[If Balance is]],FIND(" ",RBC_Personal_Accounts[[#This Row],[If Balance is]]))))</f>
        <v>150000</v>
      </c>
      <c r="H57">
        <v>113</v>
      </c>
    </row>
    <row r="58" spans="1:9" x14ac:dyDescent="0.25">
      <c r="B58" s="42" t="s">
        <v>482</v>
      </c>
      <c r="C58" s="42" t="s">
        <v>481</v>
      </c>
      <c r="E58" s="42">
        <f>IF(LEFT(RBC_Personal_Accounts[[#This Row],[If Balance is]],1)&lt;&gt;"$",0,VALUE(LEFT(RBC_Personal_Accounts[[#This Row],[If Balance is]],FIND(" ",RBC_Personal_Accounts[[#This Row],[If Balance is]]))))</f>
        <v>250000</v>
      </c>
      <c r="H58">
        <v>112</v>
      </c>
    </row>
    <row r="59" spans="1:9" x14ac:dyDescent="0.25">
      <c r="A59" t="s">
        <v>307</v>
      </c>
      <c r="B59" s="42" t="s">
        <v>464</v>
      </c>
      <c r="C59" s="42" t="s">
        <v>472</v>
      </c>
      <c r="E59" s="42">
        <f>IF(LEFT(RBC_Personal_Accounts[[#This Row],[If Balance is]],1)&lt;&gt;"$",0,VALUE(LEFT(RBC_Personal_Accounts[[#This Row],[If Balance is]],FIND(" ",RBC_Personal_Accounts[[#This Row],[If Balance is]]))))</f>
        <v>0</v>
      </c>
      <c r="H59">
        <v>111</v>
      </c>
      <c r="I59" t="s">
        <v>308</v>
      </c>
    </row>
    <row r="60" spans="1:9" x14ac:dyDescent="0.25">
      <c r="B60" s="42" t="s">
        <v>466</v>
      </c>
      <c r="C60" s="42" t="s">
        <v>473</v>
      </c>
      <c r="E60" s="42">
        <f>IF(LEFT(RBC_Personal_Accounts[[#This Row],[If Balance is]],1)&lt;&gt;"$",0,VALUE(LEFT(RBC_Personal_Accounts[[#This Row],[If Balance is]],FIND(" ",RBC_Personal_Accounts[[#This Row],[If Balance is]]))))</f>
        <v>1000</v>
      </c>
      <c r="H60">
        <v>110</v>
      </c>
    </row>
    <row r="61" spans="1:9" x14ac:dyDescent="0.25">
      <c r="B61" s="42" t="s">
        <v>467</v>
      </c>
      <c r="C61" s="42" t="s">
        <v>474</v>
      </c>
      <c r="E61" s="42">
        <f>IF(LEFT(RBC_Personal_Accounts[[#This Row],[If Balance is]],1)&lt;&gt;"$",0,VALUE(LEFT(RBC_Personal_Accounts[[#This Row],[If Balance is]],FIND(" ",RBC_Personal_Accounts[[#This Row],[If Balance is]]))))</f>
        <v>3000</v>
      </c>
      <c r="H61">
        <v>109</v>
      </c>
    </row>
    <row r="62" spans="1:9" x14ac:dyDescent="0.25">
      <c r="B62" s="42" t="s">
        <v>61</v>
      </c>
      <c r="C62" s="42" t="s">
        <v>474</v>
      </c>
      <c r="E62" s="42">
        <f>IF(LEFT(RBC_Personal_Accounts[[#This Row],[If Balance is]],1)&lt;&gt;"$",0,VALUE(LEFT(RBC_Personal_Accounts[[#This Row],[If Balance is]],FIND(" ",RBC_Personal_Accounts[[#This Row],[If Balance is]]))))</f>
        <v>5000</v>
      </c>
      <c r="H62">
        <v>108</v>
      </c>
    </row>
    <row r="63" spans="1:9" x14ac:dyDescent="0.25">
      <c r="A63" t="s">
        <v>306</v>
      </c>
      <c r="B63" s="42" t="s">
        <v>493</v>
      </c>
      <c r="C63" s="42" t="s">
        <v>465</v>
      </c>
      <c r="E63" s="42">
        <f>IF(LEFT(RBC_Personal_Accounts[[#This Row],[If Balance is]],1)&lt;&gt;"$",0,VALUE(LEFT(RBC_Personal_Accounts[[#This Row],[If Balance is]],FIND(" ",RBC_Personal_Accounts[[#This Row],[If Balance is]]))))</f>
        <v>0</v>
      </c>
      <c r="H63">
        <v>107</v>
      </c>
      <c r="I63" t="s">
        <v>307</v>
      </c>
    </row>
    <row r="64" spans="1:9" x14ac:dyDescent="0.25">
      <c r="B64" s="42" t="s">
        <v>494</v>
      </c>
      <c r="C64" s="42" t="s">
        <v>465</v>
      </c>
      <c r="E64" s="42">
        <f>IF(LEFT(RBC_Personal_Accounts[[#This Row],[If Balance is]],1)&lt;&gt;"$",0,VALUE(LEFT(RBC_Personal_Accounts[[#This Row],[If Balance is]],FIND(" ",RBC_Personal_Accounts[[#This Row],[If Balance is]]))))</f>
        <v>500</v>
      </c>
      <c r="H64">
        <v>106</v>
      </c>
    </row>
    <row r="65" spans="1:9" x14ac:dyDescent="0.25">
      <c r="B65" s="42" t="s">
        <v>466</v>
      </c>
      <c r="C65" s="42" t="s">
        <v>465</v>
      </c>
      <c r="E65" s="42">
        <f>IF(LEFT(RBC_Personal_Accounts[[#This Row],[If Balance is]],1)&lt;&gt;"$",0,VALUE(LEFT(RBC_Personal_Accounts[[#This Row],[If Balance is]],FIND(" ",RBC_Personal_Accounts[[#This Row],[If Balance is]]))))</f>
        <v>1000</v>
      </c>
      <c r="H65">
        <v>105</v>
      </c>
    </row>
    <row r="66" spans="1:9" x14ac:dyDescent="0.25">
      <c r="B66" s="42" t="s">
        <v>467</v>
      </c>
      <c r="C66" s="42" t="s">
        <v>469</v>
      </c>
      <c r="E66" s="42">
        <f>IF(LEFT(RBC_Personal_Accounts[[#This Row],[If Balance is]],1)&lt;&gt;"$",0,VALUE(LEFT(RBC_Personal_Accounts[[#This Row],[If Balance is]],FIND(" ",RBC_Personal_Accounts[[#This Row],[If Balance is]]))))</f>
        <v>3000</v>
      </c>
      <c r="H66">
        <v>104</v>
      </c>
    </row>
    <row r="67" spans="1:9" x14ac:dyDescent="0.25">
      <c r="B67" s="42" t="s">
        <v>61</v>
      </c>
      <c r="C67" s="42" t="s">
        <v>471</v>
      </c>
      <c r="E67" s="42">
        <f>IF(LEFT(RBC_Personal_Accounts[[#This Row],[If Balance is]],1)&lt;&gt;"$",0,VALUE(LEFT(RBC_Personal_Accounts[[#This Row],[If Balance is]],FIND(" ",RBC_Personal_Accounts[[#This Row],[If Balance is]]))))</f>
        <v>5000</v>
      </c>
      <c r="H67">
        <v>103</v>
      </c>
    </row>
    <row r="68" spans="1:9" x14ac:dyDescent="0.25">
      <c r="A68" t="s">
        <v>305</v>
      </c>
      <c r="B68" s="42" t="s">
        <v>464</v>
      </c>
      <c r="C68" s="42" t="s">
        <v>465</v>
      </c>
      <c r="E68" s="42">
        <f>IF(LEFT(RBC_Personal_Accounts[[#This Row],[If Balance is]],1)&lt;&gt;"$",0,VALUE(LEFT(RBC_Personal_Accounts[[#This Row],[If Balance is]],FIND(" ",RBC_Personal_Accounts[[#This Row],[If Balance is]]))))</f>
        <v>0</v>
      </c>
      <c r="H68">
        <v>102</v>
      </c>
      <c r="I68" t="s">
        <v>306</v>
      </c>
    </row>
    <row r="69" spans="1:9" x14ac:dyDescent="0.25">
      <c r="B69" s="42" t="s">
        <v>466</v>
      </c>
      <c r="C69" s="42" t="s">
        <v>465</v>
      </c>
      <c r="E69" s="42">
        <f>IF(LEFT(RBC_Personal_Accounts[[#This Row],[If Balance is]],1)&lt;&gt;"$",0,VALUE(LEFT(RBC_Personal_Accounts[[#This Row],[If Balance is]],FIND(" ",RBC_Personal_Accounts[[#This Row],[If Balance is]]))))</f>
        <v>1000</v>
      </c>
      <c r="H69">
        <v>101</v>
      </c>
    </row>
    <row r="70" spans="1:9" x14ac:dyDescent="0.25">
      <c r="B70" s="42" t="s">
        <v>467</v>
      </c>
      <c r="C70" s="42" t="s">
        <v>465</v>
      </c>
      <c r="E70" s="42">
        <f>IF(LEFT(RBC_Personal_Accounts[[#This Row],[If Balance is]],1)&lt;&gt;"$",0,VALUE(LEFT(RBC_Personal_Accounts[[#This Row],[If Balance is]],FIND(" ",RBC_Personal_Accounts[[#This Row],[If Balance is]]))))</f>
        <v>3000</v>
      </c>
      <c r="H70">
        <v>100</v>
      </c>
    </row>
    <row r="71" spans="1:9" x14ac:dyDescent="0.25">
      <c r="B71" s="42" t="s">
        <v>468</v>
      </c>
      <c r="C71" s="42" t="s">
        <v>469</v>
      </c>
      <c r="E71" s="42">
        <f>IF(LEFT(RBC_Personal_Accounts[[#This Row],[If Balance is]],1)&lt;&gt;"$",0,VALUE(LEFT(RBC_Personal_Accounts[[#This Row],[If Balance is]],FIND(" ",RBC_Personal_Accounts[[#This Row],[If Balance is]]))))</f>
        <v>5000</v>
      </c>
      <c r="H71">
        <v>99</v>
      </c>
    </row>
    <row r="72" spans="1:9" x14ac:dyDescent="0.25">
      <c r="B72" s="42" t="s">
        <v>59</v>
      </c>
      <c r="C72" s="42" t="s">
        <v>469</v>
      </c>
      <c r="E72" s="42">
        <f>IF(LEFT(RBC_Personal_Accounts[[#This Row],[If Balance is]],1)&lt;&gt;"$",0,VALUE(LEFT(RBC_Personal_Accounts[[#This Row],[If Balance is]],FIND(" ",RBC_Personal_Accounts[[#This Row],[If Balance is]]))))</f>
        <v>25000</v>
      </c>
      <c r="H72">
        <v>98</v>
      </c>
    </row>
    <row r="73" spans="1:9" x14ac:dyDescent="0.25">
      <c r="B73" s="42" t="s">
        <v>470</v>
      </c>
      <c r="C73" s="42" t="s">
        <v>471</v>
      </c>
      <c r="E73" s="42">
        <f>IF(LEFT(RBC_Personal_Accounts[[#This Row],[If Balance is]],1)&lt;&gt;"$",0,VALUE(LEFT(RBC_Personal_Accounts[[#This Row],[If Balance is]],FIND(" ",RBC_Personal_Accounts[[#This Row],[If Balance is]]))))</f>
        <v>60000</v>
      </c>
      <c r="H73">
        <v>97</v>
      </c>
    </row>
    <row r="74" spans="1:9" x14ac:dyDescent="0.25">
      <c r="A74" t="s">
        <v>304</v>
      </c>
      <c r="B74" s="42" t="s">
        <v>493</v>
      </c>
      <c r="C74" s="42" t="s">
        <v>469</v>
      </c>
      <c r="E74" s="42">
        <f>IF(LEFT(RBC_Personal_Accounts[[#This Row],[If Balance is]],1)&lt;&gt;"$",0,VALUE(LEFT(RBC_Personal_Accounts[[#This Row],[If Balance is]],FIND(" ",RBC_Personal_Accounts[[#This Row],[If Balance is]]))))</f>
        <v>0</v>
      </c>
      <c r="H74">
        <v>96</v>
      </c>
      <c r="I74" t="s">
        <v>305</v>
      </c>
    </row>
    <row r="75" spans="1:9" x14ac:dyDescent="0.25">
      <c r="B75" s="42" t="s">
        <v>494</v>
      </c>
      <c r="C75" s="42" t="s">
        <v>469</v>
      </c>
      <c r="E75" s="42">
        <f>IF(LEFT(RBC_Personal_Accounts[[#This Row],[If Balance is]],1)&lt;&gt;"$",0,VALUE(LEFT(RBC_Personal_Accounts[[#This Row],[If Balance is]],FIND(" ",RBC_Personal_Accounts[[#This Row],[If Balance is]]))))</f>
        <v>500</v>
      </c>
      <c r="H75">
        <v>95</v>
      </c>
    </row>
    <row r="76" spans="1:9" x14ac:dyDescent="0.25">
      <c r="B76" s="42" t="s">
        <v>466</v>
      </c>
      <c r="C76" s="42" t="s">
        <v>469</v>
      </c>
      <c r="E76" s="42">
        <f>IF(LEFT(RBC_Personal_Accounts[[#This Row],[If Balance is]],1)&lt;&gt;"$",0,VALUE(LEFT(RBC_Personal_Accounts[[#This Row],[If Balance is]],FIND(" ",RBC_Personal_Accounts[[#This Row],[If Balance is]]))))</f>
        <v>1000</v>
      </c>
      <c r="H76">
        <v>94</v>
      </c>
    </row>
    <row r="77" spans="1:9" x14ac:dyDescent="0.25">
      <c r="B77" s="42" t="s">
        <v>467</v>
      </c>
      <c r="C77" s="42" t="s">
        <v>471</v>
      </c>
      <c r="E77" s="42">
        <f>IF(LEFT(RBC_Personal_Accounts[[#This Row],[If Balance is]],1)&lt;&gt;"$",0,VALUE(LEFT(RBC_Personal_Accounts[[#This Row],[If Balance is]],FIND(" ",RBC_Personal_Accounts[[#This Row],[If Balance is]]))))</f>
        <v>3000</v>
      </c>
      <c r="H77">
        <v>93</v>
      </c>
    </row>
    <row r="78" spans="1:9" x14ac:dyDescent="0.25">
      <c r="B78" s="42" t="s">
        <v>61</v>
      </c>
      <c r="C78" s="42" t="s">
        <v>471</v>
      </c>
      <c r="E78" s="42">
        <f>IF(LEFT(RBC_Personal_Accounts[[#This Row],[If Balance is]],1)&lt;&gt;"$",0,VALUE(LEFT(RBC_Personal_Accounts[[#This Row],[If Balance is]],FIND(" ",RBC_Personal_Accounts[[#This Row],[If Balance is]]))))</f>
        <v>5000</v>
      </c>
      <c r="H78">
        <v>92</v>
      </c>
    </row>
    <row r="79" spans="1:9" x14ac:dyDescent="0.25">
      <c r="A79" t="s">
        <v>303</v>
      </c>
      <c r="B79" s="42" t="s">
        <v>464</v>
      </c>
      <c r="C79" s="42" t="s">
        <v>472</v>
      </c>
      <c r="E79" s="42">
        <f>IF(LEFT(RBC_Personal_Accounts[[#This Row],[If Balance is]],1)&lt;&gt;"$",0,VALUE(LEFT(RBC_Personal_Accounts[[#This Row],[If Balance is]],FIND(" ",RBC_Personal_Accounts[[#This Row],[If Balance is]]))))</f>
        <v>0</v>
      </c>
      <c r="H79">
        <v>91</v>
      </c>
      <c r="I79" t="s">
        <v>304</v>
      </c>
    </row>
    <row r="80" spans="1:9" x14ac:dyDescent="0.25">
      <c r="B80" s="42" t="s">
        <v>466</v>
      </c>
      <c r="C80" s="42" t="s">
        <v>473</v>
      </c>
      <c r="E80" s="42">
        <f>IF(LEFT(RBC_Personal_Accounts[[#This Row],[If Balance is]],1)&lt;&gt;"$",0,VALUE(LEFT(RBC_Personal_Accounts[[#This Row],[If Balance is]],FIND(" ",RBC_Personal_Accounts[[#This Row],[If Balance is]]))))</f>
        <v>1000</v>
      </c>
      <c r="H80">
        <v>90</v>
      </c>
    </row>
    <row r="81" spans="1:9" x14ac:dyDescent="0.25">
      <c r="B81" s="42" t="s">
        <v>467</v>
      </c>
      <c r="C81" s="42" t="s">
        <v>474</v>
      </c>
      <c r="E81" s="42">
        <f>IF(LEFT(RBC_Personal_Accounts[[#This Row],[If Balance is]],1)&lt;&gt;"$",0,VALUE(LEFT(RBC_Personal_Accounts[[#This Row],[If Balance is]],FIND(" ",RBC_Personal_Accounts[[#This Row],[If Balance is]]))))</f>
        <v>3000</v>
      </c>
      <c r="H81">
        <v>89</v>
      </c>
    </row>
    <row r="82" spans="1:9" x14ac:dyDescent="0.25">
      <c r="B82" s="42" t="s">
        <v>61</v>
      </c>
      <c r="C82" s="42" t="s">
        <v>474</v>
      </c>
      <c r="E82" s="42">
        <f>IF(LEFT(RBC_Personal_Accounts[[#This Row],[If Balance is]],1)&lt;&gt;"$",0,VALUE(LEFT(RBC_Personal_Accounts[[#This Row],[If Balance is]],FIND(" ",RBC_Personal_Accounts[[#This Row],[If Balance is]]))))</f>
        <v>5000</v>
      </c>
      <c r="H82">
        <v>88</v>
      </c>
    </row>
    <row r="83" spans="1:9" x14ac:dyDescent="0.25">
      <c r="A83" t="s">
        <v>302</v>
      </c>
      <c r="B83" s="42" t="s">
        <v>475</v>
      </c>
      <c r="C83" s="42" t="s">
        <v>465</v>
      </c>
      <c r="E83" s="42">
        <f>IF(LEFT(RBC_Personal_Accounts[[#This Row],[If Balance is]],1)&lt;&gt;"$",0,VALUE(LEFT(RBC_Personal_Accounts[[#This Row],[If Balance is]],FIND(" ",RBC_Personal_Accounts[[#This Row],[If Balance is]]))))</f>
        <v>0</v>
      </c>
      <c r="H83">
        <v>87</v>
      </c>
      <c r="I83" t="s">
        <v>303</v>
      </c>
    </row>
    <row r="84" spans="1:9" x14ac:dyDescent="0.25">
      <c r="B84" s="42" t="s">
        <v>476</v>
      </c>
      <c r="C84" s="42" t="s">
        <v>469</v>
      </c>
      <c r="E84" s="42">
        <f>IF(LEFT(RBC_Personal_Accounts[[#This Row],[If Balance is]],1)&lt;&gt;"$",0,VALUE(LEFT(RBC_Personal_Accounts[[#This Row],[If Balance is]],FIND(" ",RBC_Personal_Accounts[[#This Row],[If Balance is]]))))</f>
        <v>5000</v>
      </c>
      <c r="H84">
        <v>86</v>
      </c>
    </row>
    <row r="85" spans="1:9" x14ac:dyDescent="0.25">
      <c r="B85" s="42" t="s">
        <v>60</v>
      </c>
      <c r="C85" s="42" t="s">
        <v>472</v>
      </c>
      <c r="E85" s="42">
        <f>IF(LEFT(RBC_Personal_Accounts[[#This Row],[If Balance is]],1)&lt;&gt;"$",0,VALUE(LEFT(RBC_Personal_Accounts[[#This Row],[If Balance is]],FIND(" ",RBC_Personal_Accounts[[#This Row],[If Balance is]]))))</f>
        <v>10000</v>
      </c>
      <c r="H85">
        <v>85</v>
      </c>
    </row>
    <row r="86" spans="1:9" x14ac:dyDescent="0.25">
      <c r="B86" s="42" t="s">
        <v>59</v>
      </c>
      <c r="C86" s="42" t="s">
        <v>473</v>
      </c>
      <c r="E86" s="42">
        <f>IF(LEFT(RBC_Personal_Accounts[[#This Row],[If Balance is]],1)&lt;&gt;"$",0,VALUE(LEFT(RBC_Personal_Accounts[[#This Row],[If Balance is]],FIND(" ",RBC_Personal_Accounts[[#This Row],[If Balance is]]))))</f>
        <v>25000</v>
      </c>
      <c r="H86">
        <v>84</v>
      </c>
    </row>
    <row r="87" spans="1:9" x14ac:dyDescent="0.25">
      <c r="B87" s="42" t="s">
        <v>58</v>
      </c>
      <c r="C87" s="42" t="s">
        <v>477</v>
      </c>
      <c r="E87" s="42">
        <f>IF(LEFT(RBC_Personal_Accounts[[#This Row],[If Balance is]],1)&lt;&gt;"$",0,VALUE(LEFT(RBC_Personal_Accounts[[#This Row],[If Balance is]],FIND(" ",RBC_Personal_Accounts[[#This Row],[If Balance is]]))))</f>
        <v>60000</v>
      </c>
      <c r="H87">
        <v>83</v>
      </c>
    </row>
    <row r="88" spans="1:9" x14ac:dyDescent="0.25">
      <c r="B88" s="42" t="s">
        <v>478</v>
      </c>
      <c r="C88" s="42" t="s">
        <v>479</v>
      </c>
      <c r="E88" s="42">
        <f>IF(LEFT(RBC_Personal_Accounts[[#This Row],[If Balance is]],1)&lt;&gt;"$",0,VALUE(LEFT(RBC_Personal_Accounts[[#This Row],[If Balance is]],FIND(" ",RBC_Personal_Accounts[[#This Row],[If Balance is]]))))</f>
        <v>100000</v>
      </c>
      <c r="H88">
        <v>82</v>
      </c>
    </row>
    <row r="89" spans="1:9" x14ac:dyDescent="0.25">
      <c r="B89" s="42" t="s">
        <v>480</v>
      </c>
      <c r="C89" s="42" t="s">
        <v>481</v>
      </c>
      <c r="E89" s="42">
        <f>IF(LEFT(RBC_Personal_Accounts[[#This Row],[If Balance is]],1)&lt;&gt;"$",0,VALUE(LEFT(RBC_Personal_Accounts[[#This Row],[If Balance is]],FIND(" ",RBC_Personal_Accounts[[#This Row],[If Balance is]]))))</f>
        <v>150000</v>
      </c>
      <c r="H89">
        <v>81</v>
      </c>
    </row>
    <row r="90" spans="1:9" x14ac:dyDescent="0.25">
      <c r="B90" s="42" t="s">
        <v>482</v>
      </c>
      <c r="C90" s="42" t="s">
        <v>481</v>
      </c>
      <c r="E90" s="42">
        <f>IF(LEFT(RBC_Personal_Accounts[[#This Row],[If Balance is]],1)&lt;&gt;"$",0,VALUE(LEFT(RBC_Personal_Accounts[[#This Row],[If Balance is]],FIND(" ",RBC_Personal_Accounts[[#This Row],[If Balance is]]))))</f>
        <v>250000</v>
      </c>
      <c r="H90">
        <v>80</v>
      </c>
    </row>
    <row r="91" spans="1:9" x14ac:dyDescent="0.25">
      <c r="A91" t="s">
        <v>301</v>
      </c>
      <c r="B91" s="42" t="s">
        <v>495</v>
      </c>
      <c r="C91" s="42" t="s">
        <v>465</v>
      </c>
      <c r="E91" s="42">
        <f>IF(LEFT(RBC_Personal_Accounts[[#This Row],[If Balance is]],1)&lt;&gt;"$",0,VALUE(LEFT(RBC_Personal_Accounts[[#This Row],[If Balance is]],FIND(" ",RBC_Personal_Accounts[[#This Row],[If Balance is]]))))</f>
        <v>0</v>
      </c>
      <c r="H91">
        <v>79</v>
      </c>
      <c r="I91" t="s">
        <v>302</v>
      </c>
    </row>
    <row r="92" spans="1:9" x14ac:dyDescent="0.25">
      <c r="B92" s="42" t="s">
        <v>467</v>
      </c>
      <c r="C92" s="42" t="s">
        <v>465</v>
      </c>
      <c r="E92" s="42">
        <f>IF(LEFT(RBC_Personal_Accounts[[#This Row],[If Balance is]],1)&lt;&gt;"$",0,VALUE(LEFT(RBC_Personal_Accounts[[#This Row],[If Balance is]],FIND(" ",RBC_Personal_Accounts[[#This Row],[If Balance is]]))))</f>
        <v>3000</v>
      </c>
      <c r="H92">
        <v>78</v>
      </c>
    </row>
    <row r="93" spans="1:9" x14ac:dyDescent="0.25">
      <c r="B93" s="42" t="s">
        <v>476</v>
      </c>
      <c r="C93" s="42" t="s">
        <v>469</v>
      </c>
      <c r="E93" s="42">
        <f>IF(LEFT(RBC_Personal_Accounts[[#This Row],[If Balance is]],1)&lt;&gt;"$",0,VALUE(LEFT(RBC_Personal_Accounts[[#This Row],[If Balance is]],FIND(" ",RBC_Personal_Accounts[[#This Row],[If Balance is]]))))</f>
        <v>5000</v>
      </c>
      <c r="H93">
        <v>77</v>
      </c>
    </row>
    <row r="94" spans="1:9" x14ac:dyDescent="0.25">
      <c r="B94" s="42" t="s">
        <v>60</v>
      </c>
      <c r="C94" s="42" t="s">
        <v>472</v>
      </c>
      <c r="E94" s="42">
        <f>IF(LEFT(RBC_Personal_Accounts[[#This Row],[If Balance is]],1)&lt;&gt;"$",0,VALUE(LEFT(RBC_Personal_Accounts[[#This Row],[If Balance is]],FIND(" ",RBC_Personal_Accounts[[#This Row],[If Balance is]]))))</f>
        <v>10000</v>
      </c>
      <c r="H94">
        <v>76</v>
      </c>
    </row>
    <row r="95" spans="1:9" x14ac:dyDescent="0.25">
      <c r="B95" s="42" t="s">
        <v>59</v>
      </c>
      <c r="C95" s="42" t="s">
        <v>473</v>
      </c>
      <c r="E95" s="42">
        <f>IF(LEFT(RBC_Personal_Accounts[[#This Row],[If Balance is]],1)&lt;&gt;"$",0,VALUE(LEFT(RBC_Personal_Accounts[[#This Row],[If Balance is]],FIND(" ",RBC_Personal_Accounts[[#This Row],[If Balance is]]))))</f>
        <v>25000</v>
      </c>
      <c r="H95">
        <v>75</v>
      </c>
    </row>
    <row r="96" spans="1:9" x14ac:dyDescent="0.25">
      <c r="B96" s="42" t="s">
        <v>58</v>
      </c>
      <c r="C96" s="42" t="s">
        <v>479</v>
      </c>
      <c r="E96" s="42">
        <f>IF(LEFT(RBC_Personal_Accounts[[#This Row],[If Balance is]],1)&lt;&gt;"$",0,VALUE(LEFT(RBC_Personal_Accounts[[#This Row],[If Balance is]],FIND(" ",RBC_Personal_Accounts[[#This Row],[If Balance is]]))))</f>
        <v>60000</v>
      </c>
      <c r="H96">
        <v>74</v>
      </c>
    </row>
    <row r="97" spans="1:9" x14ac:dyDescent="0.25">
      <c r="B97" s="42" t="s">
        <v>246</v>
      </c>
      <c r="C97" s="42" t="s">
        <v>496</v>
      </c>
      <c r="E97" s="42">
        <f>IF(LEFT(RBC_Personal_Accounts[[#This Row],[If Balance is]],1)&lt;&gt;"$",0,VALUE(LEFT(RBC_Personal_Accounts[[#This Row],[If Balance is]],FIND(" ",RBC_Personal_Accounts[[#This Row],[If Balance is]]))))</f>
        <v>100000</v>
      </c>
      <c r="H97">
        <v>73</v>
      </c>
    </row>
    <row r="98" spans="1:9" x14ac:dyDescent="0.25">
      <c r="A98" t="s">
        <v>300</v>
      </c>
      <c r="B98" s="42" t="s">
        <v>464</v>
      </c>
      <c r="C98" s="42" t="s">
        <v>465</v>
      </c>
      <c r="E98" s="42">
        <f>IF(LEFT(RBC_Personal_Accounts[[#This Row],[If Balance is]],1)&lt;&gt;"$",0,VALUE(LEFT(RBC_Personal_Accounts[[#This Row],[If Balance is]],FIND(" ",RBC_Personal_Accounts[[#This Row],[If Balance is]]))))</f>
        <v>0</v>
      </c>
      <c r="H98">
        <v>72</v>
      </c>
      <c r="I98" t="s">
        <v>301</v>
      </c>
    </row>
    <row r="99" spans="1:9" x14ac:dyDescent="0.25">
      <c r="B99" s="42" t="s">
        <v>466</v>
      </c>
      <c r="C99" s="42" t="s">
        <v>465</v>
      </c>
      <c r="E99" s="42">
        <f>IF(LEFT(RBC_Personal_Accounts[[#This Row],[If Balance is]],1)&lt;&gt;"$",0,VALUE(LEFT(RBC_Personal_Accounts[[#This Row],[If Balance is]],FIND(" ",RBC_Personal_Accounts[[#This Row],[If Balance is]]))))</f>
        <v>1000</v>
      </c>
      <c r="H99">
        <v>71</v>
      </c>
    </row>
    <row r="100" spans="1:9" x14ac:dyDescent="0.25">
      <c r="B100" s="42" t="s">
        <v>467</v>
      </c>
      <c r="C100" s="42" t="s">
        <v>465</v>
      </c>
      <c r="E100" s="42">
        <f>IF(LEFT(RBC_Personal_Accounts[[#This Row],[If Balance is]],1)&lt;&gt;"$",0,VALUE(LEFT(RBC_Personal_Accounts[[#This Row],[If Balance is]],FIND(" ",RBC_Personal_Accounts[[#This Row],[If Balance is]]))))</f>
        <v>3000</v>
      </c>
      <c r="H100">
        <v>70</v>
      </c>
    </row>
    <row r="101" spans="1:9" x14ac:dyDescent="0.25">
      <c r="B101" s="42" t="s">
        <v>468</v>
      </c>
      <c r="C101" s="42" t="s">
        <v>469</v>
      </c>
      <c r="E101" s="42">
        <f>IF(LEFT(RBC_Personal_Accounts[[#This Row],[If Balance is]],1)&lt;&gt;"$",0,VALUE(LEFT(RBC_Personal_Accounts[[#This Row],[If Balance is]],FIND(" ",RBC_Personal_Accounts[[#This Row],[If Balance is]]))))</f>
        <v>5000</v>
      </c>
      <c r="H101">
        <v>69</v>
      </c>
    </row>
    <row r="102" spans="1:9" x14ac:dyDescent="0.25">
      <c r="B102" s="42" t="s">
        <v>59</v>
      </c>
      <c r="C102" s="42" t="s">
        <v>469</v>
      </c>
      <c r="E102" s="42">
        <f>IF(LEFT(RBC_Personal_Accounts[[#This Row],[If Balance is]],1)&lt;&gt;"$",0,VALUE(LEFT(RBC_Personal_Accounts[[#This Row],[If Balance is]],FIND(" ",RBC_Personal_Accounts[[#This Row],[If Balance is]]))))</f>
        <v>25000</v>
      </c>
      <c r="H102">
        <v>68</v>
      </c>
    </row>
    <row r="103" spans="1:9" x14ac:dyDescent="0.25">
      <c r="B103" s="42" t="s">
        <v>470</v>
      </c>
      <c r="C103" s="42" t="s">
        <v>471</v>
      </c>
      <c r="E103" s="42">
        <f>IF(LEFT(RBC_Personal_Accounts[[#This Row],[If Balance is]],1)&lt;&gt;"$",0,VALUE(LEFT(RBC_Personal_Accounts[[#This Row],[If Balance is]],FIND(" ",RBC_Personal_Accounts[[#This Row],[If Balance is]]))))</f>
        <v>60000</v>
      </c>
      <c r="H103">
        <v>67</v>
      </c>
    </row>
    <row r="104" spans="1:9" x14ac:dyDescent="0.25">
      <c r="A104" t="s">
        <v>299</v>
      </c>
      <c r="B104" s="42" t="s">
        <v>475</v>
      </c>
      <c r="C104" s="42" t="s">
        <v>465</v>
      </c>
      <c r="E104" s="42">
        <f>IF(LEFT(RBC_Personal_Accounts[[#This Row],[If Balance is]],1)&lt;&gt;"$",0,VALUE(LEFT(RBC_Personal_Accounts[[#This Row],[If Balance is]],FIND(" ",RBC_Personal_Accounts[[#This Row],[If Balance is]]))))</f>
        <v>0</v>
      </c>
      <c r="H104">
        <v>66</v>
      </c>
      <c r="I104" t="s">
        <v>300</v>
      </c>
    </row>
    <row r="105" spans="1:9" x14ac:dyDescent="0.25">
      <c r="B105" s="42" t="s">
        <v>476</v>
      </c>
      <c r="C105" s="42" t="s">
        <v>469</v>
      </c>
      <c r="E105" s="42">
        <f>IF(LEFT(RBC_Personal_Accounts[[#This Row],[If Balance is]],1)&lt;&gt;"$",0,VALUE(LEFT(RBC_Personal_Accounts[[#This Row],[If Balance is]],FIND(" ",RBC_Personal_Accounts[[#This Row],[If Balance is]]))))</f>
        <v>5000</v>
      </c>
      <c r="H105">
        <v>65</v>
      </c>
    </row>
    <row r="106" spans="1:9" x14ac:dyDescent="0.25">
      <c r="B106" s="42" t="s">
        <v>60</v>
      </c>
      <c r="C106" s="42" t="s">
        <v>472</v>
      </c>
      <c r="E106" s="42">
        <f>IF(LEFT(RBC_Personal_Accounts[[#This Row],[If Balance is]],1)&lt;&gt;"$",0,VALUE(LEFT(RBC_Personal_Accounts[[#This Row],[If Balance is]],FIND(" ",RBC_Personal_Accounts[[#This Row],[If Balance is]]))))</f>
        <v>10000</v>
      </c>
      <c r="H106">
        <v>64</v>
      </c>
    </row>
    <row r="107" spans="1:9" x14ac:dyDescent="0.25">
      <c r="B107" s="42" t="s">
        <v>59</v>
      </c>
      <c r="C107" s="42" t="s">
        <v>473</v>
      </c>
      <c r="E107" s="42">
        <f>IF(LEFT(RBC_Personal_Accounts[[#This Row],[If Balance is]],1)&lt;&gt;"$",0,VALUE(LEFT(RBC_Personal_Accounts[[#This Row],[If Balance is]],FIND(" ",RBC_Personal_Accounts[[#This Row],[If Balance is]]))))</f>
        <v>25000</v>
      </c>
      <c r="H107">
        <v>63</v>
      </c>
    </row>
    <row r="108" spans="1:9" x14ac:dyDescent="0.25">
      <c r="B108" s="42" t="s">
        <v>58</v>
      </c>
      <c r="C108" s="42" t="s">
        <v>477</v>
      </c>
      <c r="E108" s="42">
        <f>IF(LEFT(RBC_Personal_Accounts[[#This Row],[If Balance is]],1)&lt;&gt;"$",0,VALUE(LEFT(RBC_Personal_Accounts[[#This Row],[If Balance is]],FIND(" ",RBC_Personal_Accounts[[#This Row],[If Balance is]]))))</f>
        <v>60000</v>
      </c>
      <c r="H108">
        <v>62</v>
      </c>
    </row>
    <row r="109" spans="1:9" x14ac:dyDescent="0.25">
      <c r="B109" s="42" t="s">
        <v>478</v>
      </c>
      <c r="C109" s="42" t="s">
        <v>479</v>
      </c>
      <c r="E109" s="42">
        <f>IF(LEFT(RBC_Personal_Accounts[[#This Row],[If Balance is]],1)&lt;&gt;"$",0,VALUE(LEFT(RBC_Personal_Accounts[[#This Row],[If Balance is]],FIND(" ",RBC_Personal_Accounts[[#This Row],[If Balance is]]))))</f>
        <v>100000</v>
      </c>
      <c r="H109">
        <v>61</v>
      </c>
    </row>
    <row r="110" spans="1:9" x14ac:dyDescent="0.25">
      <c r="B110" s="42" t="s">
        <v>480</v>
      </c>
      <c r="C110" s="42" t="s">
        <v>481</v>
      </c>
      <c r="E110" s="42">
        <f>IF(LEFT(RBC_Personal_Accounts[[#This Row],[If Balance is]],1)&lt;&gt;"$",0,VALUE(LEFT(RBC_Personal_Accounts[[#This Row],[If Balance is]],FIND(" ",RBC_Personal_Accounts[[#This Row],[If Balance is]]))))</f>
        <v>150000</v>
      </c>
      <c r="H110">
        <v>60</v>
      </c>
    </row>
    <row r="111" spans="1:9" x14ac:dyDescent="0.25">
      <c r="B111" s="42" t="s">
        <v>482</v>
      </c>
      <c r="C111" s="42" t="s">
        <v>481</v>
      </c>
      <c r="E111" s="42">
        <f>IF(LEFT(RBC_Personal_Accounts[[#This Row],[If Balance is]],1)&lt;&gt;"$",0,VALUE(LEFT(RBC_Personal_Accounts[[#This Row],[If Balance is]],FIND(" ",RBC_Personal_Accounts[[#This Row],[If Balance is]]))))</f>
        <v>250000</v>
      </c>
      <c r="H111">
        <v>59</v>
      </c>
    </row>
    <row r="112" spans="1:9" x14ac:dyDescent="0.25">
      <c r="A112" t="s">
        <v>298</v>
      </c>
      <c r="B112" s="42" t="s">
        <v>464</v>
      </c>
      <c r="C112" s="42" t="s">
        <v>472</v>
      </c>
      <c r="E112" s="42">
        <f>IF(LEFT(RBC_Personal_Accounts[[#This Row],[If Balance is]],1)&lt;&gt;"$",0,VALUE(LEFT(RBC_Personal_Accounts[[#This Row],[If Balance is]],FIND(" ",RBC_Personal_Accounts[[#This Row],[If Balance is]]))))</f>
        <v>0</v>
      </c>
      <c r="H112">
        <v>58</v>
      </c>
      <c r="I112" t="s">
        <v>299</v>
      </c>
    </row>
    <row r="113" spans="1:9" x14ac:dyDescent="0.25">
      <c r="B113" s="42" t="s">
        <v>466</v>
      </c>
      <c r="C113" s="42" t="s">
        <v>473</v>
      </c>
      <c r="E113" s="42">
        <f>IF(LEFT(RBC_Personal_Accounts[[#This Row],[If Balance is]],1)&lt;&gt;"$",0,VALUE(LEFT(RBC_Personal_Accounts[[#This Row],[If Balance is]],FIND(" ",RBC_Personal_Accounts[[#This Row],[If Balance is]]))))</f>
        <v>1000</v>
      </c>
      <c r="H113">
        <v>57</v>
      </c>
    </row>
    <row r="114" spans="1:9" x14ac:dyDescent="0.25">
      <c r="B114" s="42" t="s">
        <v>467</v>
      </c>
      <c r="C114" s="42" t="s">
        <v>474</v>
      </c>
      <c r="E114" s="42">
        <f>IF(LEFT(RBC_Personal_Accounts[[#This Row],[If Balance is]],1)&lt;&gt;"$",0,VALUE(LEFT(RBC_Personal_Accounts[[#This Row],[If Balance is]],FIND(" ",RBC_Personal_Accounts[[#This Row],[If Balance is]]))))</f>
        <v>3000</v>
      </c>
      <c r="H114">
        <v>56</v>
      </c>
    </row>
    <row r="115" spans="1:9" x14ac:dyDescent="0.25">
      <c r="B115" s="42" t="s">
        <v>61</v>
      </c>
      <c r="C115" s="42" t="s">
        <v>474</v>
      </c>
      <c r="E115" s="42">
        <f>IF(LEFT(RBC_Personal_Accounts[[#This Row],[If Balance is]],1)&lt;&gt;"$",0,VALUE(LEFT(RBC_Personal_Accounts[[#This Row],[If Balance is]],FIND(" ",RBC_Personal_Accounts[[#This Row],[If Balance is]]))))</f>
        <v>5000</v>
      </c>
      <c r="H115">
        <v>55</v>
      </c>
    </row>
    <row r="116" spans="1:9" x14ac:dyDescent="0.25">
      <c r="A116" t="s">
        <v>297</v>
      </c>
      <c r="B116" s="42" t="s">
        <v>493</v>
      </c>
      <c r="C116" s="42" t="s">
        <v>465</v>
      </c>
      <c r="E116" s="42">
        <f>IF(LEFT(RBC_Personal_Accounts[[#This Row],[If Balance is]],1)&lt;&gt;"$",0,VALUE(LEFT(RBC_Personal_Accounts[[#This Row],[If Balance is]],FIND(" ",RBC_Personal_Accounts[[#This Row],[If Balance is]]))))</f>
        <v>0</v>
      </c>
      <c r="H116">
        <v>54</v>
      </c>
      <c r="I116" t="s">
        <v>298</v>
      </c>
    </row>
    <row r="117" spans="1:9" x14ac:dyDescent="0.25">
      <c r="B117" s="42" t="s">
        <v>494</v>
      </c>
      <c r="C117" s="42" t="s">
        <v>465</v>
      </c>
      <c r="E117" s="42">
        <f>IF(LEFT(RBC_Personal_Accounts[[#This Row],[If Balance is]],1)&lt;&gt;"$",0,VALUE(LEFT(RBC_Personal_Accounts[[#This Row],[If Balance is]],FIND(" ",RBC_Personal_Accounts[[#This Row],[If Balance is]]))))</f>
        <v>500</v>
      </c>
      <c r="H117">
        <v>53</v>
      </c>
    </row>
    <row r="118" spans="1:9" x14ac:dyDescent="0.25">
      <c r="B118" s="42" t="s">
        <v>466</v>
      </c>
      <c r="C118" s="42" t="s">
        <v>465</v>
      </c>
      <c r="E118" s="42">
        <f>IF(LEFT(RBC_Personal_Accounts[[#This Row],[If Balance is]],1)&lt;&gt;"$",0,VALUE(LEFT(RBC_Personal_Accounts[[#This Row],[If Balance is]],FIND(" ",RBC_Personal_Accounts[[#This Row],[If Balance is]]))))</f>
        <v>1000</v>
      </c>
      <c r="H118">
        <v>52</v>
      </c>
    </row>
    <row r="119" spans="1:9" x14ac:dyDescent="0.25">
      <c r="B119" s="42" t="s">
        <v>467</v>
      </c>
      <c r="C119" s="42" t="s">
        <v>469</v>
      </c>
      <c r="E119" s="42">
        <f>IF(LEFT(RBC_Personal_Accounts[[#This Row],[If Balance is]],1)&lt;&gt;"$",0,VALUE(LEFT(RBC_Personal_Accounts[[#This Row],[If Balance is]],FIND(" ",RBC_Personal_Accounts[[#This Row],[If Balance is]]))))</f>
        <v>3000</v>
      </c>
      <c r="H119">
        <v>51</v>
      </c>
    </row>
    <row r="120" spans="1:9" x14ac:dyDescent="0.25">
      <c r="B120" s="42" t="s">
        <v>61</v>
      </c>
      <c r="C120" s="42" t="s">
        <v>469</v>
      </c>
      <c r="E120" s="42">
        <f>IF(LEFT(RBC_Personal_Accounts[[#This Row],[If Balance is]],1)&lt;&gt;"$",0,VALUE(LEFT(RBC_Personal_Accounts[[#This Row],[If Balance is]],FIND(" ",RBC_Personal_Accounts[[#This Row],[If Balance is]]))))</f>
        <v>5000</v>
      </c>
      <c r="H120">
        <v>50</v>
      </c>
    </row>
    <row r="121" spans="1:9" x14ac:dyDescent="0.25">
      <c r="A121" t="s">
        <v>296</v>
      </c>
      <c r="B121" s="42" t="s">
        <v>483</v>
      </c>
      <c r="C121" s="42" t="s">
        <v>465</v>
      </c>
      <c r="E121" s="42">
        <f>IF(LEFT(RBC_Personal_Accounts[[#This Row],[If Balance is]],1)&lt;&gt;"$",0,VALUE(LEFT(RBC_Personal_Accounts[[#This Row],[If Balance is]],FIND(" ",RBC_Personal_Accounts[[#This Row],[If Balance is]]))))</f>
        <v>0</v>
      </c>
      <c r="H121">
        <v>49</v>
      </c>
      <c r="I121" t="s">
        <v>297</v>
      </c>
    </row>
    <row r="122" spans="1:9" x14ac:dyDescent="0.25">
      <c r="B122" s="42" t="s">
        <v>484</v>
      </c>
      <c r="C122" s="42" t="s">
        <v>465</v>
      </c>
      <c r="E122" s="42">
        <f>IF(LEFT(RBC_Personal_Accounts[[#This Row],[If Balance is]],1)&lt;&gt;"$",0,VALUE(LEFT(RBC_Personal_Accounts[[#This Row],[If Balance is]],FIND(" ",RBC_Personal_Accounts[[#This Row],[If Balance is]]))))</f>
        <v>1000</v>
      </c>
      <c r="H122">
        <v>48</v>
      </c>
    </row>
    <row r="123" spans="1:9" x14ac:dyDescent="0.25">
      <c r="B123" s="42" t="s">
        <v>485</v>
      </c>
      <c r="C123" s="42" t="s">
        <v>465</v>
      </c>
      <c r="E123" s="42">
        <f>IF(LEFT(RBC_Personal_Accounts[[#This Row],[If Balance is]],1)&lt;&gt;"$",0,VALUE(LEFT(RBC_Personal_Accounts[[#This Row],[If Balance is]],FIND(" ",RBC_Personal_Accounts[[#This Row],[If Balance is]]))))</f>
        <v>3000</v>
      </c>
      <c r="H123">
        <v>47</v>
      </c>
    </row>
    <row r="124" spans="1:9" x14ac:dyDescent="0.25">
      <c r="B124" s="42" t="s">
        <v>486</v>
      </c>
      <c r="C124" s="42" t="s">
        <v>469</v>
      </c>
      <c r="E124" s="42">
        <f>IF(LEFT(RBC_Personal_Accounts[[#This Row],[If Balance is]],1)&lt;&gt;"$",0,VALUE(LEFT(RBC_Personal_Accounts[[#This Row],[If Balance is]],FIND(" ",RBC_Personal_Accounts[[#This Row],[If Balance is]]))))</f>
        <v>5000</v>
      </c>
      <c r="H124">
        <v>46</v>
      </c>
    </row>
    <row r="125" spans="1:9" x14ac:dyDescent="0.25">
      <c r="B125" s="42" t="s">
        <v>487</v>
      </c>
      <c r="C125" s="42" t="s">
        <v>472</v>
      </c>
      <c r="E125" s="42">
        <f>IF(LEFT(RBC_Personal_Accounts[[#This Row],[If Balance is]],1)&lt;&gt;"$",0,VALUE(LEFT(RBC_Personal_Accounts[[#This Row],[If Balance is]],FIND(" ",RBC_Personal_Accounts[[#This Row],[If Balance is]]))))</f>
        <v>10000</v>
      </c>
      <c r="H125">
        <v>45</v>
      </c>
    </row>
    <row r="126" spans="1:9" x14ac:dyDescent="0.25">
      <c r="B126" s="42" t="s">
        <v>488</v>
      </c>
      <c r="C126" s="42" t="s">
        <v>473</v>
      </c>
      <c r="E126" s="42">
        <f>IF(LEFT(RBC_Personal_Accounts[[#This Row],[If Balance is]],1)&lt;&gt;"$",0,VALUE(LEFT(RBC_Personal_Accounts[[#This Row],[If Balance is]],FIND(" ",RBC_Personal_Accounts[[#This Row],[If Balance is]]))))</f>
        <v>25000</v>
      </c>
      <c r="H126">
        <v>44</v>
      </c>
    </row>
    <row r="127" spans="1:9" x14ac:dyDescent="0.25">
      <c r="B127" s="42" t="s">
        <v>489</v>
      </c>
      <c r="C127" s="42" t="s">
        <v>496</v>
      </c>
      <c r="E127" s="42">
        <f>IF(LEFT(RBC_Personal_Accounts[[#This Row],[If Balance is]],1)&lt;&gt;"$",0,VALUE(LEFT(RBC_Personal_Accounts[[#This Row],[If Balance is]],FIND(" ",RBC_Personal_Accounts[[#This Row],[If Balance is]]))))</f>
        <v>60000</v>
      </c>
      <c r="H127">
        <v>43</v>
      </c>
    </row>
    <row r="128" spans="1:9" x14ac:dyDescent="0.25">
      <c r="B128" s="42" t="s">
        <v>491</v>
      </c>
      <c r="C128" s="42" t="s">
        <v>496</v>
      </c>
      <c r="E128" s="42">
        <f>IF(LEFT(RBC_Personal_Accounts[[#This Row],[If Balance is]],1)&lt;&gt;"$",0,VALUE(LEFT(RBC_Personal_Accounts[[#This Row],[If Balance is]],FIND(" ",RBC_Personal_Accounts[[#This Row],[If Balance is]]))))</f>
        <v>100000</v>
      </c>
      <c r="H128">
        <v>42</v>
      </c>
    </row>
    <row r="129" spans="1:9" x14ac:dyDescent="0.25">
      <c r="B129" s="42" t="s">
        <v>492</v>
      </c>
      <c r="C129" s="42" t="s">
        <v>496</v>
      </c>
      <c r="E129" s="42">
        <f>IF(LEFT(RBC_Personal_Accounts[[#This Row],[If Balance is]],1)&lt;&gt;"$",0,VALUE(LEFT(RBC_Personal_Accounts[[#This Row],[If Balance is]],FIND(" ",RBC_Personal_Accounts[[#This Row],[If Balance is]]))))</f>
        <v>150000</v>
      </c>
      <c r="H129">
        <v>41</v>
      </c>
    </row>
    <row r="130" spans="1:9" x14ac:dyDescent="0.25">
      <c r="B130" s="42" t="s">
        <v>497</v>
      </c>
      <c r="C130" s="42" t="s">
        <v>496</v>
      </c>
      <c r="E130" s="42">
        <f>IF(LEFT(RBC_Personal_Accounts[[#This Row],[If Balance is]],1)&lt;&gt;"$",0,VALUE(LEFT(RBC_Personal_Accounts[[#This Row],[If Balance is]],FIND(" ",RBC_Personal_Accounts[[#This Row],[If Balance is]]))))</f>
        <v>250000</v>
      </c>
      <c r="H130">
        <v>40</v>
      </c>
    </row>
    <row r="131" spans="1:9" x14ac:dyDescent="0.25">
      <c r="B131" s="42" t="s">
        <v>498</v>
      </c>
      <c r="C131" s="42" t="s">
        <v>496</v>
      </c>
      <c r="E131" s="42">
        <f>IF(LEFT(RBC_Personal_Accounts[[#This Row],[If Balance is]],1)&lt;&gt;"$",0,VALUE(LEFT(RBC_Personal_Accounts[[#This Row],[If Balance is]],FIND(" ",RBC_Personal_Accounts[[#This Row],[If Balance is]]))))</f>
        <v>500000</v>
      </c>
      <c r="H131">
        <v>39</v>
      </c>
    </row>
    <row r="132" spans="1:9" x14ac:dyDescent="0.25">
      <c r="B132" s="42" t="s">
        <v>499</v>
      </c>
      <c r="C132" s="42" t="s">
        <v>496</v>
      </c>
      <c r="E132" s="42">
        <f>IF(LEFT(RBC_Personal_Accounts[[#This Row],[If Balance is]],1)&lt;&gt;"$",0,VALUE(LEFT(RBC_Personal_Accounts[[#This Row],[If Balance is]],FIND(" ",RBC_Personal_Accounts[[#This Row],[If Balance is]]))))</f>
        <v>1000000</v>
      </c>
      <c r="H132">
        <v>38</v>
      </c>
    </row>
    <row r="133" spans="1:9" x14ac:dyDescent="0.25">
      <c r="A133" t="s">
        <v>295</v>
      </c>
      <c r="B133" s="42" t="s">
        <v>500</v>
      </c>
      <c r="C133" s="42" t="s">
        <v>465</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500</v>
      </c>
      <c r="C134" s="42" t="s">
        <v>501</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500</v>
      </c>
      <c r="C135" s="42" t="s">
        <v>465</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475</v>
      </c>
      <c r="C136" s="42" t="s">
        <v>465</v>
      </c>
      <c r="E136" s="42">
        <f>IF(LEFT(RBC_Personal_Accounts[[#This Row],[If Balance is]],1)&lt;&gt;"$",0,VALUE(LEFT(RBC_Personal_Accounts[[#This Row],[If Balance is]],FIND(" ",RBC_Personal_Accounts[[#This Row],[If Balance is]]))))</f>
        <v>0</v>
      </c>
      <c r="H136">
        <v>34</v>
      </c>
      <c r="I136" t="s">
        <v>293</v>
      </c>
    </row>
    <row r="137" spans="1:9" x14ac:dyDescent="0.25">
      <c r="B137" s="42" t="s">
        <v>476</v>
      </c>
      <c r="C137" s="42" t="s">
        <v>469</v>
      </c>
      <c r="E137" s="42">
        <f>IF(LEFT(RBC_Personal_Accounts[[#This Row],[If Balance is]],1)&lt;&gt;"$",0,VALUE(LEFT(RBC_Personal_Accounts[[#This Row],[If Balance is]],FIND(" ",RBC_Personal_Accounts[[#This Row],[If Balance is]]))))</f>
        <v>5000</v>
      </c>
      <c r="H137">
        <v>33</v>
      </c>
    </row>
    <row r="138" spans="1:9" x14ac:dyDescent="0.25">
      <c r="B138" s="42" t="s">
        <v>60</v>
      </c>
      <c r="C138" s="42" t="s">
        <v>472</v>
      </c>
      <c r="E138" s="42">
        <f>IF(LEFT(RBC_Personal_Accounts[[#This Row],[If Balance is]],1)&lt;&gt;"$",0,VALUE(LEFT(RBC_Personal_Accounts[[#This Row],[If Balance is]],FIND(" ",RBC_Personal_Accounts[[#This Row],[If Balance is]]))))</f>
        <v>10000</v>
      </c>
      <c r="H138">
        <v>32</v>
      </c>
    </row>
    <row r="139" spans="1:9" x14ac:dyDescent="0.25">
      <c r="B139" s="42" t="s">
        <v>59</v>
      </c>
      <c r="C139" s="42" t="s">
        <v>473</v>
      </c>
      <c r="E139" s="42">
        <f>IF(LEFT(RBC_Personal_Accounts[[#This Row],[If Balance is]],1)&lt;&gt;"$",0,VALUE(LEFT(RBC_Personal_Accounts[[#This Row],[If Balance is]],FIND(" ",RBC_Personal_Accounts[[#This Row],[If Balance is]]))))</f>
        <v>25000</v>
      </c>
      <c r="H139">
        <v>31</v>
      </c>
    </row>
    <row r="140" spans="1:9" x14ac:dyDescent="0.25">
      <c r="B140" s="42" t="s">
        <v>58</v>
      </c>
      <c r="C140" s="42" t="s">
        <v>477</v>
      </c>
      <c r="E140" s="42">
        <f>IF(LEFT(RBC_Personal_Accounts[[#This Row],[If Balance is]],1)&lt;&gt;"$",0,VALUE(LEFT(RBC_Personal_Accounts[[#This Row],[If Balance is]],FIND(" ",RBC_Personal_Accounts[[#This Row],[If Balance is]]))))</f>
        <v>60000</v>
      </c>
      <c r="H140">
        <v>30</v>
      </c>
    </row>
    <row r="141" spans="1:9" x14ac:dyDescent="0.25">
      <c r="B141" s="42" t="s">
        <v>478</v>
      </c>
      <c r="C141" s="42" t="s">
        <v>479</v>
      </c>
      <c r="E141" s="42">
        <f>IF(LEFT(RBC_Personal_Accounts[[#This Row],[If Balance is]],1)&lt;&gt;"$",0,VALUE(LEFT(RBC_Personal_Accounts[[#This Row],[If Balance is]],FIND(" ",RBC_Personal_Accounts[[#This Row],[If Balance is]]))))</f>
        <v>100000</v>
      </c>
      <c r="H141">
        <v>29</v>
      </c>
    </row>
    <row r="142" spans="1:9" x14ac:dyDescent="0.25">
      <c r="B142" s="42" t="s">
        <v>480</v>
      </c>
      <c r="C142" s="42" t="s">
        <v>481</v>
      </c>
      <c r="E142" s="42">
        <f>IF(LEFT(RBC_Personal_Accounts[[#This Row],[If Balance is]],1)&lt;&gt;"$",0,VALUE(LEFT(RBC_Personal_Accounts[[#This Row],[If Balance is]],FIND(" ",RBC_Personal_Accounts[[#This Row],[If Balance is]]))))</f>
        <v>150000</v>
      </c>
      <c r="H142">
        <v>28</v>
      </c>
    </row>
    <row r="143" spans="1:9" x14ac:dyDescent="0.25">
      <c r="B143" s="42" t="s">
        <v>482</v>
      </c>
      <c r="C143" s="42" t="s">
        <v>481</v>
      </c>
      <c r="E143" s="42">
        <f>IF(LEFT(RBC_Personal_Accounts[[#This Row],[If Balance is]],1)&lt;&gt;"$",0,VALUE(LEFT(RBC_Personal_Accounts[[#This Row],[If Balance is]],FIND(" ",RBC_Personal_Accounts[[#This Row],[If Balance is]]))))</f>
        <v>250000</v>
      </c>
      <c r="H143">
        <v>27</v>
      </c>
    </row>
    <row r="144" spans="1:9" x14ac:dyDescent="0.25">
      <c r="A144" t="s">
        <v>291</v>
      </c>
      <c r="B144" s="42" t="s">
        <v>464</v>
      </c>
      <c r="C144" s="42" t="s">
        <v>472</v>
      </c>
      <c r="E144" s="42">
        <f>IF(LEFT(RBC_Personal_Accounts[[#This Row],[If Balance is]],1)&lt;&gt;"$",0,VALUE(LEFT(RBC_Personal_Accounts[[#This Row],[If Balance is]],FIND(" ",RBC_Personal_Accounts[[#This Row],[If Balance is]]))))</f>
        <v>0</v>
      </c>
      <c r="H144">
        <v>26</v>
      </c>
      <c r="I144" t="s">
        <v>292</v>
      </c>
    </row>
    <row r="145" spans="1:9" x14ac:dyDescent="0.25">
      <c r="B145" s="42" t="s">
        <v>466</v>
      </c>
      <c r="C145" s="42" t="s">
        <v>473</v>
      </c>
      <c r="E145" s="42">
        <f>IF(LEFT(RBC_Personal_Accounts[[#This Row],[If Balance is]],1)&lt;&gt;"$",0,VALUE(LEFT(RBC_Personal_Accounts[[#This Row],[If Balance is]],FIND(" ",RBC_Personal_Accounts[[#This Row],[If Balance is]]))))</f>
        <v>1000</v>
      </c>
      <c r="H145">
        <v>25</v>
      </c>
    </row>
    <row r="146" spans="1:9" x14ac:dyDescent="0.25">
      <c r="B146" s="42" t="s">
        <v>467</v>
      </c>
      <c r="C146" s="42" t="s">
        <v>474</v>
      </c>
      <c r="E146" s="42">
        <f>IF(LEFT(RBC_Personal_Accounts[[#This Row],[If Balance is]],1)&lt;&gt;"$",0,VALUE(LEFT(RBC_Personal_Accounts[[#This Row],[If Balance is]],FIND(" ",RBC_Personal_Accounts[[#This Row],[If Balance is]]))))</f>
        <v>3000</v>
      </c>
      <c r="H146">
        <v>24</v>
      </c>
    </row>
    <row r="147" spans="1:9" x14ac:dyDescent="0.25">
      <c r="B147" s="42" t="s">
        <v>61</v>
      </c>
      <c r="C147" s="42" t="s">
        <v>474</v>
      </c>
      <c r="E147" s="42">
        <f>IF(LEFT(RBC_Personal_Accounts[[#This Row],[If Balance is]],1)&lt;&gt;"$",0,VALUE(LEFT(RBC_Personal_Accounts[[#This Row],[If Balance is]],FIND(" ",RBC_Personal_Accounts[[#This Row],[If Balance is]]))))</f>
        <v>5000</v>
      </c>
      <c r="H147">
        <v>23</v>
      </c>
    </row>
    <row r="148" spans="1:9" x14ac:dyDescent="0.25">
      <c r="A148" t="s">
        <v>290</v>
      </c>
      <c r="B148" s="42" t="s">
        <v>500</v>
      </c>
      <c r="C148" s="42" t="s">
        <v>465</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500</v>
      </c>
      <c r="C149" s="42" t="s">
        <v>465</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500</v>
      </c>
      <c r="C150" s="42" t="s">
        <v>465</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464</v>
      </c>
      <c r="C151" s="42" t="s">
        <v>473</v>
      </c>
      <c r="E151" s="42">
        <f>IF(LEFT(RBC_Personal_Accounts[[#This Row],[If Balance is]],1)&lt;&gt;"$",0,VALUE(LEFT(RBC_Personal_Accounts[[#This Row],[If Balance is]],FIND(" ",RBC_Personal_Accounts[[#This Row],[If Balance is]]))))</f>
        <v>0</v>
      </c>
      <c r="H151">
        <v>19</v>
      </c>
      <c r="I151" t="s">
        <v>288</v>
      </c>
    </row>
    <row r="152" spans="1:9" x14ac:dyDescent="0.25">
      <c r="B152" s="42" t="s">
        <v>466</v>
      </c>
      <c r="C152" s="42" t="s">
        <v>473</v>
      </c>
      <c r="E152" s="42">
        <f>IF(LEFT(RBC_Personal_Accounts[[#This Row],[If Balance is]],1)&lt;&gt;"$",0,VALUE(LEFT(RBC_Personal_Accounts[[#This Row],[If Balance is]],FIND(" ",RBC_Personal_Accounts[[#This Row],[If Balance is]]))))</f>
        <v>1000</v>
      </c>
      <c r="H152">
        <v>18</v>
      </c>
    </row>
    <row r="153" spans="1:9" x14ac:dyDescent="0.25">
      <c r="B153" s="42" t="s">
        <v>467</v>
      </c>
      <c r="C153" s="42" t="s">
        <v>474</v>
      </c>
      <c r="E153" s="42">
        <f>IF(LEFT(RBC_Personal_Accounts[[#This Row],[If Balance is]],1)&lt;&gt;"$",0,VALUE(LEFT(RBC_Personal_Accounts[[#This Row],[If Balance is]],FIND(" ",RBC_Personal_Accounts[[#This Row],[If Balance is]]))))</f>
        <v>3000</v>
      </c>
      <c r="H153">
        <v>17</v>
      </c>
    </row>
    <row r="154" spans="1:9" x14ac:dyDescent="0.25">
      <c r="B154" s="42" t="s">
        <v>61</v>
      </c>
      <c r="C154" s="42" t="s">
        <v>474</v>
      </c>
      <c r="E154" s="42">
        <f>IF(LEFT(RBC_Personal_Accounts[[#This Row],[If Balance is]],1)&lt;&gt;"$",0,VALUE(LEFT(RBC_Personal_Accounts[[#This Row],[If Balance is]],FIND(" ",RBC_Personal_Accounts[[#This Row],[If Balance is]]))))</f>
        <v>5000</v>
      </c>
      <c r="H154">
        <v>16</v>
      </c>
    </row>
    <row r="155" spans="1:9" x14ac:dyDescent="0.25">
      <c r="A155" t="s">
        <v>286</v>
      </c>
      <c r="B155" s="42" t="s">
        <v>500</v>
      </c>
      <c r="C155" s="42" t="s">
        <v>502</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464</v>
      </c>
      <c r="C156" s="42" t="s">
        <v>472</v>
      </c>
      <c r="E156" s="42">
        <f>IF(LEFT(RBC_Personal_Accounts[[#This Row],[If Balance is]],1)&lt;&gt;"$",0,VALUE(LEFT(RBC_Personal_Accounts[[#This Row],[If Balance is]],FIND(" ",RBC_Personal_Accounts[[#This Row],[If Balance is]]))))</f>
        <v>0</v>
      </c>
      <c r="H156">
        <v>14</v>
      </c>
      <c r="I156" t="s">
        <v>286</v>
      </c>
    </row>
    <row r="157" spans="1:9" x14ac:dyDescent="0.25">
      <c r="B157" s="42" t="s">
        <v>466</v>
      </c>
      <c r="C157" s="42" t="s">
        <v>473</v>
      </c>
      <c r="E157" s="42">
        <f>IF(LEFT(RBC_Personal_Accounts[[#This Row],[If Balance is]],1)&lt;&gt;"$",0,VALUE(LEFT(RBC_Personal_Accounts[[#This Row],[If Balance is]],FIND(" ",RBC_Personal_Accounts[[#This Row],[If Balance is]]))))</f>
        <v>1000</v>
      </c>
      <c r="H157">
        <v>13</v>
      </c>
    </row>
    <row r="158" spans="1:9" x14ac:dyDescent="0.25">
      <c r="B158" s="42" t="s">
        <v>467</v>
      </c>
      <c r="C158" s="42" t="s">
        <v>474</v>
      </c>
      <c r="E158" s="42">
        <f>IF(LEFT(RBC_Personal_Accounts[[#This Row],[If Balance is]],1)&lt;&gt;"$",0,VALUE(LEFT(RBC_Personal_Accounts[[#This Row],[If Balance is]],FIND(" ",RBC_Personal_Accounts[[#This Row],[If Balance is]]))))</f>
        <v>3000</v>
      </c>
      <c r="H158">
        <v>12</v>
      </c>
    </row>
    <row r="159" spans="1:9" x14ac:dyDescent="0.25">
      <c r="B159" s="42" t="s">
        <v>61</v>
      </c>
      <c r="C159" s="42" t="s">
        <v>474</v>
      </c>
      <c r="E159" s="42">
        <f>IF(LEFT(RBC_Personal_Accounts[[#This Row],[If Balance is]],1)&lt;&gt;"$",0,VALUE(LEFT(RBC_Personal_Accounts[[#This Row],[If Balance is]],FIND(" ",RBC_Personal_Accounts[[#This Row],[If Balance is]]))))</f>
        <v>5000</v>
      </c>
      <c r="H159">
        <v>11</v>
      </c>
    </row>
    <row r="160" spans="1:9" x14ac:dyDescent="0.25">
      <c r="A160" t="s">
        <v>284</v>
      </c>
      <c r="B160" s="42" t="s">
        <v>475</v>
      </c>
      <c r="C160" s="42" t="s">
        <v>465</v>
      </c>
      <c r="E160" s="42">
        <f>IF(LEFT(RBC_Personal_Accounts[[#This Row],[If Balance is]],1)&lt;&gt;"$",0,VALUE(LEFT(RBC_Personal_Accounts[[#This Row],[If Balance is]],FIND(" ",RBC_Personal_Accounts[[#This Row],[If Balance is]]))))</f>
        <v>0</v>
      </c>
      <c r="H160">
        <v>10</v>
      </c>
      <c r="I160" t="s">
        <v>285</v>
      </c>
    </row>
    <row r="161" spans="1:9" x14ac:dyDescent="0.25">
      <c r="B161" s="42" t="s">
        <v>476</v>
      </c>
      <c r="C161" s="42" t="s">
        <v>469</v>
      </c>
      <c r="E161" s="42">
        <f>IF(LEFT(RBC_Personal_Accounts[[#This Row],[If Balance is]],1)&lt;&gt;"$",0,VALUE(LEFT(RBC_Personal_Accounts[[#This Row],[If Balance is]],FIND(" ",RBC_Personal_Accounts[[#This Row],[If Balance is]]))))</f>
        <v>5000</v>
      </c>
      <c r="H161">
        <v>9</v>
      </c>
    </row>
    <row r="162" spans="1:9" x14ac:dyDescent="0.25">
      <c r="B162" s="42" t="s">
        <v>60</v>
      </c>
      <c r="C162" s="42" t="s">
        <v>472</v>
      </c>
      <c r="E162" s="42">
        <f>IF(LEFT(RBC_Personal_Accounts[[#This Row],[If Balance is]],1)&lt;&gt;"$",0,VALUE(LEFT(RBC_Personal_Accounts[[#This Row],[If Balance is]],FIND(" ",RBC_Personal_Accounts[[#This Row],[If Balance is]]))))</f>
        <v>10000</v>
      </c>
      <c r="H162">
        <v>8</v>
      </c>
    </row>
    <row r="163" spans="1:9" x14ac:dyDescent="0.25">
      <c r="B163" s="42" t="s">
        <v>59</v>
      </c>
      <c r="C163" s="42" t="s">
        <v>473</v>
      </c>
      <c r="E163" s="42">
        <f>IF(LEFT(RBC_Personal_Accounts[[#This Row],[If Balance is]],1)&lt;&gt;"$",0,VALUE(LEFT(RBC_Personal_Accounts[[#This Row],[If Balance is]],FIND(" ",RBC_Personal_Accounts[[#This Row],[If Balance is]]))))</f>
        <v>25000</v>
      </c>
      <c r="H163">
        <v>7</v>
      </c>
    </row>
    <row r="164" spans="1:9" x14ac:dyDescent="0.25">
      <c r="B164" s="42" t="s">
        <v>58</v>
      </c>
      <c r="C164" s="42" t="s">
        <v>477</v>
      </c>
      <c r="E164" s="42">
        <f>IF(LEFT(RBC_Personal_Accounts[[#This Row],[If Balance is]],1)&lt;&gt;"$",0,VALUE(LEFT(RBC_Personal_Accounts[[#This Row],[If Balance is]],FIND(" ",RBC_Personal_Accounts[[#This Row],[If Balance is]]))))</f>
        <v>60000</v>
      </c>
      <c r="H164">
        <v>6</v>
      </c>
    </row>
    <row r="165" spans="1:9" x14ac:dyDescent="0.25">
      <c r="B165" s="42" t="s">
        <v>478</v>
      </c>
      <c r="C165" s="42" t="s">
        <v>479</v>
      </c>
      <c r="E165" s="42">
        <f>IF(LEFT(RBC_Personal_Accounts[[#This Row],[If Balance is]],1)&lt;&gt;"$",0,VALUE(LEFT(RBC_Personal_Accounts[[#This Row],[If Balance is]],FIND(" ",RBC_Personal_Accounts[[#This Row],[If Balance is]]))))</f>
        <v>100000</v>
      </c>
      <c r="H165">
        <v>5</v>
      </c>
    </row>
    <row r="166" spans="1:9" x14ac:dyDescent="0.25">
      <c r="B166" s="42" t="s">
        <v>480</v>
      </c>
      <c r="C166" s="42" t="s">
        <v>481</v>
      </c>
      <c r="E166" s="42">
        <f>IF(LEFT(RBC_Personal_Accounts[[#This Row],[If Balance is]],1)&lt;&gt;"$",0,VALUE(LEFT(RBC_Personal_Accounts[[#This Row],[If Balance is]],FIND(" ",RBC_Personal_Accounts[[#This Row],[If Balance is]]))))</f>
        <v>150000</v>
      </c>
      <c r="H166">
        <v>4</v>
      </c>
    </row>
    <row r="167" spans="1:9" x14ac:dyDescent="0.25">
      <c r="B167" s="42" t="s">
        <v>482</v>
      </c>
      <c r="C167" s="42" t="s">
        <v>481</v>
      </c>
      <c r="E167" s="42">
        <f>IF(LEFT(RBC_Personal_Accounts[[#This Row],[If Balance is]],1)&lt;&gt;"$",0,VALUE(LEFT(RBC_Personal_Accounts[[#This Row],[If Balance is]],FIND(" ",RBC_Personal_Accounts[[#This Row],[If Balance is]]))))</f>
        <v>250000</v>
      </c>
      <c r="H167">
        <v>3</v>
      </c>
    </row>
    <row r="168" spans="1:9" x14ac:dyDescent="0.25">
      <c r="A168" t="s">
        <v>51</v>
      </c>
      <c r="B168" s="42" t="s">
        <v>500</v>
      </c>
      <c r="C168" s="42" t="s">
        <v>503</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B10" sqref="B10:C11"/>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63</v>
      </c>
      <c r="E1" s="39"/>
    </row>
    <row r="2" spans="1:5" x14ac:dyDescent="0.25">
      <c r="A2" t="s">
        <v>64</v>
      </c>
    </row>
    <row r="8" spans="1:5" x14ac:dyDescent="0.25">
      <c r="A8" t="s">
        <v>65</v>
      </c>
    </row>
    <row r="10" spans="1:5" x14ac:dyDescent="0.25">
      <c r="A10" t="s">
        <v>19</v>
      </c>
      <c r="B10" t="s">
        <v>346</v>
      </c>
      <c r="C10" t="s">
        <v>345</v>
      </c>
    </row>
    <row r="11" spans="1:5" x14ac:dyDescent="0.25">
      <c r="B11" s="18" t="s">
        <v>347</v>
      </c>
      <c r="C11" s="42">
        <v>1.1499999999999999</v>
      </c>
    </row>
    <row r="12" spans="1:5" x14ac:dyDescent="0.25">
      <c r="A12" t="s">
        <v>66</v>
      </c>
    </row>
    <row r="14" spans="1:5" x14ac:dyDescent="0.25">
      <c r="A14"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12" sqref="C12"/>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430</v>
      </c>
      <c r="B1" t="s">
        <v>337</v>
      </c>
      <c r="C1" t="s">
        <v>56</v>
      </c>
    </row>
    <row r="2" spans="1:4" x14ac:dyDescent="0.25">
      <c r="B2" s="18" t="s">
        <v>23</v>
      </c>
      <c r="C2" s="18">
        <v>1.2E-2</v>
      </c>
    </row>
    <row r="3" spans="1:4" x14ac:dyDescent="0.25">
      <c r="B3" s="18" t="s">
        <v>400</v>
      </c>
      <c r="C3" s="18">
        <v>0</v>
      </c>
    </row>
    <row r="4" spans="1:4" x14ac:dyDescent="0.25">
      <c r="B4" s="18" t="s">
        <v>401</v>
      </c>
      <c r="C4" s="18">
        <v>0.15</v>
      </c>
    </row>
    <row r="6" spans="1:4" x14ac:dyDescent="0.25">
      <c r="A6" t="s">
        <v>431</v>
      </c>
      <c r="B6" s="42" t="s">
        <v>337</v>
      </c>
      <c r="C6" s="42" t="s">
        <v>56</v>
      </c>
      <c r="D6" s="42"/>
    </row>
    <row r="7" spans="1:4" x14ac:dyDescent="0.25">
      <c r="B7" s="18" t="s">
        <v>24</v>
      </c>
      <c r="C7" s="42">
        <v>1.4999999999999999E-2</v>
      </c>
    </row>
    <row r="8" spans="1:4" x14ac:dyDescent="0.25">
      <c r="B8" s="18" t="s">
        <v>424</v>
      </c>
      <c r="C8" s="42">
        <v>1.2E-2</v>
      </c>
    </row>
    <row r="9" spans="1:4" x14ac:dyDescent="0.25">
      <c r="B9" s="18" t="s">
        <v>425</v>
      </c>
      <c r="C9" s="42">
        <v>1.4999999999999999E-2</v>
      </c>
    </row>
    <row r="10" spans="1:4" s="42" customFormat="1" x14ac:dyDescent="0.25">
      <c r="B10" s="74" t="s">
        <v>426</v>
      </c>
      <c r="C10" s="42">
        <v>1.4999999999999999E-2</v>
      </c>
    </row>
    <row r="11" spans="1:4" s="42" customFormat="1" x14ac:dyDescent="0.25">
      <c r="B11" s="74" t="s">
        <v>427</v>
      </c>
      <c r="C11" s="42">
        <v>1.4999999999999999E-2</v>
      </c>
    </row>
    <row r="12" spans="1:4" s="42" customFormat="1" x14ac:dyDescent="0.25">
      <c r="B12" s="74" t="s">
        <v>360</v>
      </c>
      <c r="C12" s="42">
        <v>5.0000000000000001E-3</v>
      </c>
    </row>
    <row r="13" spans="1:4" s="42" customFormat="1" x14ac:dyDescent="0.25">
      <c r="B13" s="74" t="s">
        <v>428</v>
      </c>
      <c r="C13" s="42">
        <v>5.0000000000000001E-3</v>
      </c>
    </row>
    <row r="14" spans="1:4" s="42" customFormat="1" x14ac:dyDescent="0.25"/>
    <row r="15" spans="1:4" s="42" customFormat="1" x14ac:dyDescent="0.25">
      <c r="B15"/>
      <c r="C15" s="39"/>
    </row>
    <row r="16" spans="1:4" s="42" customFormat="1" x14ac:dyDescent="0.25">
      <c r="B16" t="s">
        <v>409</v>
      </c>
      <c r="C16" t="s">
        <v>429</v>
      </c>
    </row>
    <row r="17" spans="1:4" s="42" customFormat="1" x14ac:dyDescent="0.25">
      <c r="A17" s="58" t="s">
        <v>383</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6" sqref="B16"/>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4" sqref="B4"/>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439</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456</v>
      </c>
      <c r="B9" s="42" t="s">
        <v>81</v>
      </c>
      <c r="C9" s="42" t="s">
        <v>449</v>
      </c>
      <c r="D9" s="42" t="s">
        <v>450</v>
      </c>
      <c r="E9" s="42" t="s">
        <v>451</v>
      </c>
      <c r="F9" s="42" t="s">
        <v>452</v>
      </c>
      <c r="G9" s="42" t="s">
        <v>453</v>
      </c>
    </row>
    <row r="10" spans="1:9" x14ac:dyDescent="0.25">
      <c r="B10" s="18" t="s">
        <v>454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455</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2" bestFit="1" customWidth="1"/>
    <col min="3" max="3" width="77.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1.6E-2</v>
      </c>
      <c r="E2">
        <v>1.8499999999999999E-2</v>
      </c>
    </row>
    <row r="3" spans="1:5" x14ac:dyDescent="0.25">
      <c r="A3" t="s">
        <v>147</v>
      </c>
      <c r="B3" s="18" t="s">
        <v>145</v>
      </c>
      <c r="C3" s="18" t="s">
        <v>147</v>
      </c>
      <c r="D3">
        <v>8.5000000000000006E-3</v>
      </c>
      <c r="E3"/>
    </row>
    <row r="4" spans="1:5" x14ac:dyDescent="0.25">
      <c r="A4" t="s">
        <v>148</v>
      </c>
      <c r="B4" s="18" t="s">
        <v>145</v>
      </c>
      <c r="C4" s="18" t="s">
        <v>148</v>
      </c>
      <c r="D4">
        <v>1.2500000000000001E-2</v>
      </c>
      <c r="E4"/>
    </row>
    <row r="5" spans="1:5" x14ac:dyDescent="0.25">
      <c r="A5" t="s">
        <v>149</v>
      </c>
      <c r="B5" s="18" t="s">
        <v>145</v>
      </c>
      <c r="C5" s="18" t="s">
        <v>149</v>
      </c>
      <c r="D5">
        <v>1.2500000000000001E-2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2.8500000000000001E-2</v>
      </c>
      <c r="B2" s="18" t="s">
        <v>25</v>
      </c>
      <c r="C2" s="18" t="s">
        <v>173</v>
      </c>
    </row>
    <row r="3" spans="1:3" x14ac:dyDescent="0.25">
      <c r="A3">
        <v>2.8500000000000001E-2</v>
      </c>
      <c r="B3" s="18" t="s">
        <v>174</v>
      </c>
      <c r="C3" s="18" t="s">
        <v>173</v>
      </c>
    </row>
    <row r="4" spans="1:3" x14ac:dyDescent="0.25">
      <c r="A4">
        <v>2.8500000000000001E-2</v>
      </c>
      <c r="B4" s="18" t="s">
        <v>175</v>
      </c>
      <c r="C4" s="18" t="s">
        <v>173</v>
      </c>
    </row>
    <row r="5" spans="1:3" x14ac:dyDescent="0.25">
      <c r="A5">
        <v>2.8500000000000001E-2</v>
      </c>
      <c r="B5" s="18" t="s">
        <v>176</v>
      </c>
      <c r="C5" s="18" t="s">
        <v>177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D5" sqref="D5"/>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activeCell="A14" sqref="A14"/>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384</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A6" sqref="A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407</v>
      </c>
      <c r="C3" t="s">
        <v>408</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348</v>
      </c>
    </row>
    <row r="19" spans="1:2" s="1" customFormat="1" x14ac:dyDescent="0.25">
      <c r="A19" s="1" t="s">
        <v>52</v>
      </c>
    </row>
    <row r="20" spans="1:2" x14ac:dyDescent="0.25">
      <c r="B20" t="s">
        <v>348</v>
      </c>
    </row>
    <row r="35" spans="1:2" s="1" customFormat="1" x14ac:dyDescent="0.25">
      <c r="A35" s="1" t="s">
        <v>87</v>
      </c>
    </row>
    <row r="37" spans="1:2" x14ac:dyDescent="0.25">
      <c r="A37" t="s">
        <v>88</v>
      </c>
      <c r="B37" t="s">
        <v>348</v>
      </c>
    </row>
    <row r="44" spans="1:2" s="1" customFormat="1" x14ac:dyDescent="0.25">
      <c r="A44" s="1" t="s">
        <v>89</v>
      </c>
    </row>
    <row r="45" spans="1:2" x14ac:dyDescent="0.25">
      <c r="A45" t="s">
        <v>90</v>
      </c>
      <c r="B45" t="s">
        <v>348</v>
      </c>
    </row>
    <row r="48" spans="1:2" x14ac:dyDescent="0.25">
      <c r="A48" t="s">
        <v>91</v>
      </c>
      <c r="B48" t="s">
        <v>348</v>
      </c>
    </row>
    <row r="55" spans="1:2" s="1" customFormat="1" x14ac:dyDescent="0.25">
      <c r="A55" s="1" t="s">
        <v>92</v>
      </c>
    </row>
    <row r="56" spans="1:2" x14ac:dyDescent="0.25">
      <c r="B56" t="s">
        <v>348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TD_rates</vt:lpstr>
      <vt:lpstr>BMO_rates</vt:lpstr>
      <vt:lpstr>BNS_Rates</vt:lpstr>
      <vt:lpstr>RBC_Rates</vt:lpstr>
      <vt:lpstr>Simplii_rates</vt:lpstr>
      <vt:lpstr>Manulife_rates</vt:lpstr>
      <vt:lpstr>NBC_rates</vt:lpstr>
      <vt:lpstr>HSBC_rates</vt:lpstr>
      <vt:lpstr>B2B_rates</vt:lpstr>
      <vt:lpstr>Meridian_rates</vt:lpstr>
      <vt:lpstr>Altamira_rates</vt:lpstr>
      <vt:lpstr>HomeTrust_rates</vt:lpstr>
      <vt:lpstr>EQ_rates</vt:lpstr>
      <vt:lpstr>ICICI_rates</vt:lpstr>
      <vt:lpstr>CT_rates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2019-07-19T20:13:06Z</dcterms:modified>
  <cp:category/>
  <cp:contentStatus/>
</cp:coreProperties>
</file>