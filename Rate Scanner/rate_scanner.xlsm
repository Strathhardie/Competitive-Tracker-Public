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tables/table29.xml" ContentType="application/vnd.openxmlformats-officedocument.spreadsheetml.table+xml"/>
  <Override PartName="/xl/queryTables/queryTable28.xml" ContentType="application/vnd.openxmlformats-officedocument.spreadsheetml.queryTable+xml"/>
  <Override PartName="/xl/tables/table30.xml" ContentType="application/vnd.openxmlformats-officedocument.spreadsheetml.table+xml"/>
  <Override PartName="/xl/queryTables/queryTable2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AD037309-0817-4AA3-A416-DFAE8521B3D4}" xr6:coauthVersionLast="36" xr6:coauthVersionMax="36" xr10:uidLastSave="{00000000-0000-0000-0000-000000000000}"/>
  <bookViews>
    <workbookView xWindow="0" yWindow="0" windowWidth="20490" windowHeight="7545"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TD_rates" sheetId="12" r:id="rId8"/>
    <sheet name="BNS_Rates" sheetId="49"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HomeTrust_rates" sheetId="59" r:id="rId21"/>
  </sheets>
  <functionGroups builtInGroupCount="19"/>
  <definedNames>
    <definedName name="ExternalData_1" localSheetId="17" hidden="1">Altamira_rates!$A$1:$F$12</definedName>
    <definedName name="ExternalData_1" localSheetId="15" hidden="1">B2B_rates!$B$1:$E$8</definedName>
    <definedName name="ExternalData_1" localSheetId="8" hidden="1">BNS_Rates!$B$1:$E$6</definedName>
    <definedName name="ExternalData_1" localSheetId="14" hidden="1">CT_rates!$A$1:$B$2</definedName>
    <definedName name="ExternalData_1" localSheetId="18" hidden="1">EQ_rates!$B$1:$B$2</definedName>
    <definedName name="ExternalData_1" localSheetId="20" hidden="1">HomeTrust_rates!$A$1:$B$13</definedName>
    <definedName name="ExternalData_1" localSheetId="13" hidden="1">HSBC_rates!$A$1:$B$5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Simplii_rates!$B$1:$C$59</definedName>
    <definedName name="ExternalData_1" localSheetId="7" hidden="1">TD_rates!$A$2:$B$26</definedName>
    <definedName name="ExternalData_10" localSheetId="9" hidden="1">RBC_Rates!$B$1:$C$158</definedName>
    <definedName name="ExternalData_12" localSheetId="9" hidden="1">RBC_Rates!$B$161:$D$167</definedName>
    <definedName name="ExternalData_12" localSheetId="7" hidden="1">TD_rates!$C$29:$G$34</definedName>
    <definedName name="ExternalData_13" localSheetId="7" hidden="1">TD_rates!$C$39:$D$57</definedName>
    <definedName name="ExternalData_14" localSheetId="7" hidden="1">TD_rates!$C$61:$D$67</definedName>
    <definedName name="ExternalData_15" localSheetId="5" hidden="1">CIBC_rates!$B$20:$C$22</definedName>
    <definedName name="ExternalData_16" localSheetId="5" hidden="1">CIBC_rates!$B$24:$B$25</definedName>
    <definedName name="ExternalData_2" localSheetId="8" hidden="1">BNS_Rates!$B$8:$F$10</definedName>
    <definedName name="ExternalData_2" localSheetId="5" hidden="1">CIBC_rates!$B$1:$C$13</definedName>
    <definedName name="ExternalData_2" localSheetId="11" hidden="1">Manulife_rates!$C$1:$D$4</definedName>
    <definedName name="ExternalData_3" localSheetId="8" hidden="1">BNS_Rates!$B$12:$C$14</definedName>
    <definedName name="ExternalData_4" localSheetId="8" hidden="1">BNS_Rates!$B$16:$C$19</definedName>
    <definedName name="ExternalData_4" localSheetId="11" hidden="1">Manulife_rates!$D$8:$D$9</definedName>
    <definedName name="ExternalData_5" localSheetId="8" hidden="1">BNS_Rates!$B$21:$C$23</definedName>
    <definedName name="ExternalData_6" localSheetId="8" hidden="1">BNS_Rates!$B$25:$C$31</definedName>
    <definedName name="ExternalData_7" localSheetId="8" hidden="1">BNS_Rates!$B$34:$D$36</definedName>
    <definedName name="Query___BMO___SBA_SSA_PRSA" localSheetId="6"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2" i="26" l="1"/>
  <c r="C13" i="26"/>
  <c r="C14" i="26"/>
  <c r="C15" i="26"/>
  <c r="C16" i="26"/>
  <c r="C17" i="26"/>
  <c r="C18" i="26"/>
  <c r="C19" i="26"/>
  <c r="C11" i="26"/>
  <c r="C12" i="25"/>
  <c r="C13" i="25"/>
  <c r="C14" i="25"/>
  <c r="C15" i="25"/>
  <c r="C16" i="25"/>
  <c r="C17" i="25"/>
  <c r="C18" i="25"/>
  <c r="C19" i="25"/>
  <c r="C11" i="25"/>
  <c r="L12" i="26"/>
  <c r="L13" i="26"/>
  <c r="L14" i="26"/>
  <c r="L15" i="26"/>
  <c r="L16" i="26"/>
  <c r="L17" i="26"/>
  <c r="L18" i="26"/>
  <c r="L19" i="26"/>
  <c r="L11" i="26"/>
  <c r="B11" i="26"/>
  <c r="B12" i="26"/>
  <c r="B13" i="26"/>
  <c r="B14" i="26"/>
  <c r="B15" i="26"/>
  <c r="B16" i="26"/>
  <c r="B17" i="26"/>
  <c r="B18" i="26"/>
  <c r="B19" i="26"/>
  <c r="J18" i="26"/>
  <c r="M12" i="26"/>
  <c r="M11" i="26"/>
  <c r="K11" i="26"/>
  <c r="M17" i="26"/>
  <c r="M13" i="26"/>
  <c r="M14" i="26"/>
  <c r="M15" i="26"/>
  <c r="M16" i="26"/>
  <c r="M18" i="26"/>
  <c r="K12" i="26"/>
  <c r="K13" i="26"/>
  <c r="K14" i="26"/>
  <c r="K15" i="26"/>
  <c r="K16" i="26"/>
  <c r="K17" i="26"/>
  <c r="K18" i="26"/>
  <c r="K19" i="26"/>
  <c r="J11" i="26"/>
  <c r="J12" i="26"/>
  <c r="J13" i="26"/>
  <c r="J14" i="26"/>
  <c r="J15" i="26"/>
  <c r="J16" i="26"/>
  <c r="J17" i="26"/>
  <c r="I11" i="26"/>
  <c r="I19" i="26"/>
  <c r="I18" i="26"/>
  <c r="I17" i="26"/>
  <c r="I16" i="26"/>
  <c r="I15" i="26"/>
  <c r="I14" i="26"/>
  <c r="I13" i="26"/>
  <c r="I12" i="26"/>
  <c r="D11" i="26"/>
  <c r="G12" i="26"/>
  <c r="G13" i="26"/>
  <c r="G14" i="26"/>
  <c r="G15" i="26"/>
  <c r="G16" i="26"/>
  <c r="G17" i="26"/>
  <c r="G18" i="26"/>
  <c r="G19" i="26"/>
  <c r="G11" i="26"/>
  <c r="F12" i="26"/>
  <c r="F13" i="26"/>
  <c r="F14" i="26"/>
  <c r="F15" i="26"/>
  <c r="F16" i="26"/>
  <c r="F17" i="26"/>
  <c r="F18" i="26"/>
  <c r="F19" i="26"/>
  <c r="F11" i="26"/>
  <c r="E12" i="26"/>
  <c r="E13" i="26"/>
  <c r="E14" i="26"/>
  <c r="E15" i="26"/>
  <c r="E16" i="26"/>
  <c r="E17" i="26"/>
  <c r="E18" i="26"/>
  <c r="E19" i="26"/>
  <c r="E11" i="26"/>
  <c r="D12" i="26"/>
  <c r="D13" i="26"/>
  <c r="D14" i="26"/>
  <c r="D15" i="26"/>
  <c r="D16" i="26"/>
  <c r="D17" i="26"/>
  <c r="D18" i="26"/>
  <c r="D19" i="26"/>
  <c r="K12" i="24"/>
  <c r="K13" i="24"/>
  <c r="K14" i="24"/>
  <c r="K15" i="24"/>
  <c r="K16" i="24"/>
  <c r="K17" i="24"/>
  <c r="K18" i="24"/>
  <c r="K19" i="24"/>
  <c r="K20" i="24"/>
  <c r="K21" i="24"/>
  <c r="K11" i="24"/>
  <c r="E10" i="30"/>
  <c r="B12" i="25" s="1"/>
  <c r="E11" i="30"/>
  <c r="B11" i="25" s="1"/>
  <c r="E12" i="30"/>
  <c r="B14" i="25" s="1"/>
  <c r="B15" i="25"/>
  <c r="E8" i="30"/>
  <c r="E9" i="30"/>
  <c r="B18" i="25"/>
  <c r="B19" i="25"/>
  <c r="J11" i="25"/>
  <c r="F64" i="12"/>
  <c r="F66" i="12"/>
  <c r="D15" i="25" s="1"/>
  <c r="F67" i="12"/>
  <c r="E11" i="25"/>
  <c r="F11" i="25"/>
  <c r="G11" i="25"/>
  <c r="H11" i="25"/>
  <c r="E9" i="27"/>
  <c r="E10" i="27"/>
  <c r="I11" i="25" s="1"/>
  <c r="H28" i="49"/>
  <c r="K15" i="25" s="1"/>
  <c r="H30" i="49"/>
  <c r="H31" i="49"/>
  <c r="M11" i="25"/>
  <c r="N11" i="25"/>
  <c r="O11" i="25"/>
  <c r="P11" i="25"/>
  <c r="Q11" i="25"/>
  <c r="J12" i="25"/>
  <c r="H13" i="25"/>
  <c r="J13" i="25"/>
  <c r="M13" i="25"/>
  <c r="N13" i="25"/>
  <c r="O13" i="25"/>
  <c r="P13" i="25"/>
  <c r="Q13" i="25"/>
  <c r="G13" i="25"/>
  <c r="F13" i="25"/>
  <c r="E13" i="25"/>
  <c r="J15" i="25"/>
  <c r="J14" i="25"/>
  <c r="J16" i="25"/>
  <c r="J17" i="25"/>
  <c r="J18" i="25"/>
  <c r="J19" i="25"/>
  <c r="F65" i="12"/>
  <c r="D16" i="25"/>
  <c r="F62" i="12"/>
  <c r="F63" i="12"/>
  <c r="D17" i="25"/>
  <c r="D18" i="25"/>
  <c r="M14" i="25"/>
  <c r="E12" i="25"/>
  <c r="D4" i="12"/>
  <c r="P14" i="25"/>
  <c r="P15" i="25"/>
  <c r="P16" i="25"/>
  <c r="P17" i="25"/>
  <c r="P18" i="25"/>
  <c r="P19" i="25"/>
  <c r="P12" i="25"/>
  <c r="O14" i="25"/>
  <c r="O15" i="25"/>
  <c r="O16" i="25"/>
  <c r="O17" i="25"/>
  <c r="O18" i="25"/>
  <c r="O19" i="25"/>
  <c r="O12" i="25"/>
  <c r="H12" i="25"/>
  <c r="H14" i="25" s="1"/>
  <c r="H15" i="25" s="1"/>
  <c r="H16" i="25" s="1"/>
  <c r="H17" i="25" s="1"/>
  <c r="H18" i="25" s="1"/>
  <c r="H19" i="25" s="1"/>
  <c r="Q14" i="25"/>
  <c r="Q15" i="25"/>
  <c r="Q16" i="25"/>
  <c r="Q17" i="25"/>
  <c r="Q18" i="25"/>
  <c r="Q19" i="25"/>
  <c r="Q12" i="25"/>
  <c r="N14" i="25"/>
  <c r="N15" i="25"/>
  <c r="N16" i="25"/>
  <c r="N17" i="25"/>
  <c r="N18" i="25"/>
  <c r="N19" i="25"/>
  <c r="N12" i="25"/>
  <c r="M15" i="25"/>
  <c r="M16" i="25"/>
  <c r="M17" i="25"/>
  <c r="M18" i="25"/>
  <c r="M19" i="25"/>
  <c r="M12" i="25"/>
  <c r="H29" i="49"/>
  <c r="H26" i="49"/>
  <c r="H27" i="49"/>
  <c r="G14" i="25"/>
  <c r="G15" i="25"/>
  <c r="G16" i="25"/>
  <c r="G17" i="25"/>
  <c r="G18" i="25"/>
  <c r="G19" i="25"/>
  <c r="G12" i="25"/>
  <c r="F14" i="25"/>
  <c r="F15" i="25"/>
  <c r="F16" i="25"/>
  <c r="F17" i="25"/>
  <c r="F18" i="25"/>
  <c r="F19" i="25"/>
  <c r="F12" i="25"/>
  <c r="E14" i="25"/>
  <c r="E15" i="25"/>
  <c r="E16" i="25"/>
  <c r="E17" i="25"/>
  <c r="E18" i="25"/>
  <c r="E19"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U12" i="24"/>
  <c r="U13" i="24"/>
  <c r="U14" i="24"/>
  <c r="U15" i="24"/>
  <c r="U16" i="24"/>
  <c r="U17" i="24"/>
  <c r="U18" i="24"/>
  <c r="U19" i="24"/>
  <c r="U20" i="24"/>
  <c r="U21" i="24"/>
  <c r="U11" i="24"/>
  <c r="Q13" i="24"/>
  <c r="Q14" i="24"/>
  <c r="Q15" i="24"/>
  <c r="Q16" i="24"/>
  <c r="Q17" i="24"/>
  <c r="Q18" i="24"/>
  <c r="Q19" i="24"/>
  <c r="Q20" i="24"/>
  <c r="Q21" i="24"/>
  <c r="Q12" i="24"/>
  <c r="E158" i="41"/>
  <c r="N12" i="24" s="1"/>
  <c r="H23" i="49"/>
  <c r="H22" i="49"/>
  <c r="H18" i="49"/>
  <c r="M19" i="24" s="1"/>
  <c r="H19" i="49"/>
  <c r="M18" i="24" s="1"/>
  <c r="H17" i="49"/>
  <c r="H14" i="49"/>
  <c r="H13" i="49"/>
  <c r="L21" i="24" s="1"/>
  <c r="H10" i="49"/>
  <c r="H9" i="49"/>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P18" i="24" s="1"/>
  <c r="E148" i="41"/>
  <c r="E149" i="41"/>
  <c r="E150" i="41"/>
  <c r="E151" i="41"/>
  <c r="O17" i="24" s="1"/>
  <c r="E152" i="41"/>
  <c r="E153" i="41"/>
  <c r="E154" i="41"/>
  <c r="E155" i="41"/>
  <c r="O13" i="24" s="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11" i="27"/>
  <c r="E12" i="27"/>
  <c r="E13" i="27"/>
  <c r="E14" i="27"/>
  <c r="E3" i="27"/>
  <c r="E4" i="27"/>
  <c r="H15" i="24" s="1"/>
  <c r="E5" i="27"/>
  <c r="I12" i="24" s="1"/>
  <c r="E6" i="27"/>
  <c r="E7" i="27"/>
  <c r="E8" i="27"/>
  <c r="J15" i="24" s="1"/>
  <c r="N11" i="24"/>
  <c r="L14" i="24"/>
  <c r="H19" i="24"/>
  <c r="O12" i="24"/>
  <c r="N19" i="24"/>
  <c r="N15" i="24"/>
  <c r="N18" i="24"/>
  <c r="N14" i="24"/>
  <c r="N21" i="24"/>
  <c r="N17" i="24"/>
  <c r="N13" i="24"/>
  <c r="N20" i="24"/>
  <c r="N16" i="24"/>
  <c r="M21" i="24"/>
  <c r="M17" i="24"/>
  <c r="L19" i="24"/>
  <c r="L17" i="24"/>
  <c r="L13" i="24"/>
  <c r="L20" i="24"/>
  <c r="L16" i="24"/>
  <c r="L12" i="24"/>
  <c r="L15" i="24"/>
  <c r="L11" i="24"/>
  <c r="L18" i="24"/>
  <c r="I19" i="24"/>
  <c r="I21" i="24"/>
  <c r="I16" i="24"/>
  <c r="P12" i="24"/>
  <c r="P11" i="24"/>
  <c r="O18" i="24"/>
  <c r="P20" i="24"/>
  <c r="H21" i="24"/>
  <c r="D11" i="12"/>
  <c r="D12" i="12"/>
  <c r="F16" i="24" s="1"/>
  <c r="D13" i="12"/>
  <c r="D14" i="12"/>
  <c r="D15" i="12"/>
  <c r="D16" i="12"/>
  <c r="F11" i="24" s="1"/>
  <c r="D18" i="12"/>
  <c r="D19" i="12"/>
  <c r="D20" i="12"/>
  <c r="D21" i="12"/>
  <c r="G15" i="24" s="1"/>
  <c r="D22" i="12"/>
  <c r="D23" i="12"/>
  <c r="D25" i="12"/>
  <c r="D26" i="12"/>
  <c r="D5" i="12"/>
  <c r="D6" i="12"/>
  <c r="D7" i="12"/>
  <c r="D8" i="12"/>
  <c r="E14" i="24" s="1"/>
  <c r="D9" i="12"/>
  <c r="F13" i="24"/>
  <c r="F12" i="24"/>
  <c r="F14" i="24"/>
  <c r="F15" i="24"/>
  <c r="F20" i="24"/>
  <c r="E18" i="24"/>
  <c r="E19" i="24"/>
  <c r="E12" i="24"/>
  <c r="E20" i="24"/>
  <c r="E21" i="24"/>
  <c r="G16" i="24"/>
  <c r="G20" i="24"/>
  <c r="G17" i="24"/>
  <c r="G21" i="24"/>
  <c r="G18" i="24"/>
  <c r="G11" i="24"/>
  <c r="G19" i="24"/>
  <c r="E2" i="27"/>
  <c r="E2" i="30"/>
  <c r="B11" i="24" s="1"/>
  <c r="E3" i="30"/>
  <c r="B14" i="24" s="1"/>
  <c r="E4" i="30"/>
  <c r="C14" i="24" s="1"/>
  <c r="E5" i="30"/>
  <c r="E6" i="30"/>
  <c r="D15" i="24" s="1"/>
  <c r="E7" i="30"/>
  <c r="C11" i="24"/>
  <c r="C12" i="24"/>
  <c r="C16" i="24"/>
  <c r="C17" i="24"/>
  <c r="C21" i="24"/>
  <c r="B13" i="24"/>
  <c r="B18" i="24"/>
  <c r="B20" i="24"/>
  <c r="D12" i="24"/>
  <c r="D16" i="24"/>
  <c r="D17" i="24"/>
  <c r="D21" i="24"/>
  <c r="D14" i="24"/>
  <c r="D11" i="24"/>
  <c r="J18" i="24"/>
  <c r="J13" i="24"/>
  <c r="O14" i="24" l="1"/>
  <c r="P15" i="24"/>
  <c r="P21" i="24"/>
  <c r="P13" i="24"/>
  <c r="P14" i="24"/>
  <c r="O16" i="24"/>
  <c r="O11" i="24"/>
  <c r="P19" i="24"/>
  <c r="O20" i="24"/>
  <c r="P16" i="24"/>
  <c r="P17" i="24"/>
  <c r="O15" i="24"/>
  <c r="O19" i="24"/>
  <c r="O21" i="24"/>
  <c r="K13" i="25"/>
  <c r="K12" i="25"/>
  <c r="K19" i="25"/>
  <c r="K14" i="25"/>
  <c r="K11" i="25"/>
  <c r="K18" i="25"/>
  <c r="K16" i="25"/>
  <c r="K17" i="25"/>
  <c r="M11" i="24"/>
  <c r="M20" i="24"/>
  <c r="M14" i="24"/>
  <c r="M15" i="24"/>
  <c r="M12" i="24"/>
  <c r="M16" i="24"/>
  <c r="M13" i="24"/>
  <c r="D14" i="25"/>
  <c r="D12" i="25"/>
  <c r="D13" i="25"/>
  <c r="D11" i="25"/>
  <c r="D19"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2" i="25"/>
  <c r="I16" i="25"/>
  <c r="I17" i="25"/>
  <c r="J21" i="24"/>
  <c r="H13" i="24"/>
  <c r="H11" i="24"/>
  <c r="H14" i="24"/>
  <c r="I19" i="25"/>
  <c r="I15" i="25"/>
  <c r="J16" i="24"/>
  <c r="J20" i="24"/>
  <c r="J14" i="24"/>
  <c r="H17" i="24"/>
  <c r="H12" i="24"/>
  <c r="I18" i="25"/>
  <c r="I14" i="25"/>
  <c r="I13" i="25"/>
  <c r="B12" i="24"/>
  <c r="D18" i="24"/>
  <c r="D13" i="24"/>
  <c r="D19" i="24"/>
  <c r="B19" i="24"/>
  <c r="B21" i="24"/>
  <c r="B16" i="24"/>
  <c r="B13" i="25"/>
  <c r="D20" i="24"/>
  <c r="B15" i="24"/>
  <c r="B17" i="24"/>
  <c r="B16" i="25"/>
  <c r="C20" i="24"/>
  <c r="C15" i="24"/>
  <c r="B17" i="25"/>
  <c r="C18" i="24"/>
  <c r="C13" i="24"/>
  <c r="C19"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22" authorId="0" shapeId="0" xr:uid="{A05B2059-83CD-4B4A-BD32-B0E113A9CE2B}">
      <text>
        <r>
          <rPr>
            <b/>
            <sz val="9"/>
            <color indexed="81"/>
            <rFont val="Tahoma"/>
            <family val="2"/>
          </rPr>
          <t>Author:</t>
        </r>
        <r>
          <rPr>
            <sz val="9"/>
            <color indexed="81"/>
            <rFont val="Tahoma"/>
            <family val="2"/>
          </rPr>
          <t xml:space="preserve">
BNS Mcleod, Hollis and Scotia ISA's consolidated into 1 new ISA (new fund codes) on April 23 2018.</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Wong, Raymond M</author>
  </authors>
  <commentList>
    <comment ref="I11" authorId="0" shapeId="0" xr:uid="{62C93DD5-BDF1-4DE5-AE69-08E2624F9DA6}">
      <text>
        <r>
          <rPr>
            <b/>
            <sz val="9"/>
            <color indexed="81"/>
            <rFont val="Tahoma"/>
            <family val="2"/>
          </rPr>
          <t>Wong, Raymond M:</t>
        </r>
        <r>
          <rPr>
            <sz val="9"/>
            <color indexed="81"/>
            <rFont val="Tahoma"/>
            <family val="2"/>
          </rPr>
          <t xml:space="preserve">
max 150000</t>
        </r>
      </text>
    </comment>
    <comment ref="I19" authorId="0" shapeId="0" xr:uid="{999E562B-5C81-4D74-BA58-43FDB8385D5B}">
      <text>
        <r>
          <rPr>
            <b/>
            <sz val="9"/>
            <color indexed="81"/>
            <rFont val="Tahoma"/>
            <family val="2"/>
          </rPr>
          <t>Wong, Raymond M:</t>
        </r>
        <r>
          <rPr>
            <sz val="9"/>
            <color indexed="81"/>
            <rFont val="Tahoma"/>
            <family val="2"/>
          </rPr>
          <t xml:space="preserve">
min 500</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Altamira Rates" description="Connection to the 'Altamira Rates' query in the workbook." type="5" refreshedVersion="6" background="1" saveData="1">
    <dbPr connection="Provider=Microsoft.Mashup.OleDb.1;Data Source=$Workbook$;Location=Altamira Rates;Extended Properties=&quot;&quot;" command="SELECT * FROM [Altamira Rates]"/>
  </connection>
  <connection id="2" xr16:uid="{00000000-0015-0000-FFFF-FFFF01000000}" keepAlive="1" name="Query - B2B Rates" description="Connection to the 'B2B Rates' query in the workbook." type="5" refreshedVersion="6" background="1" saveData="1">
    <dbPr connection="Provider=Microsoft.Mashup.OleDb.1;Data Source=$Workbook$;Location=B2B Rates;Extended Properties=&quot;&quot;" command="SELECT * FROM [B2B Rates]"/>
  </connection>
  <connection id="3" xr16:uid="{00000000-0015-0000-FFFF-FFFF02000000}" keepAlive="1" name="Query - BMO Savings Accounts" description="Connection to the 'BMO Savings Accounts' query in the workbook." type="5" refreshedVersion="6" background="1" saveData="1">
    <dbPr connection="Provider=Microsoft.Mashup.OleDb.1;Data Source=$Workbook$;Location=BMO Savings Accounts;Extended Properties=&quot;&quot;" command="SELECT * FROM [BMO Savings Accounts]"/>
  </connection>
  <connection id="4" xr16:uid="{00000000-0015-0000-FFFF-FFFF05000000}" keepAlive="1" name="Query - BNS Cash Optimizer Investment" description="Connection to the 'BNS Cash Optimizer Investment' query in the workbook." type="5" refreshedVersion="6" background="1" saveData="1">
    <dbPr connection="Provider=Microsoft.Mashup.OleDb.1;Data Source=$Workbook$;Location=BNS Cash Optimizer Investment;Extended Properties=&quot;&quot;" command="SELECT * FROM [BNS Cash Optimizer Investment]"/>
  </connection>
  <connection id="5" xr16:uid="{049C8650-0AF7-43A6-92BA-82935646542D}" keepAlive="1" name="Query - BNS Momentum" description="Connection to the 'BNS Momentum' query in the workbook." type="5" refreshedVersion="6" background="1" saveData="1">
    <dbPr connection="Provider=Microsoft.Mashup.OleDb.1;Data Source=$Workbook$;Location=BNS Momentum;Extended Properties=&quot;&quot;" command="SELECT * FROM [BNS Momentum]"/>
  </connection>
  <connection id="6" xr16:uid="{02C1936D-D17A-472E-9147-B48FABB8BF0F}" keepAlive="1" name="Query - BNS Momentum Plus" description="Connection to the 'BNS Momentum Plus' query in the workbook." type="5" refreshedVersion="6" background="1" saveData="1">
    <dbPr connection="Provider=Microsoft.Mashup.OleDb.1;Data Source=$Workbook$;Location=BNS Momentum Plus;Extended Properties=&quot;&quot;" command="SELECT * FROM [BNS Momentum Plus]"/>
  </connection>
  <connection id="7" xr16:uid="{2552E8C7-27DD-4A58-8A50-35F0458E7163}" keepAlive="1" name="Query - BNS Money Master" description="Connection to the 'BNS Money Master' query in the workbook." type="5" refreshedVersion="6" background="1" saveData="1">
    <dbPr connection="Provider=Microsoft.Mashup.OleDb.1;Data Source=$Workbook$;Location=BNS Money Master;Extended Properties=&quot;&quot;" command="SELECT * FROM [BNS Money Master]"/>
  </connection>
  <connection id="8" xr16:uid="{FEB907C4-122E-4D94-9112-C416976F39D2}" keepAlive="1" name="Query - BNS Savings Accelerator" description="Connection to the 'BNS Savings Accelerator' query in the workbook." type="5" refreshedVersion="6" background="1" saveData="1">
    <dbPr connection="Provider=Microsoft.Mashup.OleDb.1;Data Source=$Workbook$;Location=BNS Savings Accelerator;Extended Properties=&quot;&quot;" command="SELECT * FROM [BNS Savings Accelerator]"/>
  </connection>
  <connection id="9" xr16:uid="{7F5D748B-2AB1-4684-B5F0-9BA6692F9844}" keepAlive="1" name="Query - BNS Savings Accelerator TFSA" description="Connection to the 'BNS Savings Accelerator TFSA' query in the workbook." type="5" refreshedVersion="6" background="1" saveData="1">
    <dbPr connection="Provider=Microsoft.Mashup.OleDb.1;Data Source=$Workbook$;Location=BNS Savings Accelerator TFSA;Extended Properties=&quot;&quot;" command="SELECT * FROM [BNS Savings Accelerator TFSA]"/>
  </connection>
  <connection id="10" xr16:uid="{31344F06-42E6-4340-99C0-9030FB2A46DE}"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11" xr16:uid="{4244F518-BF1F-4714-9B0C-518D68279E43}" keepAlive="1" name="Query - BNS Savings Accounts (test)" description="Connection to the 'BNS Savings Accounts (test)' query in the workbook." type="5" refreshedVersion="6" background="1">
    <dbPr connection="Provider=Microsoft.Mashup.OleDb.1;Data Source=$Workbook$;Location=&quot;BNS Savings Accounts (test)&quot;;Extended Properties=&quot;&quot;" command="SELECT * FROM [BNS Savings Accounts (test)]"/>
  </connection>
  <connection id="12" xr16:uid="{5604426F-0B63-405A-9958-3076F68E0030}" keepAlive="1" name="Query - BNS US Dollar Daily Interest" description="Connection to the 'BNS US Dollar Daily Interest' query in the workbook." type="5" refreshedVersion="6" background="1" saveData="1">
    <dbPr connection="Provider=Microsoft.Mashup.OleDb.1;Data Source=$Workbook$;Location=BNS US Dollar Daily Interest;Extended Properties=&quot;&quot;" command="SELECT * FROM [BNS US Dollar Daily Interest]"/>
  </connection>
  <connection id="13" xr16:uid="{81DEA38E-A166-48B7-8AB9-F650712A8109}" keepAlive="1" name="Query - CIBC HISA (CTC)" description="Connection to the 'CIBC HISA (CTC)' query in the workbook." type="5" refreshedVersion="6" background="1" saveData="1">
    <dbPr connection="Provider=Microsoft.Mashup.OleDb.1;Data Source=$Workbook$;Location=CIBC HISA (CTC);Extended Properties=&quot;&quot;" command="SELECT * FROM [CIBC HISA (CTC)]"/>
  </connection>
  <connection id="14" xr16:uid="{B11DB3D6-2EEF-4F98-8DC1-C6DC76DD6C1E}" keepAlive="1" name="Query - CIBC Renaissance HISA" description="Connection to the 'CIBC Renaissance HISA' query in the workbook." type="5" refreshedVersion="6" background="1" saveData="1">
    <dbPr connection="Provider=Microsoft.Mashup.OleDb.1;Data Source=$Workbook$;Location=CIBC Renaissance HISA;Extended Properties=&quot;&quot;" command="SELECT * FROM [CIBC Renaissance HISA]"/>
  </connection>
  <connection id="15" xr16:uid="{00000000-0015-0000-FFFF-FFFF06000000}" keepAlive="1" name="Query - CIBC Savings Accounts" description="Connection to the 'CIBC Savings Accounts' query in the workbook." type="5" refreshedVersion="6" background="1" saveData="1">
    <dbPr connection="Provider=Microsoft.Mashup.OleDb.1;Data Source=$Workbook$;Location=CIBC Savings Accounts;Extended Properties=&quot;&quot;" command="SELECT * FROM [CIBC Savings Accounts]"/>
  </connection>
  <connection id="16" xr16:uid="{3D1F0AAC-2434-4BBB-B921-1FCB76DC6F26}" keepAlive="1" name="Query - Column1" description="Connection to the 'Column1' query in the workbook." type="5" refreshedVersion="6" background="1" saveData="1">
    <dbPr connection="Provider=Microsoft.Mashup.OleDb.1;Data Source=$Workbook$;Location=Column1;Extended Properties=&quot;&quot;" command="SELECT * FROM [Column1]"/>
  </connection>
  <connection id="17" xr16:uid="{6B01879D-A90D-4B75-A863-446CBD026CB6}" keepAlive="1" name="Query - Column1 (2)" description="Connection to the 'Column1 (2)' query in the workbook." type="5" refreshedVersion="6" background="1" saveData="1">
    <dbPr connection="Provider=Microsoft.Mashup.OleDb.1;Data Source=$Workbook$;Location=&quot;Column1 (2)&quot;;Extended Properties=&quot;&quot;" command="SELECT * FROM [Column1 (2)]"/>
  </connection>
  <connection id="18" xr16:uid="{00000000-0015-0000-FFFF-FFFF07000000}" keepAlive="1" name="Query - CT HISA" description="Connection to the 'CT HISA' query in the workbook." type="5" refreshedVersion="6" background="1" saveData="1">
    <dbPr connection="Provider=Microsoft.Mashup.OleDb.1;Data Source=$Workbook$;Location=CT HISA;Extended Properties=&quot;&quot;" command="SELECT * FROM [CT HISA]"/>
  </connection>
  <connection id="19" xr16:uid="{176323F2-4C17-43D2-8006-DB11FA999696}" keepAlive="1" name="Query - Document" description="Connection to the 'Document' query in the workbook." type="5" refreshedVersion="0" background="1">
    <dbPr connection="Provider=Microsoft.Mashup.OleDb.1;Data Source=$Workbook$;Location=Document;Extended Properties=&quot;&quot;" command="SELECT * FROM [Document]"/>
  </connection>
  <connection id="20" xr16:uid="{3CC50BDE-1890-4FAA-9002-3FE379F36049}" keepAlive="1" name="Query - Document (2)" description="Connection to the 'Document (2)' query in the workbook." type="5" refreshedVersion="0" background="1">
    <dbPr connection="Provider=Microsoft.Mashup.OleDb.1;Data Source=$Workbook$;Location=&quot;Document (2)&quot;;Extended Properties=&quot;&quot;" command="SELECT * FROM [Document (2)]"/>
  </connection>
  <connection id="21" xr16:uid="{E38D7A82-36FA-4AF6-872C-131BEA0ED444}" keepAlive="1" name="Query - EQ Bank Savings Plus Account" description="Connection to the 'EQ Bank Savings Plus Account' query in the workbook." type="5" refreshedVersion="6" background="1" saveData="1">
    <dbPr connection="Provider=Microsoft.Mashup.OleDb.1;Data Source=$Workbook$;Location=EQ Bank Savings Plus Account;Extended Properties=&quot;&quot;" command="SELECT * FROM [EQ Bank Savings Plus Account]"/>
  </connection>
  <connection id="22" xr16:uid="{6A0854F7-C932-4E9E-9FBB-EC246ADFAFC5}" keepAlive="1" name="Query - Home Trust Company" description="Connection to the 'Home Trust Company' query in the workbook." type="5" refreshedVersion="6" background="1" saveData="1">
    <dbPr connection="Provider=Microsoft.Mashup.OleDb.1;Data Source=$Workbook$;Location=Home Trust Company;Extended Properties=&quot;&quot;" command="SELECT * FROM [Home Trust Company]"/>
  </connection>
  <connection id="23" xr16:uid="{00000000-0015-0000-FFFF-FFFF09000000}" keepAlive="1" name="Query - HSBC Rates" description="Connection to the 'HSBC Rates' query in the workbook." type="5" refreshedVersion="6" background="1" saveData="1">
    <dbPr connection="Provider=Microsoft.Mashup.OleDb.1;Data Source=$Workbook$;Location=HSBC Rates;Extended Properties=&quot;&quot;" command="SELECT * FROM [HSBC Rates]"/>
  </connection>
  <connection id="24" xr16:uid="{00000000-0015-0000-FFFF-FFFF0A000000}"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25" xr16:uid="{00000000-0015-0000-FFFF-FFFF0B000000}"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26" xr16:uid="{00000000-0015-0000-FFFF-FFFF0C000000}"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27" xr16:uid="{00000000-0015-0000-FFFF-FFFF0D000000}"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28" xr16:uid="{00000000-0015-0000-FFFF-FFFF0E000000}"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9" xr16:uid="{00000000-0015-0000-FFFF-FFFF0F000000}" keepAlive="1" name="Query - ICICI_Savings Accounts" description="Connection to the 'ICICI_Savings Accounts' query in the workbook." type="5" refreshedVersion="6" background="1" saveData="1">
    <dbPr connection="Provider=Microsoft.Mashup.OleDb.1;Data Source=$Workbook$;Location=ICICI_Savings Accounts;Extended Properties=&quot;&quot;" command="SELECT * FROM [ICICI_Savings Accounts]"/>
  </connection>
  <connection id="30" xr16:uid="{1E60BCBB-18BA-471E-A585-F68138B3A5C7}" keepAlive="1" name="Query - Manulife Advantage Accounts" description="Connection to the 'Manulife Advantage Accounts' query in the workbook." type="5" refreshedVersion="6" background="1" saveData="1">
    <dbPr connection="Provider=Microsoft.Mashup.OleDb.1;Data Source=$Workbook$;Location=Manulife Advantage Accounts;Extended Properties=&quot;&quot;" command="SELECT * FROM [Manulife Advantage Accounts]"/>
  </connection>
  <connection id="31" xr16:uid="{00000000-0015-0000-FFFF-FFFF10000000}" keepAlive="1" name="Query - Manulife Rates" description="Connection to the 'Manulife Rates' query in the workbook." type="5" refreshedVersion="6" background="1" saveData="1">
    <dbPr connection="Provider=Microsoft.Mashup.OleDb.1;Data Source=$Workbook$;Location=&quot;Manulife Rates&quot;;Extended Properties=&quot;&quot;" command="SELECT * FROM [Manulife Rates]"/>
  </connection>
  <connection id="32" xr16:uid="{00000000-0015-0000-FFFF-FFFF11000000}" keepAlive="1" name="Query - Meridian Rates" description="Connection to the 'Meridian Rates' query in the workbook." type="5" refreshedVersion="6" background="1" saveData="1">
    <dbPr connection="Provider=Microsoft.Mashup.OleDb.1;Data Source=$Workbook$;Location=Meridian Rates;Extended Properties=&quot;&quot;" command="SELECT * FROM [Meridian Rates]"/>
  </connection>
  <connection id="33" xr16:uid="{00000000-0015-0000-FFFF-FFFF12000000}" keepAlive="1" name="Query - NBC Bank Accounts" description="Connection to the 'NBC Bank Accounts' query in the workbook." type="5" refreshedVersion="6" background="1" saveData="1">
    <dbPr connection="Provider=Microsoft.Mashup.OleDb.1;Data Source=$Workbook$;Location=NBC Bank Accounts;Extended Properties=&quot;&quot;" command="SELECT * FROM [NBC Bank Accounts]"/>
  </connection>
  <connection id="34" xr16:uid="{AEB7A27C-D319-4B39-A99A-B5BBB5A77274}"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35" xr16:uid="{01702197-3BB6-4E09-B8F8-6247B98653B8}" keepAlive="1" name="Query - RBC Investment Savings Account" description="Connection to the 'RBC Investment Savings Account' query in the workbook." type="5" refreshedVersion="6" background="1" saveData="1">
    <dbPr connection="Provider=Microsoft.Mashup.OleDb.1;Data Source=$Workbook$;Location=RBC Investment Savings Account;Extended Properties=&quot;&quot;" command="SELECT * FROM [RBC Investment Savings Account]"/>
  </connection>
  <connection id="36" xr16:uid="{246DB2EA-63FE-4785-9CB0-24D9D4F30D2F}" keepAlive="1" name="Query - RBC Personal Accounts" description="Connection to the 'RBC Personal Accounts' query in the workbook." type="5" refreshedVersion="6" background="1" saveData="1">
    <dbPr connection="Provider=Microsoft.Mashup.OleDb.1;Data Source=$Workbook$;Location=RBC Personal Accounts;Extended Properties=&quot;&quot;" command="SELECT * FROM [RBC Personal Accounts]"/>
  </connection>
  <connection id="37" xr16:uid="{00000000-0015-0000-FFFF-FFFF1C000000}"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8" xr16:uid="{00000000-0015-0000-FFFF-FFFF1F000000}" keepAlive="1" name="Query - Simplii Rates" description="Connection to the 'Simplii Rates' query in the workbook." type="5" refreshedVersion="6" background="1">
    <dbPr connection="Provider=Microsoft.Mashup.OleDb.1;Data Source=$Workbook$;Location=Simplii Rates;Extended Properties=&quot;&quot;" command="SELECT * FROM [Simplii Rates]"/>
  </connection>
  <connection id="39" xr16:uid="{89835455-ADC1-4711-9B07-D102E4DB4023}" keepAlive="1" name="Query - Table 0" description="Connection to the 'Table 0' query in the workbook." type="5" refreshedVersion="6" background="1" saveData="1">
    <dbPr connection="Provider=Microsoft.Mashup.OleDb.1;Data Source=$Workbook$;Location=&quot;Table 0&quot;;Extended Properties=&quot;&quot;" command="SELECT * FROM [Table 0]"/>
  </connection>
  <connection id="40" xr16:uid="{59969BA3-A132-407D-BEC9-B29AD257751E}" keepAlive="1" name="Query - Tangerine Rates 1" description="Connection to the 'Tangerine Rates 1' query in the workbook." type="5" refreshedVersion="6" background="1">
    <dbPr connection="Provider=Microsoft.Mashup.OleDb.1;Data Source=$Workbook$;Location=&quot;Tangerine Rates 1&quot;;Extended Properties=&quot;&quot;" command="SELECT * FROM [Tangerine Rates 1]"/>
  </connection>
  <connection id="41" xr16:uid="{DAD91FBB-01C0-4E49-8BB5-E2D5DE971679}" keepAlive="1" name="Query - Tangerine Rates 2" description="Connection to the 'Tangerine Rates 2' query in the workbook." type="5" refreshedVersion="6" background="1" saveData="1">
    <dbPr connection="Provider=Microsoft.Mashup.OleDb.1;Data Source=$Workbook$;Location=&quot;Tangerine Rates 2&quot;;Extended Properties=&quot;&quot;" command="SELECT * FROM [Tangerine Rates 2]"/>
  </connection>
  <connection id="42" xr16:uid="{00000000-0015-0000-FFFF-FFFF24000000}" keepAlive="1" name="Query - TD Investment Savings Account" description="Connection to the 'TD Investment Savings Account' query in the workbook." type="5" refreshedVersion="6" background="1" saveData="1">
    <dbPr connection="Provider=Microsoft.Mashup.OleDb.1;Data Source=$Workbook$;Location=TD Investment Savings Account;Extended Properties=&quot;&quot;" command="SELECT * FROM [TD Investment Savings Account]"/>
  </connection>
  <connection id="43" xr16:uid="{00000000-0015-0000-FFFF-FFFF25000000}" keepAlive="1" name="Query - TD Savings Accounts" description="Connection to the 'TD Savings Accounts' query in the workbook." type="5" refreshedVersion="6" background="1" saveData="1">
    <dbPr connection="Provider=Microsoft.Mashup.OleDb.1;Data Source=$Workbook$;Location=TD Savings Accounts;Extended Properties=&quot;&quot;" command="SELECT * FROM [TD Savings Accounts]"/>
  </connection>
  <connection id="44" xr16:uid="{00000000-0015-0000-FFFF-FFFF26000000}" keepAlive="1" name="Query - TD TFSA" description="Connection to the 'TD TFSA' query in the workbook." type="5" refreshedVersion="6" background="1" saveData="1">
    <dbPr connection="Provider=Microsoft.Mashup.OleDb.1;Data Source=$Workbook$;Location=TD TFSA;Extended Properties=&quot;&quot;" command="SELECT * FROM [TD TFSA]"/>
  </connection>
  <connection id="45" xr16:uid="{36E7AC21-9877-429E-8F0D-FF2E922BB586}" keepAlive="1" name="Query - TD USborderless rate" description="Connection to the 'TD USborderless rate' query in the workbook." type="5" refreshedVersion="6" background="1" saveData="1">
    <dbPr connection="Provider=Microsoft.Mashup.OleDb.1;Data Source=$Workbook$;Location=TD USborderless rate;Extended Properties=&quot;&quot;" command="SELECT * FROM [TD USborderless rate]"/>
  </connection>
</connections>
</file>

<file path=xl/sharedStrings.xml><?xml version="1.0" encoding="utf-8"?>
<sst xmlns="http://schemas.openxmlformats.org/spreadsheetml/2006/main" count="1193" uniqueCount="571">
  <si>
    <t xml:space="preserve">High Interest Savings Accounts - Retail </t>
  </si>
  <si>
    <t>CIBC</t>
  </si>
  <si>
    <t>TDCT</t>
  </si>
  <si>
    <t>BMO</t>
  </si>
  <si>
    <t xml:space="preserve">BMO </t>
  </si>
  <si>
    <t>BNS</t>
  </si>
  <si>
    <t>RBC</t>
  </si>
  <si>
    <t>Simplii</t>
  </si>
  <si>
    <t>ICICI*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</si>
  <si>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</si>
  <si>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</si>
  <si>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</si>
  <si>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</si>
  <si>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</si>
  <si>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</si>
  <si>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</si>
  <si>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</si>
  <si>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</si>
  <si>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</si>
  <si>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</si>
  <si>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</si>
  <si>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</si>
  <si>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</si>
  <si>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</si>
  <si>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</si>
  <si>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</si>
  <si>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</si>
  <si>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Rate Savings*</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</si>
  <si>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</si>
  <si>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</si>
  <si>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</si>
  <si>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</si>
  <si>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</si>
  <si>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</si>
  <si>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</si>
  <si>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</si>
  <si>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</si>
  <si>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</si>
  <si>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</si>
  <si>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</si>
  <si>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</si>
  <si>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</si>
  <si>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</si>
  <si>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</si>
  <si>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</si>
  <si>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</si>
  <si>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</si>
  <si>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</si>
  <si>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</si>
  <si>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Market Comparative Jul 17, 2018)</t>
  </si>
  <si>
    <t>TD/CT</t>
  </si>
  <si>
    <t>Altamira</t>
  </si>
  <si>
    <t>Home Trust</t>
  </si>
  <si>
    <t>High Interest Savings Account(CTC)</t>
  </si>
  <si>
    <t xml:space="preserve">Renaissance High Interest Savings Account </t>
  </si>
  <si>
    <t>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</si>
  <si>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</si>
  <si>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</si>
  <si>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</si>
  <si>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</si>
  <si>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</si>
  <si>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</si>
  <si>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</si>
  <si>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</si>
  <si>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</si>
  <si>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</si>
  <si>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</si>
  <si>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</si>
  <si>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</si>
  <si>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</si>
  <si>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</si>
  <si>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</si>
  <si>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</si>
  <si>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</si>
  <si>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</si>
  <si>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</si>
  <si>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</si>
  <si>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</si>
  <si>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</si>
  <si>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</si>
  <si>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</si>
  <si>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</si>
  <si>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</si>
  <si>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</si>
  <si>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</si>
  <si>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$1,000.00 to $2,999.99</t>
  </si>
  <si>
    <t>$0.00 to $999.99</t>
  </si>
  <si>
    <t>0.010 P</t>
  </si>
  <si>
    <t>Annual Rates</t>
  </si>
  <si>
    <t>Products</t>
  </si>
  <si>
    <t>Data.Column1</t>
  </si>
  <si>
    <t>Data.Column2</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</si>
  <si>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</si>
  <si>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</si>
  <si>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</si>
  <si>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</si>
  <si>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</si>
  <si>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</si>
  <si>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</si>
  <si>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</si>
  <si>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</si>
  <si>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</si>
  <si>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</si>
  <si>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</si>
  <si>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</si>
  <si>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</si>
  <si>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</si>
  <si>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</si>
  <si>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</si>
  <si>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</si>
  <si>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</si>
  <si>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</si>
  <si>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</si>
  <si>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</si>
  <si>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</si>
  <si>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0.15%</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</si>
  <si>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</si>
  <si>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</si>
  <si>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</si>
  <si>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</si>
  <si>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</si>
  <si>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</si>
  <si>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</si>
  <si>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</si>
  <si>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</si>
  <si>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</si>
  <si>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</si>
  <si>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</si>
  <si>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</si>
  <si>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</si>
  <si>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</si>
  <si>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</si>
  <si>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</si>
  <si>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</si>
  <si>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</si>
  <si>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</si>
  <si>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</si>
  <si>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</si>
  <si>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</si>
  <si>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</si>
  <si>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</si>
  <si>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</si>
  <si>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</si>
  <si>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</si>
  <si>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</si>
  <si>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</si>
  <si>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</si>
  <si>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</si>
  <si>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Credit cards</t>
  </si>
  <si>
    <t>Deposit Accounts</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</si>
  <si>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</si>
  <si>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</si>
  <si>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</si>
  <si>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</si>
  <si>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</si>
  <si>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</si>
  <si>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</si>
  <si>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</si>
  <si>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</si>
  <si>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</si>
  <si>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</si>
  <si>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</si>
  <si>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</si>
  <si>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</si>
  <si>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</si>
  <si>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</si>
  <si>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0.850%</t>
  </si>
  <si>
    <t>360-Day Premium Period</t>
  </si>
  <si>
    <t>Annual Interest Rate*</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</si>
  <si>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</si>
  <si>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</si>
  <si>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</si>
  <si>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</si>
  <si>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</si>
  <si>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</si>
  <si>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</si>
  <si>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</si>
  <si>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</si>
  <si>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</si>
  <si>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</si>
  <si>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</si>
  <si>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</si>
  <si>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</si>
  <si>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</si>
  <si>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</si>
  <si>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</si>
  <si>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</si>
  <si>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1.05%</t>
  </si>
  <si>
    <t>0.05%</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</si>
  <si>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</si>
  <si>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</si>
  <si>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</si>
  <si>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</si>
  <si>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</si>
  <si>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</si>
  <si>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</si>
  <si>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</si>
  <si>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</si>
  <si>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</si>
  <si>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</si>
  <si>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</si>
  <si>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</si>
  <si>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</si>
  <si>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</si>
  <si>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</si>
  <si>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</si>
  <si>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</si>
  <si>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</si>
  <si>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</si>
  <si>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</si>
  <si>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</si>
  <si>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</si>
  <si>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</si>
  <si>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</si>
  <si>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</si>
  <si>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</si>
  <si>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</si>
  <si>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</si>
  <si>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</si>
  <si>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</si>
  <si>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</si>
  <si>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</si>
  <si>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</si>
  <si>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</si>
  <si>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</si>
  <si>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</si>
  <si>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</si>
  <si>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</si>
  <si>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</si>
  <si>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</si>
  <si>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</si>
  <si>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</si>
  <si>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</si>
  <si>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</si>
  <si>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</si>
  <si>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</si>
  <si>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</si>
  <si>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</si>
  <si>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</si>
  <si>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</si>
  <si>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</si>
  <si>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</si>
  <si>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</si>
  <si>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</si>
  <si>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</si>
  <si>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</si>
  <si>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</si>
  <si>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</si>
  <si>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</si>
  <si>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</si>
  <si>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</si>
  <si>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</si>
  <si>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</si>
  <si>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</si>
  <si>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</si>
  <si>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</si>
  <si>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</si>
  <si>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</si>
  <si>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</si>
  <si>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</si>
  <si>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</si>
  <si>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</si>
  <si>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</si>
  <si>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</si>
  <si>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</si>
  <si>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</si>
  <si>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</si>
  <si>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</si>
  <si>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</si>
  <si>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</si>
  <si>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</si>
  <si>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High Interest TFSA Savings Account1</t>
  </si>
  <si>
    <t>DAILY INTEREST SAVINGS ACCOUNT RSP/LIRA/RLSP/LRRSP1</t>
  </si>
  <si>
    <t>$5,000 to $24,999.99</t>
  </si>
  <si>
    <t>0.20%</t>
  </si>
  <si>
    <t>DAILY INTEREST SAVINGS ACCOUNT RIF/RESP/LIF/RLIF/LRIF/PRIF1</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</si>
  <si>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</si>
  <si>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</si>
  <si>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</si>
  <si>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</si>
  <si>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</si>
  <si>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</si>
  <si>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</si>
  <si>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</si>
  <si>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</si>
  <si>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</si>
  <si>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</si>
  <si>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</si>
  <si>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Paid on the portion of the balance within each tier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</si>
  <si>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</si>
  <si>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</si>
  <si>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</si>
  <si>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</si>
  <si>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</si>
  <si>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</si>
  <si>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</si>
  <si>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</si>
  <si>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</si>
  <si>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</si>
  <si>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</si>
  <si>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</si>
  <si>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</si>
  <si>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</si>
  <si>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</si>
  <si>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</si>
  <si>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</si>
  <si>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</si>
  <si>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</si>
  <si>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</si>
  <si>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</si>
  <si>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</si>
  <si>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</si>
  <si>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</si>
  <si>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</si>
  <si>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</si>
  <si>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</si>
  <si>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</si>
  <si>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</si>
  <si>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</si>
  <si>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</si>
  <si>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</si>
  <si>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</si>
  <si>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</si>
  <si>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</si>
  <si>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</si>
  <si>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</si>
  <si>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</si>
  <si>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</si>
  <si>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</si>
  <si>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</si>
  <si>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</si>
  <si>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</si>
  <si>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</si>
  <si>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</si>
  <si>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</si>
  <si>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</si>
  <si>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</si>
  <si>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</si>
  <si>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</si>
  <si>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</si>
  <si>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</si>
  <si>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</si>
  <si>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</si>
  <si>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</si>
  <si>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</si>
  <si>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</si>
  <si>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</si>
  <si>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</si>
  <si>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</si>
  <si>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</si>
  <si>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</si>
  <si>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</si>
  <si>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</si>
  <si>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</si>
  <si>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</si>
  <si>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</si>
  <si>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</si>
  <si>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</si>
  <si>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</si>
  <si>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</si>
  <si>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</si>
  <si>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</si>
  <si>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</si>
  <si>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</si>
  <si>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</si>
  <si>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</si>
  <si>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</si>
  <si>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</si>
  <si>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</si>
  <si>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</si>
  <si>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</si>
  <si>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</si>
  <si>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</si>
  <si>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</si>
  <si>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</si>
  <si>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</si>
  <si>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</si>
  <si>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</si>
  <si>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The longer you save, the more interest you can earn</t>
  </si>
  <si>
    <t>Premium Interest Rate</t>
  </si>
  <si>
    <t>Total Annual Interest Rate</t>
  </si>
  <si>
    <t>Higher rate will be paid on the entire balance if the balance exceeds $5,000</t>
  </si>
  <si>
    <t>Regular Interest Rate</t>
  </si>
  <si>
    <t>Momentum Savings Premium‡</t>
  </si>
  <si>
    <t>Momentum</t>
  </si>
  <si>
    <t>1.100%</t>
  </si>
  <si>
    <t>Not eligible</t>
  </si>
  <si>
    <t>CIBC_Savings_Accounts</t>
  </si>
  <si>
    <t>TD_Savings_Accounts</t>
  </si>
  <si>
    <t>TD_TFSA</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</si>
  <si>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</si>
  <si>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</si>
  <si>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</si>
  <si>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</si>
  <si>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</si>
  <si>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</si>
  <si>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</si>
  <si>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</si>
  <si>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</si>
  <si>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Annual interest rate is paid on the entire  balance based on the tier within which the  daily account closing balance falls</t>
  </si>
  <si>
    <t>Highest rate will be paid on the entire balance  as it increases.</t>
  </si>
  <si>
    <t>$0 - $249,999</t>
  </si>
  <si>
    <t>CAD $</t>
  </si>
  <si>
    <t>U.S. $</t>
  </si>
  <si>
    <t xml:space="preserve">Scotiabank® Momentum Savings Account TM  </t>
  </si>
  <si>
    <t>Scotiabank® Savings Accelerator Account - Tax-Free Savings Account</t>
  </si>
  <si>
    <t>BNS_Momentum_Plus</t>
  </si>
  <si>
    <t>BNS_Momentum</t>
  </si>
  <si>
    <t>BNS_Money_Master</t>
  </si>
  <si>
    <t>BNS_Savings_Accelerator</t>
  </si>
  <si>
    <t>BNS_Savings_Accelerator_TFSA</t>
  </si>
  <si>
    <t>BNS_US_Dollar_Daily_Interest</t>
  </si>
  <si>
    <t>Execution Time</t>
  </si>
  <si>
    <t>RBC Investment Savings Account</t>
  </si>
  <si>
    <t>Savings Builder Account (a)</t>
  </si>
  <si>
    <t>Account</t>
  </si>
  <si>
    <t>Smart Saver</t>
  </si>
  <si>
    <t>Premium Rate</t>
  </si>
  <si>
    <t>Momentum Plus Savings</t>
  </si>
  <si>
    <t>Money Master</t>
  </si>
  <si>
    <t>High Interest eSavings</t>
  </si>
  <si>
    <t>Enhanced Savings</t>
  </si>
  <si>
    <t>Savings Acount</t>
  </si>
  <si>
    <t>HiSave Savings</t>
  </si>
  <si>
    <t>On the Portion of Balance Between:</t>
  </si>
  <si>
    <t>Annual Rate (%)</t>
  </si>
  <si>
    <t>$0.00 - $1,000.00</t>
  </si>
  <si>
    <t>0.05</t>
  </si>
  <si>
    <t>$1,000.01 - $5,000.00</t>
  </si>
  <si>
    <t>0.10</t>
  </si>
  <si>
    <t>$5,000.01 - $10,000.00</t>
  </si>
  <si>
    <t>0.15</t>
  </si>
  <si>
    <t>$10,000.01 - $25,000.00</t>
  </si>
  <si>
    <t>$25,000.01 and up</t>
  </si>
  <si>
    <t>0.50</t>
  </si>
  <si>
    <t>Daily Balance</t>
  </si>
  <si>
    <t>On all overdraft balances</t>
  </si>
  <si>
    <t>19.00</t>
  </si>
  <si>
    <t>$0.00 and up</t>
  </si>
  <si>
    <t>Term</t>
  </si>
  <si>
    <t>Posted Rates (%)</t>
  </si>
  <si>
    <t>2 year</t>
  </si>
  <si>
    <t>3.64</t>
  </si>
  <si>
    <t>3 year</t>
  </si>
  <si>
    <t>3.89</t>
  </si>
  <si>
    <t>4 year</t>
  </si>
  <si>
    <t>4.39</t>
  </si>
  <si>
    <t>5 year</t>
  </si>
  <si>
    <t>4.99</t>
  </si>
  <si>
    <t>7 year</t>
  </si>
  <si>
    <t>5.39</t>
  </si>
  <si>
    <t>10 year</t>
  </si>
  <si>
    <t>6.25</t>
  </si>
  <si>
    <t>3.95</t>
  </si>
  <si>
    <t>1.5%</t>
  </si>
  <si>
    <t>2%</t>
  </si>
  <si>
    <t>3%</t>
  </si>
  <si>
    <t>5%</t>
  </si>
  <si>
    <t>4%</t>
  </si>
  <si>
    <t>6 month</t>
  </si>
  <si>
    <t>6.19</t>
  </si>
  <si>
    <t>12 month</t>
  </si>
  <si>
    <t>3.54</t>
  </si>
  <si>
    <t/>
  </si>
  <si>
    <t>Starter Mortgage</t>
  </si>
  <si>
    <t>3.69</t>
  </si>
  <si>
    <t>3.94</t>
  </si>
  <si>
    <t>4.44</t>
  </si>
  <si>
    <t>5.04</t>
  </si>
  <si>
    <t>5.44</t>
  </si>
  <si>
    <t>6.30</t>
  </si>
  <si>
    <t>GIC/RGIC term</t>
  </si>
  <si>
    <t>Rate (%)1</t>
  </si>
  <si>
    <t>1 year</t>
  </si>
  <si>
    <t>2.277%</t>
  </si>
  <si>
    <t>Annual Rate (%)*</t>
  </si>
  <si>
    <t>On all outstanding balances</t>
  </si>
  <si>
    <t>Competitive rate based on prime*</t>
  </si>
  <si>
    <t>Get a competitive low rate on our secured line of credit**</t>
  </si>
  <si>
    <t>Term of Loan</t>
  </si>
  <si>
    <t>Annual Rate</t>
  </si>
  <si>
    <t>Competitive fixed rates***</t>
  </si>
  <si>
    <t>Effective Date</t>
  </si>
  <si>
    <t>Prime Rate (%)*</t>
  </si>
  <si>
    <t>October 25, 2018</t>
  </si>
  <si>
    <t>Market Comparative Jul 18, 2018</t>
  </si>
  <si>
    <t>x</t>
  </si>
  <si>
    <t>Error</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</si>
  <si>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</si>
  <si>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</si>
  <si>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</si>
  <si>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</si>
  <si>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</si>
  <si>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</si>
  <si>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</si>
  <si>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</si>
  <si>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</si>
  <si>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</si>
  <si>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</si>
  <si>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</si>
  <si>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</si>
  <si>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</si>
  <si>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</si>
  <si>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</si>
  <si>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</si>
  <si>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</si>
  <si>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</si>
  <si>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</si>
  <si>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$100,000 +</t>
  </si>
  <si>
    <t>Renaissance High Interest Savings Account</t>
  </si>
  <si>
    <t>Current Canadian Interest Rate</t>
  </si>
  <si>
    <t>Current U.S. Interest Rate</t>
  </si>
  <si>
    <t>TD daily interest chequing and borderless account</t>
  </si>
  <si>
    <t>US Dollar Investment Savings Account</t>
  </si>
  <si>
    <t>0.6</t>
  </si>
  <si>
    <t>CIBC_Renaissance_HISA</t>
  </si>
  <si>
    <t>TD_USborderless_rate</t>
  </si>
  <si>
    <t>0.600%</t>
  </si>
  <si>
    <t>0.700%</t>
  </si>
  <si>
    <t>1.000%</t>
  </si>
  <si>
    <t>Application-defined or object-defined error</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</si>
  <si>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</si>
  <si>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</si>
  <si>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</si>
  <si>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</si>
  <si>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</si>
  <si>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</si>
  <si>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</si>
  <si>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</si>
  <si>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</si>
  <si>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</si>
  <si>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</si>
  <si>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</si>
  <si>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1.15%</t>
  </si>
  <si>
    <t>Cash Back %†</t>
  </si>
  <si>
    <t>2.130%</t>
  </si>
  <si>
    <t>2.228%</t>
  </si>
  <si>
    <t>2.326%</t>
  </si>
  <si>
    <t>Column1.2</t>
  </si>
  <si>
    <t>Column1.1</t>
  </si>
  <si>
    <t>$5,000.00 to $49,999.99</t>
  </si>
  <si>
    <t>$50,000.00 to $99,999.99</t>
  </si>
  <si>
    <t>$1,00,000.00 to $249,999.99</t>
  </si>
  <si>
    <t>$250,000.00 to $1,000,000.00</t>
  </si>
  <si>
    <t>$1,000,000.01 and over</t>
  </si>
  <si>
    <t>$0 to $9,999.99</t>
  </si>
  <si>
    <t>$10,000.00 to $49,999.99</t>
  </si>
  <si>
    <t>$100,000.00 to $249,999.99</t>
  </si>
  <si>
    <t>broker</t>
  </si>
  <si>
    <t>High Interest Savings Account (CTC)</t>
  </si>
  <si>
    <t>CIBC_HISA__CTC</t>
  </si>
  <si>
    <t>[Expression.Error] The column 'Regular Interest Rate' of the table wasn't found.</t>
  </si>
  <si>
    <t>BNS_Cash_Optimizer_Investment</t>
  </si>
  <si>
    <t>1.000</t>
  </si>
  <si>
    <t>RBC_Personal_Accounts</t>
  </si>
  <si>
    <t>RBC_Investment_Savings_Account</t>
  </si>
  <si>
    <t>Simplii_Rates</t>
  </si>
  <si>
    <t>Everyday Banking Account</t>
  </si>
  <si>
    <t>Secured overdraft</t>
  </si>
  <si>
    <t>Manulife_Advantage_Accounts</t>
  </si>
  <si>
    <t>NBC_Bank_Accounts</t>
  </si>
  <si>
    <t>HSBC_Rates</t>
  </si>
  <si>
    <t>CT_HISA</t>
  </si>
  <si>
    <t>B2B_Rates</t>
  </si>
  <si>
    <t>Meridian_Rates</t>
  </si>
  <si>
    <t>Altamira_Rates</t>
  </si>
  <si>
    <t>EQ_Bank_Savings_Plus_Account</t>
  </si>
  <si>
    <t>1.60% p.a.</t>
  </si>
  <si>
    <t>1.00% p.a.</t>
  </si>
  <si>
    <t>ICICI_Savings_Accounts</t>
  </si>
  <si>
    <t>Home_Trust_Company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</si>
</sst>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9"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b/>
      <sz val="9"/>
      <color indexed="81"/>
      <name val="Tahoma"/>
      <family val="2"/>
    </font>
    <font>
      <sz val="9"/>
      <color indexed="81"/>
      <name val="Tahoma"/>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5" fillId="0" borderId="0" applyFont="0" applyFill="0" applyBorder="0" applyAlignment="0" applyProtection="0"/>
  </cellStyleXfs>
  <cellXfs count="9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quotePrefix="1" applyFont="1" applyAlignment="1">
      <alignment horizontal="left"/>
    </xf>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0" fontId="0" fillId="3" borderId="0" xfId="0" applyFill="1"/>
    <xf numFmtId="14" fontId="0" fillId="0" borderId="0" xfId="0" applyNumberFormat="1"/>
    <xf numFmtId="0" fontId="0" fillId="0" borderId="0" xfId="0" applyNumberFormat="1"/>
    <xf numFmtId="0" fontId="0" fillId="6" borderId="0" xfId="0" applyFill="1" applyBorder="1"/>
    <xf numFmtId="0" fontId="12"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4" fillId="0" borderId="0" xfId="0" applyFont="1" applyAlignment="1">
      <alignment vertical="top"/>
    </xf>
    <xf numFmtId="49" fontId="14" fillId="0" borderId="0" xfId="0" applyNumberFormat="1" applyFont="1" applyAlignment="1">
      <alignment vertical="top" wrapText="1"/>
    </xf>
    <xf numFmtId="14" fontId="14"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3"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3" fillId="0" borderId="0" xfId="0" applyFont="1"/>
    <xf numFmtId="0" fontId="16"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7" fillId="0" borderId="1" xfId="0" applyFont="1" applyFill="1" applyBorder="1" applyAlignment="1">
      <alignment horizontal="center"/>
    </xf>
    <xf numFmtId="49" fontId="17" fillId="0" borderId="1" xfId="0" applyNumberFormat="1" applyFont="1" applyFill="1" applyBorder="1" applyAlignment="1">
      <alignment horizontal="center"/>
    </xf>
    <xf numFmtId="0" fontId="18" fillId="11" borderId="11" xfId="0" applyFont="1" applyFill="1" applyBorder="1"/>
    <xf numFmtId="0" fontId="18" fillId="11" borderId="12" xfId="0" applyFont="1" applyFill="1" applyBorder="1"/>
    <xf numFmtId="0" fontId="18"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18" fillId="11" borderId="0" xfId="0" applyFont="1" applyFill="1" applyBorder="1"/>
    <xf numFmtId="0" fontId="0" fillId="12" borderId="0" xfId="0" applyFont="1" applyFill="1" applyBorder="1"/>
    <xf numFmtId="0" fontId="0" fillId="0" borderId="0" xfId="0" applyFont="1" applyBorder="1"/>
    <xf numFmtId="0" fontId="0" fillId="0" borderId="1" xfId="0" applyBorder="1"/>
    <xf numFmtId="0" fontId="0" fillId="0" borderId="1" xfId="0" applyNumberFormat="1" applyBorder="1"/>
    <xf numFmtId="2" fontId="3" fillId="0" borderId="1" xfId="0" applyNumberFormat="1" applyFont="1" applyBorder="1" applyAlignment="1">
      <alignment horizontal="center"/>
    </xf>
    <xf numFmtId="0" fontId="3" fillId="4" borderId="7" xfId="0" applyFont="1" applyFill="1" applyBorder="1" applyAlignment="1">
      <alignment horizontal="center"/>
    </xf>
    <xf numFmtId="0" fontId="4" fillId="13" borderId="0" xfId="0" applyFont="1" applyFill="1"/>
    <xf numFmtId="0" fontId="3" fillId="13" borderId="0" xfId="0" applyFont="1" applyFill="1"/>
    <xf numFmtId="0" fontId="12" fillId="7" borderId="5" xfId="0" applyFont="1" applyFill="1" applyBorder="1" applyAlignment="1">
      <alignment horizontal="center" vertical="center"/>
    </xf>
    <xf numFmtId="0" fontId="12" fillId="7" borderId="6" xfId="0" applyFont="1" applyFill="1" applyBorder="1" applyAlignment="1">
      <alignment horizontal="center" vertical="center"/>
    </xf>
    <xf numFmtId="0" fontId="12"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51">
    <dxf>
      <numFmt numFmtId="19" formatCode="m/d/yyyy"/>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5"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14"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13"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2" connectionId="4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3" connectionId="44" xr16:uid="{00000000-0016-0000-0600-000003000000}"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4" connectionId="4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B554F8FE-CFBC-4D3B-B4E7-213BA67E71A4}" autoFormatId="16" applyNumberFormats="0" applyBorderFormats="0" applyFontFormats="0" applyPatternFormats="0" applyAlignmentFormats="0" applyWidthHeightFormats="0">
  <queryTableRefresh nextId="7">
    <queryTableFields count="4">
      <queryTableField id="1" name="The longer you save, the more interest you can earn" tableColumnId="1"/>
      <queryTableField id="5" name="Regular Interest Rate" tableColumnId="2"/>
      <queryTableField id="3" name="Premium Interest Rate" tableColumnId="3"/>
      <queryTableField id="4" name="Total Annual Interest Rate" tableColumnId="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1D4719E7-28CD-4EBB-B632-10675A262019}" autoFormatId="16" applyNumberFormats="0" applyBorderFormats="0" applyFontFormats="0" applyPatternFormats="0" applyAlignmentFormats="0" applyWidthHeightFormats="0">
  <queryTableRefresh nextId="6">
    <queryTableFields count="5">
      <queryTableField id="1" name="Higher rate will be paid on the entire balance if the balance exceeds $5,000" tableColumnId="1"/>
      <queryTableField id="2" name="Regular Interest Rate" tableColumnId="2"/>
      <queryTableField id="3" name="Momentum Savings Premium‡" tableColumnId="3"/>
      <queryTableField id="5" dataBound="0" tableColumnId="5"/>
      <queryTableField id="4" name="Total Annual Interest Rate"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7" xr16:uid="{68ADA483-AB37-4B2E-A31D-1C870E9C0ADA}" autoFormatId="16" applyNumberFormats="0" applyBorderFormats="0" applyFontFormats="0" applyPatternFormats="0" applyAlignmentFormats="0" applyWidthHeightFormats="0">
  <queryTableRefresh nextId="3">
    <queryTableFields count="2">
      <queryTableField id="1" name="Annual interest rate is paid on the entire  balance based on the tier within which the  daily account closing balance falls" tableColumnId="1"/>
      <queryTableField id="2" name="Annual Interest Rat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connectionId="8" xr16:uid="{3A8C2925-EF63-4E9F-B2D8-4DDFDA22257F}"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5" connectionId="9" xr16:uid="{61E1D145-91A6-48E6-A509-703071E91EF7}" autoFormatId="16" applyNumberFormats="0" applyBorderFormats="0" applyFontFormats="0" applyPatternFormats="0" applyAlignmentFormats="0" applyWidthHeightFormats="0">
  <queryTableRefresh nextId="3">
    <queryTableFields count="2">
      <queryTableField id="1" name="Highest rate will be paid on the entire balance  as it increases." tableColumnId="1"/>
      <queryTableField id="2" name="Annual 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6" connectionId="12" xr16:uid="{BB054858-B55B-4EBA-8E54-6570BA4B3A4C}" autoFormatId="16" applyNumberFormats="0" applyBorderFormats="0" applyFontFormats="0" applyPatternFormats="0" applyAlignmentFormats="0" applyWidthHeightFormats="0">
  <queryTableRefresh nextId="3">
    <queryTableFields count="2">
      <queryTableField id="1" name="Paid on the portion of the balance within each tier" tableColumnId="1"/>
      <queryTableField id="2" name="Annual Interest Rate*"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0" connectionId="36"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2" connectionId="3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emoveDataOnSave="1" connectionId="38" xr16:uid="{00000000-0016-0000-0F00-000012000000}" autoFormatId="16" applyNumberFormats="0" applyBorderFormats="0" applyFontFormats="0" applyPatternFormats="0" applyAlignmentFormats="0" applyWidthHeightFormats="0">
  <queryTableRefresh nextId="5">
    <queryTableFields count="2">
      <queryTableField id="3" name="Data.Column1" tableColumnId="3"/>
      <queryTableField id="4" name="Data.Column2" tableColumnId="4"/>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2" connectionId="30" xr16:uid="{E5758B4B-47BE-4E4F-A419-140D3961DE0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4" connectionId="16" xr16:uid="{A6DDD184-76DA-4686-937F-58657E28C079}" autoFormatId="16" applyNumberFormats="0" applyBorderFormats="0" applyFontFormats="0" applyPatternFormats="0" applyAlignmentFormats="0" applyWidthHeightFormats="0">
  <queryTableRefresh nextId="2">
    <queryTableFields count="1">
      <queryTableField id="1" name="Column1" tableColumnId="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3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3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1" connectionId="21"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1" connectionId="2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1" connectionId="2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50" dataDxfId="49">
  <autoFilter ref="A3:D7" xr:uid="{3B004F2E-6CE8-48E1-A8CC-1DA6CD38B36C}"/>
  <tableColumns count="4">
    <tableColumn id="1" xr3:uid="{19A4ADB4-65C8-405B-8D69-E238ABA928F0}" name="Date" dataDxfId="48"/>
    <tableColumn id="2" xr3:uid="{F6FEA65B-FF28-42C9-8CC9-61F4CED1B86F}" name="Summary of changes" dataDxfId="47"/>
    <tableColumn id="3" xr3:uid="{B7F57500-225B-47B0-ACC8-DA347AD03334}" name="Change Author" dataDxfId="46"/>
    <tableColumn id="4" xr3:uid="{F323205A-8543-43A5-8E3B-3D09061A12DB}" name="Author AD ID" dataDxfId="45"/>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44"/>
    <tableColumn id="2" xr3:uid="{DD1044A9-F59B-46D0-8718-6C3BDE63183C}" uniqueName="2" name="Data.Rate" queryTableFieldId="2" dataDxfId="4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42"/>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HISA__CTC" displayName="CIBC_HISA_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41"/>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A2:B26" tableType="queryTable" totalsRowShown="0">
  <autoFilter ref="A2:B26" xr:uid="{E85EAF5E-63B2-4399-A916-F370715F6655}"/>
  <tableColumns count="2">
    <tableColumn id="1" xr3:uid="{51690CEF-6BC1-453F-82A2-1DEEAD5AFEA3}" uniqueName="1" name="Account Balance" queryTableFieldId="3" dataDxfId="40"/>
    <tableColumn id="2" xr3:uid="{90994A7C-F3A1-4107-BCED-1502CEAAD65A}" uniqueName="2" name="Interest Rate" queryTableFieldId="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C29:G34" tableType="queryTable" totalsRowShown="0">
  <autoFilter ref="C29:G34" xr:uid="{444F1D8B-39D1-4A95-A72C-3A111B214915}"/>
  <tableColumns count="5">
    <tableColumn id="1" xr3:uid="{CA448CAE-AEDE-4476-A37A-80F3676BE0D5}" uniqueName="1" name="Account Name" queryTableFieldId="1" dataDxfId="39"/>
    <tableColumn id="2" xr3:uid="{5B7C4811-4C53-41A6-96BF-5389107C4D47}" uniqueName="2" name="Currency" queryTableFieldId="2" dataDxfId="38"/>
    <tableColumn id="3" xr3:uid="{734665F7-5DB2-40AD-BD3B-98FD29CBE168}" uniqueName="3" name="Minimum1" queryTableFieldId="3"/>
    <tableColumn id="4" xr3:uid="{BDB4B9A1-7155-498E-B2E8-661728BDEEFB}" uniqueName="4" name="Maximum" queryTableFieldId="4" dataDxfId="37"/>
    <tableColumn id="5" xr3:uid="{EAF93AB2-FE49-4E47-8DDA-D993804F05B9}" uniqueName="5" name="Current Rate2" queryTableFieldId="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B1D4FB5F-05F9-4994-A324-AB936E62B952}" name="TD_TFSA" displayName="TD_TFSA" ref="C39:D57" tableType="queryTable" totalsRowShown="0">
  <autoFilter ref="C39:D57" xr:uid="{3ADD0D14-F355-4459-9089-D96A5357280D}"/>
  <tableColumns count="2">
    <tableColumn id="1" xr3:uid="{3A7F1B7E-1FD3-45E8-A895-8D70EACE1A5B}" uniqueName="1" name="Column1" queryTableFieldId="1" dataDxfId="36"/>
    <tableColumn id="2" xr3:uid="{F49E277B-9897-44FE-A3C8-A0BA1BD10B59}" uniqueName="2" name="Column2" queryTableFieldId="2" dataDxfId="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borderless_rate" displayName="TD_USborderless_rate" ref="C61:D67" tableType="queryTable" totalsRowShown="0">
  <autoFilter ref="C61:D67" xr:uid="{FDF35094-1781-42E2-B6EF-9EFADE16F104}"/>
  <tableColumns count="2">
    <tableColumn id="3" xr3:uid="{B204F1AA-EC43-48CF-A194-CEA554FDF21D}" uniqueName="3" name="Account Balance" queryTableFieldId="3" dataDxfId="34"/>
    <tableColumn id="4" xr3:uid="{5AABEE2E-2BF3-4006-B415-E5BEAE632E5A}" uniqueName="4" name="Interest Rate" queryTableFieldId="4" dataDxfId="3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FF383DB-A126-4F48-A177-26E7F77021D3}" name="BNS_Momentum_Plus" displayName="BNS_Momentum_Plus" ref="B1:E6" tableType="queryTable" totalsRowShown="0">
  <autoFilter ref="B1:E6" xr:uid="{9CC6C43B-9D3A-4124-A822-8961026C936C}"/>
  <tableColumns count="4">
    <tableColumn id="1" xr3:uid="{375AE728-11B4-43BF-9FFB-0A55A255F46A}" uniqueName="1" name="The longer you save, the more interest you can earn" queryTableFieldId="1" dataDxfId="32"/>
    <tableColumn id="2" xr3:uid="{5EBD4C22-9C70-49F0-AA8F-EDEFF408A803}" uniqueName="2" name="Regular Interest Rate" queryTableFieldId="5"/>
    <tableColumn id="3" xr3:uid="{090CB481-8A17-4B21-A9D1-8E8F90F5527D}" uniqueName="3" name="Premium Interest Rate" queryTableFieldId="3" dataDxfId="31"/>
    <tableColumn id="4" xr3:uid="{BAD1B7C8-CE0A-43B9-B7CA-6F9630FAF99C}" uniqueName="4" name="Total Annual Interest Rate" queryTableFieldId="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92F81260-15F6-412A-883C-D472C1A2286F}" name="BNS_Momentum" displayName="BNS_Momentum" ref="B8:F10" tableType="queryTable" totalsRowShown="0">
  <autoFilter ref="B8:F10" xr:uid="{7326D81E-6446-43F2-B619-FD84D031D92A}"/>
  <tableColumns count="5">
    <tableColumn id="1" xr3:uid="{2DE88D31-3106-4AEE-ABCE-DB007608772A}" uniqueName="1" name="Higher rate will be paid on the entire balance if the balance exceeds $5,000" queryTableFieldId="1" dataDxfId="30"/>
    <tableColumn id="2" xr3:uid="{E6B6D06F-2AB6-4057-8119-0C921B658919}" uniqueName="2" name="Regular Interest Rate" queryTableFieldId="2"/>
    <tableColumn id="3" xr3:uid="{1695DA5E-D5ED-4E48-A800-0D1D486B3167}" uniqueName="3" name="Momentum Savings Premium‡" queryTableFieldId="3" dataDxfId="29"/>
    <tableColumn id="5" xr3:uid="{3CD70826-D909-4381-86A3-363CB34675D6}" uniqueName="5" name="Column1" queryTableFieldId="5" dataDxfId="28"/>
    <tableColumn id="4" xr3:uid="{339B068B-F20B-4633-AD0E-D4C07F53D115}" uniqueName="4" name="Total Annual Interest Rate" queryTableFieldId="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700D1317-E8E4-4A7A-B618-6114ADA2FFA9}" name="BNS_Money_Master" displayName="BNS_Money_Master" ref="B12:C14" tableType="queryTable" totalsRowShown="0">
  <autoFilter ref="B12:C14" xr:uid="{625CAA77-D410-4FD8-8CC6-B9DCD1D8E5E2}"/>
  <tableColumns count="2">
    <tableColumn id="1" xr3:uid="{E2A59F03-C636-46E7-91A5-37C361E21925}" uniqueName="1" name="Annual interest rate is paid on the entire  balance based on the tier within which the  daily account closing balance falls" queryTableFieldId="1" dataDxfId="27"/>
    <tableColumn id="2" xr3:uid="{AC6639EB-1AF6-4971-B9CA-071109097079}" uniqueName="2" name="Annual Interest Rate*" queryTableFieldId="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BCBD98F5-83A5-42C8-B2BF-595C062EC6B4}" name="BNS_Savings_Accelerator" displayName="BNS_Savings_Accelerator" ref="B16:C19" tableType="queryTable" totalsRowShown="0">
  <autoFilter ref="B16:C19" xr:uid="{FB22FE9D-B61E-4767-90FD-DFAFFFA360FA}"/>
  <tableColumns count="2">
    <tableColumn id="1" xr3:uid="{522B843E-0C39-477F-AA00-B8E85FEB0ACF}" uniqueName="1" name="Highest rate will be paid on the entire balance  as it increases." queryTableFieldId="1" dataDxfId="26"/>
    <tableColumn id="2" xr3:uid="{6BF8C3CA-CEA3-4929-BD26-61CD797137C7}" uniqueName="2" name="Annual Interest Rate*"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5CD5E97A-DA21-4756-BF27-4F80DC2F2E64}" name="BNS_Savings_Accelerator_TFSA" displayName="BNS_Savings_Accelerator_TFSA" ref="B21:C23" tableType="queryTable" totalsRowShown="0">
  <autoFilter ref="B21:C23" xr:uid="{E1171AB9-378C-41E3-9DDD-48116C34A04B}"/>
  <tableColumns count="2">
    <tableColumn id="1" xr3:uid="{D3DBE3ED-7F10-45A5-975A-AF98BB6E2705}" uniqueName="1" name="Highest rate will be paid on the entire balance  as it increases." queryTableFieldId="1" dataDxfId="25"/>
    <tableColumn id="2" xr3:uid="{87D11132-1598-468F-A6C6-8DDA1F9FE136}" uniqueName="2" name="Annual Interest Rate*" queryTableFieldId="2"/>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E8B42D85-E3D4-4178-8EED-DE278533A109}" name="BNS_US_Dollar_Daily_Interest" displayName="BNS_US_Dollar_Daily_Interest" ref="B25:C31" tableType="queryTable" totalsRowShown="0">
  <autoFilter ref="B25:C31" xr:uid="{207D04B3-1376-44F9-91D0-051133DC221A}"/>
  <tableColumns count="2">
    <tableColumn id="1" xr3:uid="{3CE8C1F7-CDD3-479E-8E4A-9F47B67041F9}" uniqueName="1" name="Paid on the portion of the balance within each tier" queryTableFieldId="1" dataDxfId="24"/>
    <tableColumn id="2" xr3:uid="{A12A3463-4BE8-40D6-88B7-1C2715A07143}" uniqueName="2" name="Annual Interest Rate*"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4:D36" tableType="queryTable" totalsRowShown="0">
  <autoFilter ref="B34:D36" xr:uid="{A50031B5-9512-470D-8510-E74A796EAD90}"/>
  <tableColumns count="3">
    <tableColumn id="1" xr3:uid="{8BC815CA-1F9B-4E2B-9D8A-99534CCE0B27}" uniqueName="1" name="Accounts" queryTableFieldId="1" dataDxfId="23"/>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2"/>
    <tableColumn id="2" xr3:uid="{CD0A7C5C-0993-4626-9697-6BED170C551F}" uniqueName="2" name="Interest Rate [%]" queryTableFieldId="2" dataDxfId="2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E167" tableType="queryTable" totalsRowShown="0">
  <autoFilter ref="B161:E167" xr:uid="{B4BA52D1-2456-4760-B228-111031831AA6}"/>
  <tableColumns count="4">
    <tableColumn id="1" xr3:uid="{5E93972D-014C-4E1C-8AB4-1BF2148E9BC7}" uniqueName="1" name="Interest Rates(3)" queryTableFieldId="1" dataDxfId="20"/>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CD1845-86B6-4B50-AE33-D5A038BD9613}" name="Simplii_Rates" displayName="Simplii_Rates" ref="B1:C59" tableType="queryTable" totalsRowShown="0">
  <autoFilter ref="B1:C59" xr:uid="{135F4A14-8BFF-49B1-96A3-EBFB90126498}"/>
  <tableColumns count="2">
    <tableColumn id="3" xr3:uid="{D91DB752-87AC-4284-B58A-A37AA5B066DE}" uniqueName="3" name="Data.Column1" queryTableFieldId="3"/>
    <tableColumn id="4" xr3:uid="{815473CC-B804-47AB-8D2F-B32CEB0851DC}" uniqueName="4" name="Data.Column2"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dvantage_Accounts" displayName="Manulife_Advantage_Accounts" ref="C1:D4" tableType="queryTable" totalsRowShown="0">
  <autoFilter ref="C1:D4" xr:uid="{002542F2-2372-416A-8226-3BEBA4F7E330}"/>
  <tableColumns count="2">
    <tableColumn id="1" xr3:uid="{3A6D4A0B-EBD6-4216-A672-BFD2BC1DFAF5}" uniqueName="1" name="Account" queryTableFieldId="1" dataDxfId="19"/>
    <tableColumn id="2" xr3:uid="{1C664E64-3B1D-4B6F-B067-F394E342CE45}" uniqueName="2" name="Interest Rate" queryTableFieldId="2" dataDxfId="18"/>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Column1" displayName="Column1" ref="D8:D9" tableType="queryTable" totalsRowShown="0" headerRowDxfId="17">
  <autoFilter ref="D8:D9" xr:uid="{D257129C-35DF-4934-ADD7-2E00150C437A}"/>
  <tableColumns count="1">
    <tableColumn id="1" xr3:uid="{DC790A33-65D0-4AC2-8E47-B62BD5CBDA42}" uniqueName="1" name="Column1" queryTableFieldId="1" dataDxfId="16"/>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5"/>
    <tableColumn id="2" xr3:uid="{9BF66593-4977-46DD-B473-78BB7231D59D}" uniqueName="2" name="Rate" queryTableFieldId="5"/>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A1:B5" tableType="queryTable" totalsRowShown="0">
  <autoFilter ref="A1:B5" xr:uid="{A06E8E82-AD6A-47D3-917D-E52E53C8D099}"/>
  <tableColumns count="2">
    <tableColumn id="1" xr3:uid="{E2486B71-097C-480C-8D5B-30A0D71FDBDD}" uniqueName="1" name="Daily closing balance" queryTableFieldId="3" dataDxfId="14"/>
    <tableColumn id="2" xr3:uid="{C5FFA56D-7123-4FD4-98A8-7D3A57DF978E}" uniqueName="2" name="CAD High Rate Saving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2"/>
    <tableColumn id="2" xr3:uid="{D2046F38-483B-420D-B944-6BCD7B2B4D92}" uniqueName="2" name="Column2" queryTableFieldId="10" dataDxfId="11"/>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0"/>
    <tableColumn id="3" xr3:uid="{D2622B16-D1C8-4760-8BD0-953D9FAFA8F1}" uniqueName="3" name="Get Started" queryTableFieldId="3" dataDxfId="9"/>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8"/>
    <tableColumn id="2" xr3:uid="{E833CA69-9186-43DA-874F-48DEFE4DA80F}" uniqueName="2" name="Column2" queryTableFieldId="2" dataDxfId="7"/>
    <tableColumn id="3" xr3:uid="{B093F79F-8E4B-49FF-A371-4731884C2E1B}" uniqueName="3" name="Column3" queryTableFieldId="3" dataDxfId="6"/>
    <tableColumn id="4" xr3:uid="{785FF59B-0966-4865-9D07-9033DADA44AF}" uniqueName="4" name="Column4" queryTableFieldId="4" dataDxfId="5"/>
    <tableColumn id="5" xr3:uid="{C61AE777-3A15-4C02-9B1F-136299A5FAC7}" uniqueName="5" name="Column5" queryTableFieldId="5" dataDxfId="4"/>
    <tableColumn id="6" xr3:uid="{FC09C788-CCE1-4C6F-81DC-01AAACC99B7F}" uniqueName="6" name="Column6" queryTableFieldId="6" dataDxfId="3"/>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2" dataCellStyle="Percent">
  <autoFilter ref="B1:B2" xr:uid="{C980BFDA-0405-401E-BCEB-26B225E26F58}"/>
  <tableColumns count="1">
    <tableColumn id="2" xr3:uid="{DE60F904-8EBC-4F28-A839-8683A0C60CD6}" uniqueName="2" name="Rate" queryTableFieldId="2" dataDxfId="1" dataCellStyle="Percent"/>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table" Target="../tables/table6.xml"/><Relationship Id="rId4" Type="http://schemas.openxmlformats.org/officeDocument/2006/relationships/table" Target="../tables/table9.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printerSettings" Target="../printerSettings/printerSettings6.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table" Target="../tables/table2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3"/>
  <sheetViews>
    <sheetView tabSelected="1" workbookViewId="0"/>
  </sheetViews>
  <sheetFormatPr defaultRowHeight="15" outlineLevelCol="1" x14ac:dyDescent="0.25"/>
  <cols>
    <col min="1" max="1" width="9.140625" style="22"/>
    <col min="2" max="2" width="80.7109375" style="22" customWidth="1"/>
    <col min="3" max="3" width="9.140625" style="22"/>
    <col min="4" max="4" width="6.140625" style="22" customWidth="1"/>
    <col min="5" max="5" width="12" style="41" customWidth="1" outlineLevel="1"/>
    <col min="6" max="6" width="40.5703125" style="22" customWidth="1" outlineLevel="1"/>
    <col min="7" max="7" width="7.7109375" style="22" bestFit="1" customWidth="1" outlineLevel="1"/>
    <col min="8" max="8" width="14.7109375" style="22" bestFit="1" customWidth="1" outlineLevel="1"/>
    <col min="9" max="9" width="75.5703125" style="22" customWidth="1" outlineLevel="1"/>
    <col min="10" max="16384" width="9.140625" style="22"/>
  </cols>
  <sheetData>
    <row r="3" spans="2:9" ht="28.5" x14ac:dyDescent="0.25">
      <c r="B3" s="23" t="s">
        <v>312</v>
      </c>
      <c r="E3" s="85" t="s">
        <v>304</v>
      </c>
      <c r="F3" s="86"/>
      <c r="G3" s="86"/>
      <c r="H3" s="86"/>
      <c r="I3" s="87"/>
    </row>
    <row r="4" spans="2:9" x14ac:dyDescent="0.25">
      <c r="B4" s="24"/>
      <c r="E4" s="24" t="s">
        <v>305</v>
      </c>
      <c r="F4" s="24" t="s">
        <v>306</v>
      </c>
      <c r="G4" s="24" t="s">
        <v>307</v>
      </c>
      <c r="H4" s="24" t="s">
        <v>412</v>
      </c>
      <c r="I4" s="24" t="s">
        <v>308</v>
      </c>
    </row>
    <row r="5" spans="2:9" x14ac:dyDescent="0.25">
      <c r="B5" s="35" t="s">
        <v>214</v>
      </c>
      <c r="E5" s="41">
        <v>0</v>
      </c>
      <c r="F5" s="22" t="s">
        <v>387</v>
      </c>
      <c r="G5" s="22" t="s">
        <v>309</v>
      </c>
      <c r="H5" s="22">
        <v>16</v>
      </c>
    </row>
    <row r="6" spans="2:9" x14ac:dyDescent="0.25">
      <c r="B6" s="36"/>
      <c r="E6" s="41">
        <v>1</v>
      </c>
      <c r="F6" s="22" t="s">
        <v>515</v>
      </c>
      <c r="G6" s="22" t="s">
        <v>309</v>
      </c>
      <c r="H6" s="22">
        <v>1</v>
      </c>
    </row>
    <row r="7" spans="2:9" x14ac:dyDescent="0.25">
      <c r="B7" s="37"/>
      <c r="E7" s="41">
        <v>2</v>
      </c>
      <c r="F7" s="22" t="s">
        <v>550</v>
      </c>
      <c r="G7" s="22" t="s">
        <v>309</v>
      </c>
      <c r="H7" s="22">
        <v>0</v>
      </c>
    </row>
    <row r="8" spans="2:9" x14ac:dyDescent="0.25">
      <c r="B8" s="38"/>
      <c r="E8" s="41">
        <v>3</v>
      </c>
      <c r="F8" s="22" t="s">
        <v>390</v>
      </c>
      <c r="G8" s="22" t="s">
        <v>309</v>
      </c>
      <c r="H8" s="22">
        <v>15</v>
      </c>
    </row>
    <row r="9" spans="2:9" x14ac:dyDescent="0.25">
      <c r="B9" s="39"/>
      <c r="E9" s="41">
        <v>4</v>
      </c>
      <c r="F9" s="22" t="s">
        <v>388</v>
      </c>
      <c r="G9" s="22" t="s">
        <v>309</v>
      </c>
      <c r="H9" s="22">
        <v>14</v>
      </c>
    </row>
    <row r="10" spans="2:9" x14ac:dyDescent="0.25">
      <c r="B10" s="35" t="s">
        <v>215</v>
      </c>
      <c r="E10" s="41">
        <v>5</v>
      </c>
      <c r="F10" s="22" t="s">
        <v>310</v>
      </c>
      <c r="G10" s="22" t="s">
        <v>309</v>
      </c>
      <c r="H10" s="22">
        <v>7</v>
      </c>
    </row>
    <row r="11" spans="2:9" x14ac:dyDescent="0.25">
      <c r="B11" s="36"/>
      <c r="E11" s="41">
        <v>6</v>
      </c>
      <c r="F11" s="22" t="s">
        <v>389</v>
      </c>
      <c r="G11" s="22" t="s">
        <v>309</v>
      </c>
      <c r="H11" s="22">
        <v>41</v>
      </c>
    </row>
    <row r="12" spans="2:9" x14ac:dyDescent="0.25">
      <c r="B12" s="37"/>
      <c r="E12" s="41">
        <v>7</v>
      </c>
      <c r="F12" s="22" t="s">
        <v>516</v>
      </c>
      <c r="G12" s="22" t="s">
        <v>309</v>
      </c>
      <c r="H12" s="22">
        <v>32</v>
      </c>
    </row>
    <row r="13" spans="2:9" x14ac:dyDescent="0.25">
      <c r="B13" s="37"/>
      <c r="E13" s="41">
        <v>8</v>
      </c>
      <c r="F13" s="22" t="s">
        <v>406</v>
      </c>
      <c r="G13" s="22" t="s">
        <v>487</v>
      </c>
      <c r="H13" s="22">
        <v>32</v>
      </c>
      <c r="I13" s="22" t="s">
        <v>551</v>
      </c>
    </row>
    <row r="14" spans="2:9" x14ac:dyDescent="0.25">
      <c r="B14" s="37"/>
      <c r="E14" s="41">
        <v>9</v>
      </c>
      <c r="F14" s="22" t="s">
        <v>407</v>
      </c>
      <c r="G14" s="22" t="s">
        <v>309</v>
      </c>
      <c r="H14" s="22">
        <v>48</v>
      </c>
    </row>
    <row r="15" spans="2:9" x14ac:dyDescent="0.25">
      <c r="B15" s="37"/>
      <c r="E15" s="41">
        <v>10</v>
      </c>
      <c r="F15" s="22" t="s">
        <v>408</v>
      </c>
      <c r="G15" s="22" t="s">
        <v>309</v>
      </c>
      <c r="H15" s="22">
        <v>48</v>
      </c>
    </row>
    <row r="16" spans="2:9" x14ac:dyDescent="0.25">
      <c r="B16" s="37"/>
      <c r="E16" s="41">
        <v>11</v>
      </c>
      <c r="F16" s="22" t="s">
        <v>409</v>
      </c>
      <c r="G16" s="22" t="s">
        <v>309</v>
      </c>
      <c r="H16" s="22">
        <v>48</v>
      </c>
    </row>
    <row r="17" spans="2:9" x14ac:dyDescent="0.25">
      <c r="B17" s="39"/>
      <c r="E17" s="41">
        <v>12</v>
      </c>
      <c r="F17" s="22" t="s">
        <v>410</v>
      </c>
      <c r="G17" s="22" t="s">
        <v>309</v>
      </c>
      <c r="H17" s="22">
        <v>48</v>
      </c>
    </row>
    <row r="18" spans="2:9" x14ac:dyDescent="0.25">
      <c r="B18" s="35" t="s">
        <v>216</v>
      </c>
      <c r="E18" s="41">
        <v>13</v>
      </c>
      <c r="F18" s="22" t="s">
        <v>411</v>
      </c>
      <c r="G18" s="22" t="s">
        <v>309</v>
      </c>
      <c r="H18" s="22">
        <v>48</v>
      </c>
    </row>
    <row r="19" spans="2:9" x14ac:dyDescent="0.25">
      <c r="B19" s="36"/>
      <c r="E19" s="41">
        <v>14</v>
      </c>
      <c r="F19" s="22" t="s">
        <v>552</v>
      </c>
      <c r="G19" s="22" t="s">
        <v>487</v>
      </c>
      <c r="H19" s="22">
        <v>101</v>
      </c>
      <c r="I19" s="22" t="s">
        <v>520</v>
      </c>
    </row>
    <row r="20" spans="2:9" x14ac:dyDescent="0.25">
      <c r="B20" s="37"/>
      <c r="E20" s="41">
        <v>15</v>
      </c>
      <c r="F20" s="22" t="s">
        <v>554</v>
      </c>
      <c r="G20" s="22" t="s">
        <v>309</v>
      </c>
      <c r="H20" s="22">
        <v>4</v>
      </c>
    </row>
    <row r="21" spans="2:9" x14ac:dyDescent="0.25">
      <c r="B21" s="37"/>
      <c r="E21" s="41">
        <v>16</v>
      </c>
      <c r="F21" s="22" t="s">
        <v>555</v>
      </c>
      <c r="G21" s="22" t="s">
        <v>309</v>
      </c>
      <c r="H21" s="22">
        <v>5</v>
      </c>
    </row>
    <row r="22" spans="2:9" x14ac:dyDescent="0.25">
      <c r="B22" s="37"/>
      <c r="E22" s="41">
        <v>17</v>
      </c>
      <c r="F22" s="22" t="s">
        <v>556</v>
      </c>
      <c r="G22" s="22" t="s">
        <v>309</v>
      </c>
      <c r="H22" s="22">
        <v>7</v>
      </c>
    </row>
    <row r="23" spans="2:9" x14ac:dyDescent="0.25">
      <c r="B23" s="38"/>
      <c r="E23" s="41">
        <v>18</v>
      </c>
      <c r="F23" s="22" t="s">
        <v>559</v>
      </c>
      <c r="G23" s="22" t="s">
        <v>309</v>
      </c>
      <c r="H23" s="22">
        <v>8</v>
      </c>
    </row>
    <row r="24" spans="2:9" x14ac:dyDescent="0.25">
      <c r="B24" s="40"/>
      <c r="E24" s="41">
        <v>19</v>
      </c>
      <c r="F24" s="22" t="s">
        <v>62</v>
      </c>
      <c r="G24" s="22" t="s">
        <v>309</v>
      </c>
      <c r="H24" s="22">
        <v>1</v>
      </c>
    </row>
    <row r="25" spans="2:9" x14ac:dyDescent="0.25">
      <c r="E25" s="41">
        <v>20</v>
      </c>
      <c r="F25" s="22" t="s">
        <v>560</v>
      </c>
      <c r="G25" s="22" t="s">
        <v>309</v>
      </c>
      <c r="H25" s="22">
        <v>7</v>
      </c>
    </row>
    <row r="26" spans="2:9" x14ac:dyDescent="0.25">
      <c r="E26" s="41">
        <v>21</v>
      </c>
      <c r="F26" s="22" t="s">
        <v>561</v>
      </c>
      <c r="G26" s="22" t="s">
        <v>309</v>
      </c>
      <c r="H26" s="22">
        <v>6</v>
      </c>
    </row>
    <row r="27" spans="2:9" x14ac:dyDescent="0.25">
      <c r="E27" s="41">
        <v>22</v>
      </c>
      <c r="F27" s="22" t="s">
        <v>562</v>
      </c>
      <c r="G27" s="22" t="s">
        <v>309</v>
      </c>
      <c r="H27" s="22">
        <v>100</v>
      </c>
    </row>
    <row r="28" spans="2:9" x14ac:dyDescent="0.25">
      <c r="E28" s="41">
        <v>23</v>
      </c>
      <c r="F28" s="22" t="s">
        <v>563</v>
      </c>
      <c r="G28" s="22" t="s">
        <v>309</v>
      </c>
      <c r="H28" s="22">
        <v>4</v>
      </c>
    </row>
    <row r="29" spans="2:9" x14ac:dyDescent="0.25">
      <c r="E29" s="41">
        <v>24</v>
      </c>
      <c r="F29" s="22" t="s">
        <v>564</v>
      </c>
      <c r="G29" s="22" t="s">
        <v>309</v>
      </c>
      <c r="H29" s="22">
        <v>6</v>
      </c>
    </row>
    <row r="30" spans="2:9" x14ac:dyDescent="0.25">
      <c r="E30" s="41">
        <v>25</v>
      </c>
      <c r="F30" s="22" t="s">
        <v>565</v>
      </c>
      <c r="G30" s="22" t="s">
        <v>309</v>
      </c>
      <c r="H30" s="22">
        <v>12</v>
      </c>
    </row>
    <row r="31" spans="2:9" x14ac:dyDescent="0.25">
      <c r="E31" s="41">
        <v>26</v>
      </c>
      <c r="F31" s="22" t="s">
        <v>566</v>
      </c>
      <c r="G31" s="22" t="s">
        <v>309</v>
      </c>
      <c r="H31" s="22">
        <v>7</v>
      </c>
    </row>
    <row r="32" spans="2:9" x14ac:dyDescent="0.25">
      <c r="E32" s="41">
        <v>27</v>
      </c>
      <c r="F32" s="22" t="s">
        <v>569</v>
      </c>
      <c r="G32" s="22" t="s">
        <v>309</v>
      </c>
      <c r="H32" s="22">
        <v>18</v>
      </c>
    </row>
    <row r="33" spans="5:8" x14ac:dyDescent="0.25">
      <c r="E33" s="41">
        <v>28</v>
      </c>
      <c r="F33" s="22" t="s">
        <v>570</v>
      </c>
      <c r="G33" s="22" t="s">
        <v>309</v>
      </c>
      <c r="H33" s="22">
        <v>23</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7" zoomScale="85" zoomScaleNormal="85" workbookViewId="0">
      <selection activeCell="H11" sqref="H1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3.42578125" bestFit="1" customWidth="1"/>
    <col min="27" max="27" width="10" bestFit="1" customWidth="1"/>
  </cols>
  <sheetData>
    <row r="1" spans="1:28" ht="25.5" x14ac:dyDescent="0.35">
      <c r="A1" s="50"/>
      <c r="B1" s="50"/>
      <c r="C1" s="50"/>
      <c r="D1" s="50"/>
      <c r="E1" s="50"/>
      <c r="F1" s="50"/>
      <c r="G1" s="50"/>
      <c r="H1" s="50"/>
      <c r="I1" s="50"/>
      <c r="J1" s="50"/>
      <c r="K1" s="50"/>
      <c r="L1" s="50"/>
      <c r="M1" s="50"/>
      <c r="N1" s="50"/>
      <c r="O1" s="50"/>
      <c r="P1" s="50"/>
      <c r="Q1" s="50"/>
      <c r="R1" s="50"/>
      <c r="S1" s="50"/>
      <c r="T1" s="50"/>
      <c r="U1" s="50"/>
      <c r="V1" s="50"/>
      <c r="W1" s="3"/>
      <c r="X1" s="3"/>
      <c r="Y1" s="3"/>
      <c r="Z1" s="3"/>
      <c r="AA1" s="3"/>
      <c r="AB1" s="3"/>
    </row>
    <row r="2" spans="1:28" ht="25.5" x14ac:dyDescent="0.35">
      <c r="A2" s="3"/>
      <c r="B2" s="83"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49" t="s">
        <v>485</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84" t="s">
        <v>548</v>
      </c>
      <c r="Y8" s="3"/>
      <c r="Z8" s="3"/>
      <c r="AA8" s="3"/>
      <c r="AB8" s="3"/>
    </row>
    <row r="9" spans="1:28" x14ac:dyDescent="0.25">
      <c r="A9" s="51"/>
      <c r="B9" s="52" t="s">
        <v>1</v>
      </c>
      <c r="C9" s="52" t="s">
        <v>1</v>
      </c>
      <c r="D9" s="52" t="s">
        <v>1</v>
      </c>
      <c r="E9" s="52" t="s">
        <v>2</v>
      </c>
      <c r="F9" s="52" t="s">
        <v>2</v>
      </c>
      <c r="G9" s="52" t="s">
        <v>2</v>
      </c>
      <c r="H9" s="52" t="s">
        <v>3</v>
      </c>
      <c r="I9" s="52" t="s">
        <v>3</v>
      </c>
      <c r="J9" s="52" t="s">
        <v>4</v>
      </c>
      <c r="K9" s="52" t="s">
        <v>5</v>
      </c>
      <c r="L9" s="52" t="s">
        <v>5</v>
      </c>
      <c r="M9" s="52" t="s">
        <v>5</v>
      </c>
      <c r="N9" s="52" t="s">
        <v>6</v>
      </c>
      <c r="O9" s="52" t="s">
        <v>6</v>
      </c>
      <c r="P9" s="52" t="s">
        <v>6</v>
      </c>
      <c r="Q9" s="52" t="s">
        <v>324</v>
      </c>
      <c r="R9" s="52" t="s">
        <v>7</v>
      </c>
      <c r="S9" s="52" t="s">
        <v>8</v>
      </c>
      <c r="T9" s="52" t="s">
        <v>9</v>
      </c>
      <c r="U9" s="52" t="s">
        <v>10</v>
      </c>
      <c r="V9" s="52" t="s">
        <v>11</v>
      </c>
      <c r="W9" s="52" t="s">
        <v>12</v>
      </c>
      <c r="X9" s="52" t="s">
        <v>14</v>
      </c>
      <c r="Y9" s="52" t="s">
        <v>15</v>
      </c>
      <c r="Z9" s="53" t="s">
        <v>16</v>
      </c>
    </row>
    <row r="10" spans="1:28" ht="51.75" x14ac:dyDescent="0.25">
      <c r="A10" s="54"/>
      <c r="B10" s="55" t="s">
        <v>17</v>
      </c>
      <c r="C10" s="55" t="s">
        <v>18</v>
      </c>
      <c r="D10" s="55" t="s">
        <v>19</v>
      </c>
      <c r="E10" s="55" t="s">
        <v>20</v>
      </c>
      <c r="F10" s="55" t="s">
        <v>21</v>
      </c>
      <c r="G10" s="55" t="s">
        <v>22</v>
      </c>
      <c r="H10" s="55" t="s">
        <v>414</v>
      </c>
      <c r="I10" s="55" t="s">
        <v>416</v>
      </c>
      <c r="J10" s="55" t="s">
        <v>417</v>
      </c>
      <c r="K10" s="55" t="s">
        <v>418</v>
      </c>
      <c r="L10" s="55" t="s">
        <v>419</v>
      </c>
      <c r="M10" s="55" t="s">
        <v>23</v>
      </c>
      <c r="N10" s="55" t="s">
        <v>420</v>
      </c>
      <c r="O10" s="55" t="s">
        <v>421</v>
      </c>
      <c r="P10" s="55" t="s">
        <v>24</v>
      </c>
      <c r="Q10" s="55" t="s">
        <v>422</v>
      </c>
      <c r="R10" s="55" t="s">
        <v>21</v>
      </c>
      <c r="S10" s="55" t="s">
        <v>423</v>
      </c>
      <c r="T10" s="55" t="s">
        <v>25</v>
      </c>
      <c r="U10" s="55" t="s">
        <v>26</v>
      </c>
      <c r="V10" s="55" t="s">
        <v>27</v>
      </c>
      <c r="W10" s="55" t="s">
        <v>28</v>
      </c>
      <c r="X10" s="55" t="s">
        <v>29</v>
      </c>
      <c r="Y10" s="55" t="s">
        <v>30</v>
      </c>
      <c r="Z10" s="56" t="s">
        <v>31</v>
      </c>
    </row>
    <row r="11" spans="1:28" x14ac:dyDescent="0.25">
      <c r="A11" s="48" t="s">
        <v>502</v>
      </c>
      <c r="B11" s="48">
        <f>INDEX(CIBC_rates!$B$2:$E$3,MATCH(VALUE(LEFT(A11,FIND(" ",A11)-1)),CIBC_rates!$E$2:$E$3,1),2)*100</f>
        <v>1</v>
      </c>
      <c r="C11" s="47">
        <f>INDEX(CIBC_rates!$B$4:$E$5,MATCH(VALUE(LEFT(A11,FIND(" ",A11)-1)),CIBC_rates!$E$4:$E$5,1),2)*100</f>
        <v>0.1</v>
      </c>
      <c r="D11" s="47">
        <f>INDEX(CIBC_rates!$B$6:$E$6,MATCH(VALUE(LEFT(A11,FIND(" ",A11)-1)),CIBC_rates!$E$6:$E$6,1),2)*100</f>
        <v>0.05</v>
      </c>
      <c r="E11" s="47">
        <f>INDEX(TD_rates!$A$4:$D$9,MATCH(VALUE(LEFT(A11,FIND(" ",A11)-1)),TD_rates!$D$4:$D$9,1),2)*100</f>
        <v>0.05</v>
      </c>
      <c r="F11" s="46">
        <f>INDEX(TD_rates!$A$11:$D$16,MATCH(VALUE(LEFT(A11,FIND(" ",A11)-1)),TD_rates!$D$11:$D$16,1),2)*100</f>
        <v>0.5</v>
      </c>
      <c r="G11" s="48">
        <f>INDEX(TD_rates!$A$18:$D$23,MATCH(VALUE(LEFT(A11,FIND(" ",A11)-1)),TD_rates!$D$18:$D$23,1),2)*100</f>
        <v>1.05</v>
      </c>
      <c r="H11" s="46">
        <f>INDEX(BMO_rates!$B$2:$E$4,MATCH(VALUE(LEFT(A11,FIND(" ",A11)-1)),BMO_rates!$E$2:$E$4,1),2)*100</f>
        <v>0.2</v>
      </c>
      <c r="I11" s="48">
        <f>INDEX(BMO_rates!$B$5:$E$6,MATCH(VALUE(LEFT(A11,FIND(" ",A11)-1)),BMO_rates!$E$5:$E$6,1),2)*100</f>
        <v>0.8</v>
      </c>
      <c r="J11" s="46">
        <f>INDEX(BMO_rates!$B$7:$E$8,MATCH(VALUE(LEFT(A11,FIND(" ",A11)-1)),BMO_rates!$E$7:$E$8,1),2)*100</f>
        <v>0.05</v>
      </c>
      <c r="K11" s="46" t="str">
        <f>(BNS_Rates!$C$2)*100 &amp; " + " &amp; (BNS_Rates!$D$3)*100 &amp; ", "&amp; (BNS_Rates!$D$4)*100 &amp; ", "&amp; (BNS_Rates!$D$5)*100 &amp; ", "&amp; (BNS_Rates!$D$6)*100</f>
        <v>1 + 0.6, 0.7, 0.85, 1</v>
      </c>
      <c r="L11" s="46">
        <f>INDEX(BNS_Rates!$B$13:$H$14,MATCH(VALUE(LEFT(A11,FIND(" ",A11)-1)),BNS_Rates!$H$13:$H$14,1),2)*100</f>
        <v>0.05</v>
      </c>
      <c r="M11" s="46">
        <f>INDEX(BNS_Rates!$B$17:$H$19,MATCH(VALUE(LEFT(A11,FIND(" ",A11)-1)),BNS_Rates!$H$17:$H$19,1),2)*100</f>
        <v>1.0999999999999999</v>
      </c>
      <c r="N11" s="48" t="str">
        <f>INDEX(RBC_Rates!$B$158:$E$158,MATCH(VALUE(LEFT(A11,FIND(" ",A11)-1)),RBC_Rates!$E$158,1),2)</f>
        <v>1.000</v>
      </c>
      <c r="O11" s="48" t="str">
        <f>INDEX(RBC_Rates!$B$150:$E$157,MATCH(VALUE(LEFT(A11,FIND(" ",A11)-1)),RBC_Rates!$E$150:$E$157,1),2)</f>
        <v>0.150 P</v>
      </c>
      <c r="P11" s="48" t="str">
        <f>INDEX(RBC_Rates!$B$146:$E$149,MATCH(VALUE(LEFT(A11,FIND(" ",A11)-1)),RBC_Rates!$E$146:$E$149,1),2)</f>
        <v>0.010 P</v>
      </c>
      <c r="Q11" s="48">
        <v>1.1499999999999999</v>
      </c>
      <c r="R11" s="48" t="str">
        <f>Simplii_rates!$C$11</f>
        <v>1.15%</v>
      </c>
      <c r="S11" s="47">
        <f>LEFT((ICICI_rates!$B$3),5)*100</f>
        <v>1.6</v>
      </c>
      <c r="T11" s="47">
        <f>(NBC_rates!$C$28)*100</f>
        <v>1</v>
      </c>
      <c r="U11" s="48">
        <f>(Manulife_rates!$D$2)*100</f>
        <v>1.2</v>
      </c>
      <c r="V11" s="46">
        <f>(HSBC_rates!$B$5)*100</f>
        <v>1.1499999999999999</v>
      </c>
      <c r="W11" s="46">
        <f>(CT_rates!$B$2)*100</f>
        <v>1.5</v>
      </c>
      <c r="X11" s="46">
        <f>(BNS_Rates!$C$35)*100</f>
        <v>0.25</v>
      </c>
      <c r="Y11" s="48">
        <f>(Meridian_rates!$A$2)*100</f>
        <v>2.85</v>
      </c>
      <c r="Z11" s="10">
        <f>(EQ_rates!$B$2)*100</f>
        <v>2.2999999999999998</v>
      </c>
    </row>
    <row r="12" spans="1:28" x14ac:dyDescent="0.25">
      <c r="A12" s="46" t="s">
        <v>503</v>
      </c>
      <c r="B12" s="46">
        <f>INDEX(CIBC_rates!$B$2:$E$3,MATCH(VALUE(LEFT(A12,FIND(" ",A12)-1)),CIBC_rates!$E$2:$E$3,1),2)*100</f>
        <v>1</v>
      </c>
      <c r="C12" s="47">
        <f>INDEX(CIBC_rates!$B$4:$E$5,MATCH(VALUE(LEFT(A12,FIND(" ",A12)-1)),CIBC_rates!$E$4:$E$5,1),2)*100</f>
        <v>0.1</v>
      </c>
      <c r="D12" s="47">
        <f>INDEX(CIBC_rates!$B$6:$E$6,MATCH(VALUE(LEFT(A12,FIND(" ",A12)-1)),CIBC_rates!$E$6:$E$6,1),2)*100</f>
        <v>0.05</v>
      </c>
      <c r="E12" s="47">
        <f>INDEX(TD_rates!$A$4:$D$9,MATCH(VALUE(LEFT(A12,FIND(" ",A12)-1)),TD_rates!$D$4:$D$9,1),2)*100</f>
        <v>0.05</v>
      </c>
      <c r="F12" s="46">
        <f>INDEX(TD_rates!$A$11:$D$16,MATCH(VALUE(LEFT(A12,FIND(" ",A12)-1)),TD_rates!$D$11:$D$16,1),2)*100</f>
        <v>0.5</v>
      </c>
      <c r="G12" s="46">
        <f>INDEX(TD_rates!$A$18:$D$23,MATCH(VALUE(LEFT(A12,FIND(" ",A12)-1)),TD_rates!$D$18:$D$23,1),2)*100</f>
        <v>1.05</v>
      </c>
      <c r="H12" s="46">
        <f>INDEX(BMO_rates!$B$2:$E$4,MATCH(VALUE(LEFT(A12,FIND(" ",A12)-1)),BMO_rates!$E$2:$E$4,1),2)*100</f>
        <v>1.6</v>
      </c>
      <c r="I12" s="48">
        <f>INDEX(BMO_rates!$B$5:$E$6,MATCH(VALUE(LEFT(A12,FIND(" ",A12)-1)),BMO_rates!$E$5:$E$6,1),2)*100</f>
        <v>0.8</v>
      </c>
      <c r="J12" s="46">
        <f>INDEX(BMO_rates!$B$7:$E$8,MATCH(VALUE(LEFT(A12,FIND(" ",A12)-1)),BMO_rates!$E$7:$E$8,1),2)*100</f>
        <v>0.05</v>
      </c>
      <c r="K12" s="46" t="str">
        <f>(BNS_Rates!$C$2)*100 &amp; " + " &amp; (BNS_Rates!$D$3)*100 &amp; ", "&amp; (BNS_Rates!$D$4)*100 &amp; ", "&amp; (BNS_Rates!$D$5)*100 &amp; ", "&amp; (BNS_Rates!$D$6)*100</f>
        <v>1 + 0.6, 0.7, 0.85, 1</v>
      </c>
      <c r="L12" s="46">
        <f>INDEX(BNS_Rates!$B$13:$H$14,MATCH(VALUE(LEFT(A12,FIND(" ",A12)-1)),BNS_Rates!$H$13:$H$14,1),2)*100</f>
        <v>0.05</v>
      </c>
      <c r="M12" s="46">
        <f>INDEX(BNS_Rates!$B$17:$H$19,MATCH(VALUE(LEFT(A12,FIND(" ",A12)-1)),BNS_Rates!$H$17:$H$19,1),2)*100</f>
        <v>1</v>
      </c>
      <c r="N12" s="46" t="str">
        <f>INDEX(RBC_Rates!$B$158:$E$158,MATCH(VALUE(LEFT(A12,FIND(" ",A12)-1)),RBC_Rates!$E$158,1),2)</f>
        <v>1.000</v>
      </c>
      <c r="O12" s="46" t="str">
        <f>INDEX(RBC_Rates!$B$150:$E$157,MATCH(VALUE(LEFT(A12,FIND(" ",A12)-1)),RBC_Rates!$E$150:$E$157,1),2)</f>
        <v>0.150 P</v>
      </c>
      <c r="P12" s="47" t="str">
        <f>INDEX(RBC_Rates!$B$146:$E$149,MATCH(VALUE(LEFT(A12,FIND(" ",A12)-1)),RBC_Rates!$E$146:$E$149,1),2)</f>
        <v>0.010 P</v>
      </c>
      <c r="Q12" s="46">
        <f>$Q$11</f>
        <v>1.1499999999999999</v>
      </c>
      <c r="R12" s="48" t="str">
        <f>Simplii_rates!$C$11</f>
        <v>1.15%</v>
      </c>
      <c r="S12" s="47">
        <f>LEFT((ICICI_rates!$B$3),5)*100</f>
        <v>1.6</v>
      </c>
      <c r="T12" s="47">
        <f>(NBC_rates!$C$28)*100</f>
        <v>1</v>
      </c>
      <c r="U12" s="48">
        <f>(Manulife_rates!$D$2)*100</f>
        <v>1.2</v>
      </c>
      <c r="V12" s="46">
        <f>(HSBC_rates!$B$5)*100</f>
        <v>1.1499999999999999</v>
      </c>
      <c r="W12" s="46">
        <f>(CT_rates!$B$2)*100</f>
        <v>1.5</v>
      </c>
      <c r="X12" s="46">
        <f>(BNS_Rates!$C$35)*100</f>
        <v>0.25</v>
      </c>
      <c r="Y12" s="48">
        <f>(Meridian_rates!$A$2)*100</f>
        <v>2.85</v>
      </c>
      <c r="Z12" s="10">
        <f>(EQ_rates!$B$2)*100</f>
        <v>2.2999999999999998</v>
      </c>
    </row>
    <row r="13" spans="1:28" x14ac:dyDescent="0.25">
      <c r="A13" s="46" t="s">
        <v>504</v>
      </c>
      <c r="B13" s="46">
        <f>INDEX(CIBC_rates!$B$2:$E$3,MATCH(VALUE(LEFT(A13,FIND(" ",A13)-1)),CIBC_rates!$E$2:$E$3,1),2)*100</f>
        <v>1</v>
      </c>
      <c r="C13" s="47">
        <f>INDEX(CIBC_rates!$B$4:$E$5,MATCH(VALUE(LEFT(A13,FIND(" ",A13)-1)),CIBC_rates!$E$4:$E$5,1),2)*100</f>
        <v>0.1</v>
      </c>
      <c r="D13" s="47">
        <f>INDEX(CIBC_rates!$B$6:$E$6,MATCH(VALUE(LEFT(A13,FIND(" ",A13)-1)),CIBC_rates!$E$6:$E$6,1),2)*100</f>
        <v>0.05</v>
      </c>
      <c r="E13" s="47">
        <f>INDEX(TD_rates!$A$4:$D$9,MATCH(VALUE(LEFT(A13,FIND(" ",A13)-1)),TD_rates!$D$4:$D$9,1),2)*100</f>
        <v>0.05</v>
      </c>
      <c r="F13" s="46">
        <f>INDEX(TD_rates!$A$11:$D$16,MATCH(VALUE(LEFT(A13,FIND(" ",A13)-1)),TD_rates!$D$11:$D$16,1),2)*100</f>
        <v>0.5</v>
      </c>
      <c r="G13" s="46">
        <f>INDEX(TD_rates!$A$18:$D$23,MATCH(VALUE(LEFT(A13,FIND(" ",A13)-1)),TD_rates!$D$18:$D$23,1),2)*100</f>
        <v>1.05</v>
      </c>
      <c r="H13" s="46">
        <f>INDEX(BMO_rates!$B$2:$E$4,MATCH(VALUE(LEFT(A13,FIND(" ",A13)-1)),BMO_rates!$E$2:$E$4,1),2)*100</f>
        <v>1.6</v>
      </c>
      <c r="I13" s="48">
        <f>INDEX(BMO_rates!$B$5:$E$6,MATCH(VALUE(LEFT(A13,FIND(" ",A13)-1)),BMO_rates!$E$5:$E$6,1),2)*100</f>
        <v>0.8</v>
      </c>
      <c r="J13" s="46">
        <f>INDEX(BMO_rates!$B$7:$E$8,MATCH(VALUE(LEFT(A13,FIND(" ",A13)-1)),BMO_rates!$E$7:$E$8,1),2)*100</f>
        <v>0.05</v>
      </c>
      <c r="K13" s="46" t="str">
        <f>(BNS_Rates!$C$2)*100 &amp; " + " &amp; (BNS_Rates!$D$3)*100 &amp; ", "&amp; (BNS_Rates!$D$4)*100 &amp; ", "&amp; (BNS_Rates!$D$5)*100 &amp; ", "&amp; (BNS_Rates!$D$6)*100</f>
        <v>1 + 0.6, 0.7, 0.85, 1</v>
      </c>
      <c r="L13" s="46">
        <f>INDEX(BNS_Rates!$B$13:$H$14,MATCH(VALUE(LEFT(A13,FIND(" ",A13)-1)),BNS_Rates!$H$13:$H$14,1),2)*100</f>
        <v>0.05</v>
      </c>
      <c r="M13" s="46">
        <f>INDEX(BNS_Rates!$B$17:$H$19,MATCH(VALUE(LEFT(A13,FIND(" ",A13)-1)),BNS_Rates!$H$17:$H$19,1),2)*100</f>
        <v>1</v>
      </c>
      <c r="N13" s="46" t="str">
        <f>INDEX(RBC_Rates!$B$158:$E$158,MATCH(VALUE(LEFT(A13,FIND(" ",A13)-1)),RBC_Rates!$E$158,1),2)</f>
        <v>1.000</v>
      </c>
      <c r="O13" s="46" t="str">
        <f>INDEX(RBC_Rates!$B$150:$E$157,MATCH(VALUE(LEFT(A13,FIND(" ",A13)-1)),RBC_Rates!$E$150:$E$157,1),2)</f>
        <v>0.050 P</v>
      </c>
      <c r="P13" s="47" t="str">
        <f>INDEX(RBC_Rates!$B$146:$E$149,MATCH(VALUE(LEFT(A13,FIND(" ",A13)-1)),RBC_Rates!$E$146:$E$149,1),2)</f>
        <v>0.010 P</v>
      </c>
      <c r="Q13" s="46">
        <f t="shared" ref="Q13:Q21" si="0">$Q$11</f>
        <v>1.1499999999999999</v>
      </c>
      <c r="R13" s="48" t="str">
        <f>Simplii_rates!$C$11</f>
        <v>1.15%</v>
      </c>
      <c r="S13" s="47">
        <f>LEFT((ICICI_rates!$B$3),5)*100</f>
        <v>1.6</v>
      </c>
      <c r="T13" s="47">
        <f>(NBC_rates!$C$28)*100</f>
        <v>1</v>
      </c>
      <c r="U13" s="48">
        <f>(Manulife_rates!$D$2)*100</f>
        <v>1.2</v>
      </c>
      <c r="V13" s="46">
        <f>(HSBC_rates!$B$5)*100</f>
        <v>1.1499999999999999</v>
      </c>
      <c r="W13" s="46">
        <f>(CT_rates!$B$2)*100</f>
        <v>1.5</v>
      </c>
      <c r="X13" s="46">
        <f>(BNS_Rates!$C$35)*100</f>
        <v>0.25</v>
      </c>
      <c r="Y13" s="48">
        <f>(Meridian_rates!$A$2)*100</f>
        <v>2.85</v>
      </c>
      <c r="Z13" s="10">
        <f>(EQ_rates!$B$2)*100</f>
        <v>2.2999999999999998</v>
      </c>
    </row>
    <row r="14" spans="1:28" x14ac:dyDescent="0.25">
      <c r="A14" s="46" t="s">
        <v>505</v>
      </c>
      <c r="B14" s="46">
        <f>INDEX(CIBC_rates!$B$2:$E$3,MATCH(VALUE(LEFT(A14,FIND(" ",A14)-1)),CIBC_rates!$E$2:$E$3,1),2)*100</f>
        <v>1</v>
      </c>
      <c r="C14" s="47">
        <f>INDEX(CIBC_rates!$B$4:$E$5,MATCH(VALUE(LEFT(A14,FIND(" ",A14)-1)),CIBC_rates!$E$4:$E$5,1),2)*100</f>
        <v>0.1</v>
      </c>
      <c r="D14" s="47">
        <f>INDEX(CIBC_rates!$B$6:$E$6,MATCH(VALUE(LEFT(A14,FIND(" ",A14)-1)),CIBC_rates!$E$6:$E$6,1),2)*100</f>
        <v>0.05</v>
      </c>
      <c r="E14" s="47">
        <f>INDEX(TD_rates!$A$4:$D$9,MATCH(VALUE(LEFT(A14,FIND(" ",A14)-1)),TD_rates!$D$4:$D$9,1),2)*100</f>
        <v>0.05</v>
      </c>
      <c r="F14" s="46">
        <f>INDEX(TD_rates!$A$11:$D$16,MATCH(VALUE(LEFT(A14,FIND(" ",A14)-1)),TD_rates!$D$11:$D$16,1),2)*100</f>
        <v>0.5</v>
      </c>
      <c r="G14" s="46">
        <f>INDEX(TD_rates!$A$18:$D$23,MATCH(VALUE(LEFT(A14,FIND(" ",A14)-1)),TD_rates!$D$18:$D$23,1),2)*100</f>
        <v>1.05</v>
      </c>
      <c r="H14" s="46">
        <f>INDEX(BMO_rates!$B$2:$E$4,MATCH(VALUE(LEFT(A14,FIND(" ",A14)-1)),BMO_rates!$E$2:$E$4,1),2)*100</f>
        <v>1.6</v>
      </c>
      <c r="I14" s="48">
        <f>INDEX(BMO_rates!$B$5:$E$6,MATCH(VALUE(LEFT(A14,FIND(" ",A14)-1)),BMO_rates!$E$5:$E$6,1),2)*100</f>
        <v>0.8</v>
      </c>
      <c r="J14" s="46">
        <f>INDEX(BMO_rates!$B$7:$E$8,MATCH(VALUE(LEFT(A14,FIND(" ",A14)-1)),BMO_rates!$E$7:$E$8,1),2)*100</f>
        <v>0.05</v>
      </c>
      <c r="K14" s="46" t="str">
        <f>(BNS_Rates!$C$2)*100 &amp; " + " &amp; (BNS_Rates!$D$3)*100 &amp; ", "&amp; (BNS_Rates!$D$4)*100 &amp; ", "&amp; (BNS_Rates!$D$5)*100 &amp; ", "&amp; (BNS_Rates!$D$6)*100</f>
        <v>1 + 0.6, 0.7, 0.85, 1</v>
      </c>
      <c r="L14" s="46">
        <f>INDEX(BNS_Rates!$B$13:$H$14,MATCH(VALUE(LEFT(A14,FIND(" ",A14)-1)),BNS_Rates!$H$13:$H$14,1),2)*100</f>
        <v>0.05</v>
      </c>
      <c r="M14" s="46">
        <f>INDEX(BNS_Rates!$B$17:$H$19,MATCH(VALUE(LEFT(A14,FIND(" ",A14)-1)),BNS_Rates!$H$17:$H$19,1),2)*100</f>
        <v>1</v>
      </c>
      <c r="N14" s="46" t="str">
        <f>INDEX(RBC_Rates!$B$158:$E$158,MATCH(VALUE(LEFT(A14,FIND(" ",A14)-1)),RBC_Rates!$E$158,1),2)</f>
        <v>1.000</v>
      </c>
      <c r="O14" s="46" t="str">
        <f>INDEX(RBC_Rates!$B$150:$E$157,MATCH(VALUE(LEFT(A14,FIND(" ",A14)-1)),RBC_Rates!$E$150:$E$157,1),2)</f>
        <v>0.025 P</v>
      </c>
      <c r="P14" s="47" t="str">
        <f>INDEX(RBC_Rates!$B$146:$E$149,MATCH(VALUE(LEFT(A14,FIND(" ",A14)-1)),RBC_Rates!$E$146:$E$149,1),2)</f>
        <v>0.010 P</v>
      </c>
      <c r="Q14" s="46">
        <f t="shared" si="0"/>
        <v>1.1499999999999999</v>
      </c>
      <c r="R14" s="48" t="str">
        <f>Simplii_rates!$C$11</f>
        <v>1.15%</v>
      </c>
      <c r="S14" s="47">
        <f>LEFT((ICICI_rates!$B$3),5)*100</f>
        <v>1.6</v>
      </c>
      <c r="T14" s="47">
        <f>(NBC_rates!$C$28)*100</f>
        <v>1</v>
      </c>
      <c r="U14" s="48">
        <f>(Manulife_rates!$D$2)*100</f>
        <v>1.2</v>
      </c>
      <c r="V14" s="46">
        <f>(HSBC_rates!$B$5)*100</f>
        <v>1.1499999999999999</v>
      </c>
      <c r="W14" s="46">
        <f>(CT_rates!$B$2)*100</f>
        <v>1.5</v>
      </c>
      <c r="X14" s="46">
        <f>(BNS_Rates!$C$35)*100</f>
        <v>0.25</v>
      </c>
      <c r="Y14" s="48">
        <f>(Meridian_rates!$A$2)*100</f>
        <v>2.85</v>
      </c>
      <c r="Z14" s="10">
        <f>(EQ_rates!$B$2)*100</f>
        <v>2.2999999999999998</v>
      </c>
    </row>
    <row r="15" spans="1:28" x14ac:dyDescent="0.25">
      <c r="A15" s="46" t="s">
        <v>506</v>
      </c>
      <c r="B15" s="46">
        <f>INDEX(CIBC_rates!$B$2:$E$3,MATCH(VALUE(LEFT(A15,FIND(" ",A15)-1)),CIBC_rates!$E$2:$E$3,1),2)*100</f>
        <v>1</v>
      </c>
      <c r="C15" s="47">
        <f>INDEX(CIBC_rates!$B$4:$E$5,MATCH(VALUE(LEFT(A15,FIND(" ",A15)-1)),CIBC_rates!$E$4:$E$5,1),2)*100</f>
        <v>0.1</v>
      </c>
      <c r="D15" s="47">
        <f>INDEX(CIBC_rates!$B$6:$E$6,MATCH(VALUE(LEFT(A15,FIND(" ",A15)-1)),CIBC_rates!$E$6:$E$6,1),2)*100</f>
        <v>0.05</v>
      </c>
      <c r="E15" s="47">
        <f>INDEX(TD_rates!$A$4:$D$9,MATCH(VALUE(LEFT(A15,FIND(" ",A15)-1)),TD_rates!$D$4:$D$9,1),2)*100</f>
        <v>0.05</v>
      </c>
      <c r="F15" s="46">
        <f>INDEX(TD_rates!$A$11:$D$16,MATCH(VALUE(LEFT(A15,FIND(" ",A15)-1)),TD_rates!$D$11:$D$16,1),2)*100</f>
        <v>0.5</v>
      </c>
      <c r="G15" s="46">
        <f>INDEX(TD_rates!$A$18:$D$23,MATCH(VALUE(LEFT(A15,FIND(" ",A15)-1)),TD_rates!$D$18:$D$23,1),2)*100</f>
        <v>1.05</v>
      </c>
      <c r="H15" s="46">
        <f>INDEX(BMO_rates!$B$2:$E$4,MATCH(VALUE(LEFT(A15,FIND(" ",A15)-1)),BMO_rates!$E$2:$E$4,1),2)*100</f>
        <v>1.6</v>
      </c>
      <c r="I15" s="48">
        <f>INDEX(BMO_rates!$B$5:$E$6,MATCH(VALUE(LEFT(A15,FIND(" ",A15)-1)),BMO_rates!$E$5:$E$6,1),2)*100</f>
        <v>0.8</v>
      </c>
      <c r="J15" s="46">
        <f>INDEX(BMO_rates!$B$7:$E$8,MATCH(VALUE(LEFT(A15,FIND(" ",A15)-1)),BMO_rates!$E$7:$E$8,1),2)*100</f>
        <v>0.05</v>
      </c>
      <c r="K15" s="46" t="str">
        <f>(BNS_Rates!$C$2)*100 &amp; " + " &amp; (BNS_Rates!$D$3)*100 &amp; ", "&amp; (BNS_Rates!$D$4)*100 &amp; ", "&amp; (BNS_Rates!$D$5)*100 &amp; ", "&amp; (BNS_Rates!$D$6)*100</f>
        <v>1 + 0.6, 0.7, 0.85, 1</v>
      </c>
      <c r="L15" s="46">
        <f>INDEX(BNS_Rates!$B$13:$H$14,MATCH(VALUE(LEFT(A15,FIND(" ",A15)-1)),BNS_Rates!$H$13:$H$14,1),2)*100</f>
        <v>0.05</v>
      </c>
      <c r="M15" s="46">
        <f>INDEX(BNS_Rates!$B$17:$H$19,MATCH(VALUE(LEFT(A15,FIND(" ",A15)-1)),BNS_Rates!$H$17:$H$19,1),2)*100</f>
        <v>1</v>
      </c>
      <c r="N15" s="46" t="str">
        <f>INDEX(RBC_Rates!$B$158:$E$158,MATCH(VALUE(LEFT(A15,FIND(" ",A15)-1)),RBC_Rates!$E$158,1),2)</f>
        <v>1.000</v>
      </c>
      <c r="O15" s="46" t="str">
        <f>INDEX(RBC_Rates!$B$150:$E$157,MATCH(VALUE(LEFT(A15,FIND(" ",A15)-1)),RBC_Rates!$E$150:$E$157,1),2)</f>
        <v>0.010</v>
      </c>
      <c r="P15" s="47" t="str">
        <f>INDEX(RBC_Rates!$B$146:$E$149,MATCH(VALUE(LEFT(A15,FIND(" ",A15)-1)),RBC_Rates!$E$146:$E$149,1),2)</f>
        <v>0.010 P</v>
      </c>
      <c r="Q15" s="46">
        <f t="shared" si="0"/>
        <v>1.1499999999999999</v>
      </c>
      <c r="R15" s="48" t="str">
        <f>Simplii_rates!$C$11</f>
        <v>1.15%</v>
      </c>
      <c r="S15" s="47">
        <f>LEFT((ICICI_rates!$B$3),5)*100</f>
        <v>1.6</v>
      </c>
      <c r="T15" s="47">
        <f>(NBC_rates!$C$28)*100</f>
        <v>1</v>
      </c>
      <c r="U15" s="48">
        <f>(Manulife_rates!$D$2)*100</f>
        <v>1.2</v>
      </c>
      <c r="V15" s="46">
        <f>(HSBC_rates!$B$5)*100</f>
        <v>1.1499999999999999</v>
      </c>
      <c r="W15" s="46">
        <f>(CT_rates!$B$2)*100</f>
        <v>1.5</v>
      </c>
      <c r="X15" s="46">
        <f>(BNS_Rates!$C$35)*100</f>
        <v>0.25</v>
      </c>
      <c r="Y15" s="48">
        <f>(Meridian_rates!$A$2)*100</f>
        <v>2.85</v>
      </c>
      <c r="Z15" s="10">
        <f>(EQ_rates!$B$2)*100</f>
        <v>2.2999999999999998</v>
      </c>
    </row>
    <row r="16" spans="1:28" x14ac:dyDescent="0.25">
      <c r="A16" s="46" t="s">
        <v>507</v>
      </c>
      <c r="B16" s="46">
        <f>INDEX(CIBC_rates!$B$2:$E$3,MATCH(VALUE(LEFT(A16,FIND(" ",A16)-1)),CIBC_rates!$E$2:$E$3,1),2)*100</f>
        <v>1</v>
      </c>
      <c r="C16" s="47">
        <f>INDEX(CIBC_rates!$B$4:$E$5,MATCH(VALUE(LEFT(A16,FIND(" ",A16)-1)),CIBC_rates!$E$4:$E$5,1),2)*100</f>
        <v>0.1</v>
      </c>
      <c r="D16" s="47">
        <f>INDEX(CIBC_rates!$B$6:$E$6,MATCH(VALUE(LEFT(A16,FIND(" ",A16)-1)),CIBC_rates!$E$6:$E$6,1),2)*100</f>
        <v>0.05</v>
      </c>
      <c r="E16" s="47">
        <f>INDEX(TD_rates!$A$4:$D$9,MATCH(VALUE(LEFT(A16,FIND(" ",A16)-1)),TD_rates!$D$4:$D$9,1),2)*100</f>
        <v>0.05</v>
      </c>
      <c r="F16" s="46">
        <f>INDEX(TD_rates!$A$11:$D$16,MATCH(VALUE(LEFT(A16,FIND(" ",A16)-1)),TD_rates!$D$11:$D$16,1),2)*100</f>
        <v>0.5</v>
      </c>
      <c r="G16" s="46">
        <f>INDEX(TD_rates!$A$18:$D$23,MATCH(VALUE(LEFT(A16,FIND(" ",A16)-1)),TD_rates!$D$18:$D$23,1),2)*100</f>
        <v>1.05</v>
      </c>
      <c r="H16" s="46">
        <f>INDEX(BMO_rates!$B$2:$E$4,MATCH(VALUE(LEFT(A16,FIND(" ",A16)-1)),BMO_rates!$E$2:$E$4,1),2)*100</f>
        <v>1.6</v>
      </c>
      <c r="I16" s="48">
        <f>INDEX(BMO_rates!$B$5:$E$6,MATCH(VALUE(LEFT(A16,FIND(" ",A16)-1)),BMO_rates!$E$5:$E$6,1),2)*100</f>
        <v>0.8</v>
      </c>
      <c r="J16" s="46">
        <f>INDEX(BMO_rates!$B$7:$E$8,MATCH(VALUE(LEFT(A16,FIND(" ",A16)-1)),BMO_rates!$E$7:$E$8,1),2)*100</f>
        <v>0.05</v>
      </c>
      <c r="K16" s="46" t="str">
        <f>(BNS_Rates!$C$2)*100 &amp; " + " &amp; (BNS_Rates!$D$3)*100 &amp; ", "&amp; (BNS_Rates!$D$4)*100 &amp; ", "&amp; (BNS_Rates!$D$5)*100 &amp; ", "&amp; (BNS_Rates!$D$6)*100</f>
        <v>1 + 0.6, 0.7, 0.85, 1</v>
      </c>
      <c r="L16" s="46">
        <f>INDEX(BNS_Rates!$B$13:$H$14,MATCH(VALUE(LEFT(A16,FIND(" ",A16)-1)),BNS_Rates!$H$13:$H$14,1),2)*100</f>
        <v>0.05</v>
      </c>
      <c r="M16" s="46">
        <f>INDEX(BNS_Rates!$B$17:$H$19,MATCH(VALUE(LEFT(A16,FIND(" ",A16)-1)),BNS_Rates!$H$17:$H$19,1),2)*100</f>
        <v>1</v>
      </c>
      <c r="N16" s="46" t="str">
        <f>INDEX(RBC_Rates!$B$158:$E$158,MATCH(VALUE(LEFT(A16,FIND(" ",A16)-1)),RBC_Rates!$E$158,1),2)</f>
        <v>1.000</v>
      </c>
      <c r="O16" s="46" t="str">
        <f>INDEX(RBC_Rates!$B$150:$E$157,MATCH(VALUE(LEFT(A16,FIND(" ",A16)-1)),RBC_Rates!$E$150:$E$157,1),2)</f>
        <v>0.010</v>
      </c>
      <c r="P16" s="47" t="str">
        <f>INDEX(RBC_Rates!$B$146:$E$149,MATCH(VALUE(LEFT(A16,FIND(" ",A16)-1)),RBC_Rates!$E$146:$E$149,1),2)</f>
        <v>0.010 P</v>
      </c>
      <c r="Q16" s="46">
        <f t="shared" si="0"/>
        <v>1.1499999999999999</v>
      </c>
      <c r="R16" s="48" t="str">
        <f>Simplii_rates!$C$11</f>
        <v>1.15%</v>
      </c>
      <c r="S16" s="47">
        <f>LEFT((ICICI_rates!$B$3),5)*100</f>
        <v>1.6</v>
      </c>
      <c r="T16" s="47">
        <f>(NBC_rates!$C$28)*100</f>
        <v>1</v>
      </c>
      <c r="U16" s="48">
        <f>(Manulife_rates!$D$2)*100</f>
        <v>1.2</v>
      </c>
      <c r="V16" s="46">
        <f>(HSBC_rates!$B$5)*100</f>
        <v>1.1499999999999999</v>
      </c>
      <c r="W16" s="46">
        <f>(CT_rates!$B$2)*100</f>
        <v>1.5</v>
      </c>
      <c r="X16" s="46">
        <f>(BNS_Rates!$C$35)*100</f>
        <v>0.25</v>
      </c>
      <c r="Y16" s="48">
        <f>(Meridian_rates!$A$2)*100</f>
        <v>2.85</v>
      </c>
      <c r="Z16" s="10">
        <f>(EQ_rates!$B$2)*100</f>
        <v>2.2999999999999998</v>
      </c>
    </row>
    <row r="17" spans="1:26" x14ac:dyDescent="0.25">
      <c r="A17" s="46" t="s">
        <v>40</v>
      </c>
      <c r="B17" s="46">
        <f>INDEX(CIBC_rates!$B$2:$E$3,MATCH(VALUE(LEFT(A17,FIND(" ",A17)-1)),CIBC_rates!$E$2:$E$3,1),2)*100</f>
        <v>1</v>
      </c>
      <c r="C17" s="47">
        <f>INDEX(CIBC_rates!$B$4:$E$5,MATCH(VALUE(LEFT(A17,FIND(" ",A17)-1)),CIBC_rates!$E$4:$E$5,1),2)*100</f>
        <v>0.1</v>
      </c>
      <c r="D17" s="47">
        <f>INDEX(CIBC_rates!$B$6:$E$6,MATCH(VALUE(LEFT(A17,FIND(" ",A17)-1)),CIBC_rates!$E$6:$E$6,1),2)*100</f>
        <v>0.05</v>
      </c>
      <c r="E17" s="47">
        <f>INDEX(TD_rates!$A$4:$D$9,MATCH(VALUE(LEFT(A17,FIND(" ",A17)-1)),TD_rates!$D$4:$D$9,1),2)*100</f>
        <v>0.05</v>
      </c>
      <c r="F17" s="46">
        <f>INDEX(TD_rates!$A$11:$D$16,MATCH(VALUE(LEFT(A17,FIND(" ",A17)-1)),TD_rates!$D$11:$D$16,1),2)*100</f>
        <v>0.5</v>
      </c>
      <c r="G17" s="46">
        <f>INDEX(TD_rates!$A$18:$D$23,MATCH(VALUE(LEFT(A17,FIND(" ",A17)-1)),TD_rates!$D$18:$D$23,1),2)*100</f>
        <v>1.05</v>
      </c>
      <c r="H17" s="46">
        <f>INDEX(BMO_rates!$B$2:$E$4,MATCH(VALUE(LEFT(A17,FIND(" ",A17)-1)),BMO_rates!$E$2:$E$4,1),2)*100</f>
        <v>1.6</v>
      </c>
      <c r="I17" s="48">
        <f>INDEX(BMO_rates!$B$5:$E$6,MATCH(VALUE(LEFT(A17,FIND(" ",A17)-1)),BMO_rates!$E$5:$E$6,1),2)*100</f>
        <v>0.8</v>
      </c>
      <c r="J17" s="46">
        <f>INDEX(BMO_rates!$B$7:$E$8,MATCH(VALUE(LEFT(A17,FIND(" ",A17)-1)),BMO_rates!$E$7:$E$8,1),2)*100</f>
        <v>0.05</v>
      </c>
      <c r="K17" s="46" t="str">
        <f>(BNS_Rates!$C$2)*100 &amp; " + " &amp; (BNS_Rates!$D$3)*100 &amp; ", "&amp; (BNS_Rates!$D$4)*100 &amp; ", "&amp; (BNS_Rates!$D$5)*100 &amp; ", "&amp; (BNS_Rates!$D$6)*100</f>
        <v>1 + 0.6, 0.7, 0.85, 1</v>
      </c>
      <c r="L17" s="46">
        <f>INDEX(BNS_Rates!$B$13:$H$14,MATCH(VALUE(LEFT(A17,FIND(" ",A17)-1)),BNS_Rates!$H$13:$H$14,1),2)*100</f>
        <v>0.05</v>
      </c>
      <c r="M17" s="46">
        <f>INDEX(BNS_Rates!$B$17:$H$19,MATCH(VALUE(LEFT(A17,FIND(" ",A17)-1)),BNS_Rates!$H$17:$H$19,1),2)*100</f>
        <v>1</v>
      </c>
      <c r="N17" s="46" t="str">
        <f>INDEX(RBC_Rates!$B$158:$E$158,MATCH(VALUE(LEFT(A17,FIND(" ",A17)-1)),RBC_Rates!$E$158,1),2)</f>
        <v>1.000</v>
      </c>
      <c r="O17" s="46" t="str">
        <f>INDEX(RBC_Rates!$B$150:$E$157,MATCH(VALUE(LEFT(A17,FIND(" ",A17)-1)),RBC_Rates!$E$150:$E$157,1),2)</f>
        <v>0.005</v>
      </c>
      <c r="P17" s="47" t="str">
        <f>INDEX(RBC_Rates!$B$146:$E$149,MATCH(VALUE(LEFT(A17,FIND(" ",A17)-1)),RBC_Rates!$E$146:$E$149,1),2)</f>
        <v>0.010 P</v>
      </c>
      <c r="Q17" s="46">
        <f t="shared" si="0"/>
        <v>1.1499999999999999</v>
      </c>
      <c r="R17" s="48" t="str">
        <f>Simplii_rates!$C$11</f>
        <v>1.15%</v>
      </c>
      <c r="S17" s="47">
        <f>LEFT((ICICI_rates!$B$3),5)*100</f>
        <v>1.6</v>
      </c>
      <c r="T17" s="47">
        <f>(NBC_rates!$C$28)*100</f>
        <v>1</v>
      </c>
      <c r="U17" s="48">
        <f>(Manulife_rates!$D$2)*100</f>
        <v>1.2</v>
      </c>
      <c r="V17" s="46">
        <f>(HSBC_rates!$B$5)*100</f>
        <v>1.1499999999999999</v>
      </c>
      <c r="W17" s="46">
        <f>(CT_rates!$B$2)*100</f>
        <v>1.5</v>
      </c>
      <c r="X17" s="46">
        <f>(BNS_Rates!$C$35)*100</f>
        <v>0.25</v>
      </c>
      <c r="Y17" s="48">
        <f>(Meridian_rates!$A$2)*100</f>
        <v>2.85</v>
      </c>
      <c r="Z17" s="10">
        <f>(EQ_rates!$B$2)*100</f>
        <v>2.2999999999999998</v>
      </c>
    </row>
    <row r="18" spans="1:26" x14ac:dyDescent="0.25">
      <c r="A18" s="46" t="s">
        <v>41</v>
      </c>
      <c r="B18" s="46">
        <f>INDEX(CIBC_rates!$B$2:$E$3,MATCH(VALUE(LEFT(A18,FIND(" ",A18)-1)),CIBC_rates!$E$2:$E$3,1),2)*100</f>
        <v>1</v>
      </c>
      <c r="C18" s="47">
        <f>INDEX(CIBC_rates!$B$4:$E$5,MATCH(VALUE(LEFT(A18,FIND(" ",A18)-1)),CIBC_rates!$E$4:$E$5,1),2)*100</f>
        <v>0.1</v>
      </c>
      <c r="D18" s="47">
        <f>INDEX(CIBC_rates!$B$6:$E$6,MATCH(VALUE(LEFT(A18,FIND(" ",A18)-1)),CIBC_rates!$E$6:$E$6,1),2)*100</f>
        <v>0.05</v>
      </c>
      <c r="E18" s="47">
        <f>INDEX(TD_rates!$A$4:$D$9,MATCH(VALUE(LEFT(A18,FIND(" ",A18)-1)),TD_rates!$D$4:$D$9,1),2)*100</f>
        <v>0.05</v>
      </c>
      <c r="F18" s="46">
        <f>INDEX(TD_rates!$A$11:$D$16,MATCH(VALUE(LEFT(A18,FIND(" ",A18)-1)),TD_rates!$D$11:$D$16,1),2)*100</f>
        <v>0.5</v>
      </c>
      <c r="G18" s="46">
        <f>INDEX(TD_rates!$A$18:$D$23,MATCH(VALUE(LEFT(A18,FIND(" ",A18)-1)),TD_rates!$D$18:$D$23,1),2)*100</f>
        <v>0</v>
      </c>
      <c r="H18" s="46">
        <f>INDEX(BMO_rates!$B$2:$E$4,MATCH(VALUE(LEFT(A18,FIND(" ",A18)-1)),BMO_rates!$E$2:$E$4,1),2)*100</f>
        <v>1.6</v>
      </c>
      <c r="I18" s="48">
        <f>INDEX(BMO_rates!$B$5:$E$6,MATCH(VALUE(LEFT(A18,FIND(" ",A18)-1)),BMO_rates!$E$5:$E$6,1),2)*100</f>
        <v>0.8</v>
      </c>
      <c r="J18" s="46">
        <f>INDEX(BMO_rates!$B$7:$E$8,MATCH(VALUE(LEFT(A18,FIND(" ",A18)-1)),BMO_rates!$E$7:$E$8,1),2)*100</f>
        <v>0.05</v>
      </c>
      <c r="K18" s="46" t="str">
        <f>(BNS_Rates!$C$2)*100 &amp; " + " &amp; (BNS_Rates!$D$3)*100 &amp; ", "&amp; (BNS_Rates!$D$4)*100 &amp; ", "&amp; (BNS_Rates!$D$5)*100 &amp; ", "&amp; (BNS_Rates!$D$6)*100</f>
        <v>1 + 0.6, 0.7, 0.85, 1</v>
      </c>
      <c r="L18" s="46">
        <f>INDEX(BNS_Rates!$B$13:$H$14,MATCH(VALUE(LEFT(A18,FIND(" ",A18)-1)),BNS_Rates!$H$13:$H$14,1),2)*100</f>
        <v>0.05</v>
      </c>
      <c r="M18" s="46">
        <f>INDEX(BNS_Rates!$B$17:$H$19,MATCH(VALUE(LEFT(A18,FIND(" ",A18)-1)),BNS_Rates!$H$17:$H$19,1),2)*100</f>
        <v>1</v>
      </c>
      <c r="N18" s="46" t="str">
        <f>INDEX(RBC_Rates!$B$158:$E$158,MATCH(VALUE(LEFT(A18,FIND(" ",A18)-1)),RBC_Rates!$E$158,1),2)</f>
        <v>1.000</v>
      </c>
      <c r="O18" s="46" t="str">
        <f>INDEX(RBC_Rates!$B$150:$E$157,MATCH(VALUE(LEFT(A18,FIND(" ",A18)-1)),RBC_Rates!$E$150:$E$157,1),2)</f>
        <v>0.001</v>
      </c>
      <c r="P18" s="47" t="str">
        <f>INDEX(RBC_Rates!$B$146:$E$149,MATCH(VALUE(LEFT(A18,FIND(" ",A18)-1)),RBC_Rates!$E$146:$E$149,1),2)</f>
        <v>0.010 P</v>
      </c>
      <c r="Q18" s="46">
        <f t="shared" si="0"/>
        <v>1.1499999999999999</v>
      </c>
      <c r="R18" s="48" t="str">
        <f>Simplii_rates!$C$11</f>
        <v>1.15%</v>
      </c>
      <c r="S18" s="47">
        <f>LEFT((ICICI_rates!$B$3),5)*100</f>
        <v>1.6</v>
      </c>
      <c r="T18" s="47">
        <f>(NBC_rates!$C$28)*100</f>
        <v>1</v>
      </c>
      <c r="U18" s="48">
        <f>(Manulife_rates!$D$2)*100</f>
        <v>1.2</v>
      </c>
      <c r="V18" s="46">
        <f>(HSBC_rates!$B$5)*100</f>
        <v>1.1499999999999999</v>
      </c>
      <c r="W18" s="46">
        <f>(CT_rates!$B$2)*100</f>
        <v>1.5</v>
      </c>
      <c r="X18" s="46">
        <f>(BNS_Rates!$C$35)*100</f>
        <v>0.25</v>
      </c>
      <c r="Y18" s="48">
        <f>(Meridian_rates!$A$2)*100</f>
        <v>2.85</v>
      </c>
      <c r="Z18" s="10">
        <f>(EQ_rates!$B$2)*100</f>
        <v>2.2999999999999998</v>
      </c>
    </row>
    <row r="19" spans="1:26" x14ac:dyDescent="0.25">
      <c r="A19" s="46" t="s">
        <v>42</v>
      </c>
      <c r="B19" s="46">
        <f>INDEX(CIBC_rates!$B$2:$E$3,MATCH(VALUE(LEFT(A19,FIND(" ",A19)-1)),CIBC_rates!$E$2:$E$3,1),2)*100</f>
        <v>1</v>
      </c>
      <c r="C19" s="47">
        <f>INDEX(CIBC_rates!$B$4:$E$5,MATCH(VALUE(LEFT(A19,FIND(" ",A19)-1)),CIBC_rates!$E$4:$E$5,1),2)*100</f>
        <v>0.1</v>
      </c>
      <c r="D19" s="47">
        <f>INDEX(CIBC_rates!$B$6:$E$6,MATCH(VALUE(LEFT(A19,FIND(" ",A19)-1)),CIBC_rates!$E$6:$E$6,1),2)*100</f>
        <v>0.05</v>
      </c>
      <c r="E19" s="47">
        <f>INDEX(TD_rates!$A$4:$D$9,MATCH(VALUE(LEFT(A19,FIND(" ",A19)-1)),TD_rates!$D$4:$D$9,1),2)*100</f>
        <v>0.05</v>
      </c>
      <c r="F19" s="46">
        <f>INDEX(TD_rates!$A$11:$D$16,MATCH(VALUE(LEFT(A19,FIND(" ",A19)-1)),TD_rates!$D$11:$D$16,1),2)*100</f>
        <v>0</v>
      </c>
      <c r="G19" s="46">
        <f>INDEX(TD_rates!$A$18:$D$23,MATCH(VALUE(LEFT(A19,FIND(" ",A19)-1)),TD_rates!$D$18:$D$23,1),2)*100</f>
        <v>0</v>
      </c>
      <c r="H19" s="46">
        <f>INDEX(BMO_rates!$B$2:$E$4,MATCH(VALUE(LEFT(A19,FIND(" ",A19)-1)),BMO_rates!$E$2:$E$4,1),2)*100</f>
        <v>1.6</v>
      </c>
      <c r="I19" s="48">
        <f>INDEX(BMO_rates!$B$5:$E$6,MATCH(VALUE(LEFT(A19,FIND(" ",A19)-1)),BMO_rates!$E$5:$E$6,1),2)*100</f>
        <v>0.8</v>
      </c>
      <c r="J19" s="46">
        <f>INDEX(BMO_rates!$B$7:$E$8,MATCH(VALUE(LEFT(A19,FIND(" ",A19)-1)),BMO_rates!$E$7:$E$8,1),2)*100</f>
        <v>0.05</v>
      </c>
      <c r="K19" s="46" t="str">
        <f>(BNS_Rates!$C$2)*100 &amp; " + " &amp; (BNS_Rates!$D$3)*100 &amp; ", "&amp; (BNS_Rates!$D$4)*100 &amp; ", "&amp; (BNS_Rates!$D$5)*100 &amp; ", "&amp; (BNS_Rates!$D$6)*100</f>
        <v>1 + 0.6, 0.7, 0.85, 1</v>
      </c>
      <c r="L19" s="46">
        <f>INDEX(BNS_Rates!$B$13:$H$14,MATCH(VALUE(LEFT(A19,FIND(" ",A19)-1)),BNS_Rates!$H$13:$H$14,1),2)*100</f>
        <v>0.05</v>
      </c>
      <c r="M19" s="46">
        <f>INDEX(BNS_Rates!$B$17:$H$19,MATCH(VALUE(LEFT(A19,FIND(" ",A19)-1)),BNS_Rates!$H$17:$H$19,1),2)*100</f>
        <v>0.05</v>
      </c>
      <c r="N19" s="46" t="str">
        <f>INDEX(RBC_Rates!$B$158:$E$158,MATCH(VALUE(LEFT(A19,FIND(" ",A19)-1)),RBC_Rates!$E$158,1),2)</f>
        <v>1.000</v>
      </c>
      <c r="O19" s="46" t="str">
        <f>INDEX(RBC_Rates!$B$150:$E$157,MATCH(VALUE(LEFT(A19,FIND(" ",A19)-1)),RBC_Rates!$E$150:$E$157,1),2)</f>
        <v>0.000</v>
      </c>
      <c r="P19" s="47" t="str">
        <f>INDEX(RBC_Rates!$B$146:$E$149,MATCH(VALUE(LEFT(A19,FIND(" ",A19)-1)),RBC_Rates!$E$146:$E$149,1),2)</f>
        <v>0.010 P</v>
      </c>
      <c r="Q19" s="46">
        <f t="shared" si="0"/>
        <v>1.1499999999999999</v>
      </c>
      <c r="R19" s="48" t="str">
        <f>Simplii_rates!$C$11</f>
        <v>1.15%</v>
      </c>
      <c r="S19" s="47">
        <f>LEFT((ICICI_rates!$B$3),5)*100</f>
        <v>1.6</v>
      </c>
      <c r="T19" s="47">
        <f>(NBC_rates!$C$28)*100</f>
        <v>1</v>
      </c>
      <c r="U19" s="48">
        <f>(Manulife_rates!$D$2)*100</f>
        <v>1.2</v>
      </c>
      <c r="V19" s="46">
        <f>(HSBC_rates!$B$5)*100</f>
        <v>1.1499999999999999</v>
      </c>
      <c r="W19" s="46">
        <f>(CT_rates!$B$2)*100</f>
        <v>1.5</v>
      </c>
      <c r="X19" s="46">
        <f>(BNS_Rates!$C$35)*100</f>
        <v>0.25</v>
      </c>
      <c r="Y19" s="48">
        <f>(Meridian_rates!$A$2)*100</f>
        <v>2.85</v>
      </c>
      <c r="Z19" s="10">
        <f>(EQ_rates!$B$2)*100</f>
        <v>2.2999999999999998</v>
      </c>
    </row>
    <row r="20" spans="1:26" x14ac:dyDescent="0.25">
      <c r="A20" s="46" t="s">
        <v>43</v>
      </c>
      <c r="B20" s="46">
        <f>INDEX(CIBC_rates!$B$2:$E$3,MATCH(VALUE(LEFT(A20,FIND(" ",A20)-1)),CIBC_rates!$E$2:$E$3,1),2)*100</f>
        <v>1</v>
      </c>
      <c r="C20" s="47">
        <f>INDEX(CIBC_rates!$B$4:$E$5,MATCH(VALUE(LEFT(A20,FIND(" ",A20)-1)),CIBC_rates!$E$4:$E$5,1),2)*100</f>
        <v>0.05</v>
      </c>
      <c r="D20" s="47">
        <f>INDEX(CIBC_rates!$B$6:$E$6,MATCH(VALUE(LEFT(A20,FIND(" ",A20)-1)),CIBC_rates!$E$6:$E$6,1),2)*100</f>
        <v>0.05</v>
      </c>
      <c r="E20" s="47">
        <f>INDEX(TD_rates!$A$4:$D$9,MATCH(VALUE(LEFT(A20,FIND(" ",A20)-1)),TD_rates!$D$4:$D$9,1),2)*100</f>
        <v>0.05</v>
      </c>
      <c r="F20" s="46">
        <f>INDEX(TD_rates!$A$11:$D$16,MATCH(VALUE(LEFT(A20,FIND(" ",A20)-1)),TD_rates!$D$11:$D$16,1),2)*100</f>
        <v>0</v>
      </c>
      <c r="G20" s="46">
        <f>INDEX(TD_rates!$A$18:$D$23,MATCH(VALUE(LEFT(A20,FIND(" ",A20)-1)),TD_rates!$D$18:$D$23,1),2)*100</f>
        <v>0</v>
      </c>
      <c r="H20" s="46">
        <f>INDEX(BMO_rates!$B$2:$E$4,MATCH(VALUE(LEFT(A20,FIND(" ",A20)-1)),BMO_rates!$E$2:$E$4,1),2)*100</f>
        <v>1.6</v>
      </c>
      <c r="I20" s="48">
        <f>INDEX(BMO_rates!$B$5:$E$6,MATCH(VALUE(LEFT(A20,FIND(" ",A20)-1)),BMO_rates!$E$5:$E$6,1),2)*100</f>
        <v>0.8</v>
      </c>
      <c r="J20" s="46">
        <f>INDEX(BMO_rates!$B$7:$E$8,MATCH(VALUE(LEFT(A20,FIND(" ",A20)-1)),BMO_rates!$E$7:$E$8,1),2)*100</f>
        <v>0.05</v>
      </c>
      <c r="K20" s="46" t="str">
        <f>(BNS_Rates!$C$2)*100 &amp; " + " &amp; (BNS_Rates!$D$3)*100 &amp; ", "&amp; (BNS_Rates!$D$4)*100 &amp; ", "&amp; (BNS_Rates!$D$5)*100 &amp; ", "&amp; (BNS_Rates!$D$6)*100</f>
        <v>1 + 0.6, 0.7, 0.85, 1</v>
      </c>
      <c r="L20" s="46">
        <f>INDEX(BNS_Rates!$B$13:$H$14,MATCH(VALUE(LEFT(A20,FIND(" ",A20)-1)),BNS_Rates!$H$13:$H$14,1),2)*100</f>
        <v>0.05</v>
      </c>
      <c r="M20" s="46">
        <f>INDEX(BNS_Rates!$B$17:$H$19,MATCH(VALUE(LEFT(A20,FIND(" ",A20)-1)),BNS_Rates!$H$17:$H$19,1),2)*100</f>
        <v>0.05</v>
      </c>
      <c r="N20" s="46" t="str">
        <f>INDEX(RBC_Rates!$B$158:$E$158,MATCH(VALUE(LEFT(A20,FIND(" ",A20)-1)),RBC_Rates!$E$158,1),2)</f>
        <v>1.000</v>
      </c>
      <c r="O20" s="46" t="str">
        <f>INDEX(RBC_Rates!$B$150:$E$157,MATCH(VALUE(LEFT(A20,FIND(" ",A20)-1)),RBC_Rates!$E$150:$E$157,1),2)</f>
        <v>0.000</v>
      </c>
      <c r="P20" s="47" t="str">
        <f>INDEX(RBC_Rates!$B$146:$E$149,MATCH(VALUE(LEFT(A20,FIND(" ",A20)-1)),RBC_Rates!$E$146:$E$149,1),2)</f>
        <v>0.010</v>
      </c>
      <c r="Q20" s="46">
        <f t="shared" si="0"/>
        <v>1.1499999999999999</v>
      </c>
      <c r="R20" s="48" t="str">
        <f>Simplii_rates!$C$11</f>
        <v>1.15%</v>
      </c>
      <c r="S20" s="47">
        <f>LEFT((ICICI_rates!$B$3),5)*100</f>
        <v>1.6</v>
      </c>
      <c r="T20" s="47">
        <f>(NBC_rates!$C$28)*100</f>
        <v>1</v>
      </c>
      <c r="U20" s="48">
        <f>(Manulife_rates!$D$2)*100</f>
        <v>1.2</v>
      </c>
      <c r="V20" s="46">
        <f>(HSBC_rates!$B$5)*100</f>
        <v>1.1499999999999999</v>
      </c>
      <c r="W20" s="46">
        <f>(CT_rates!$B$2)*100</f>
        <v>1.5</v>
      </c>
      <c r="X20" s="46">
        <f>(BNS_Rates!$C$35)*100</f>
        <v>0.25</v>
      </c>
      <c r="Y20" s="48">
        <f>(Meridian_rates!$A$2)*100</f>
        <v>2.85</v>
      </c>
      <c r="Z20" s="10">
        <f>(EQ_rates!$B$2)*100</f>
        <v>2.2999999999999998</v>
      </c>
    </row>
    <row r="21" spans="1:26" x14ac:dyDescent="0.25">
      <c r="A21" s="46" t="s">
        <v>44</v>
      </c>
      <c r="B21" s="46">
        <f>INDEX(CIBC_rates!$B$2:$E$3,MATCH(VALUE(LEFT(A21,FIND(" ",A21)-1)),CIBC_rates!$E$2:$E$3,1),2)*100</f>
        <v>1</v>
      </c>
      <c r="C21" s="47">
        <f>INDEX(CIBC_rates!$B$4:$E$5,MATCH(VALUE(LEFT(A21,FIND(" ",A21)-1)),CIBC_rates!$E$4:$E$5,1),2)*100</f>
        <v>0.05</v>
      </c>
      <c r="D21" s="47">
        <f>INDEX(CIBC_rates!$B$6:$E$6,MATCH(VALUE(LEFT(A21,FIND(" ",A21)-1)),CIBC_rates!$E$6:$E$6,1),2)*100</f>
        <v>0.05</v>
      </c>
      <c r="E21" s="47">
        <f>INDEX(TD_rates!$A$4:$D$9,MATCH(VALUE(LEFT(A21,FIND(" ",A21)-1)),TD_rates!$D$4:$D$9,1),2)*100</f>
        <v>0.05</v>
      </c>
      <c r="F21" s="46">
        <f>INDEX(TD_rates!$A$11:$D$16,MATCH(VALUE(LEFT(A21,FIND(" ",A21)-1)),TD_rates!$D$11:$D$16,1),2)*100</f>
        <v>0</v>
      </c>
      <c r="G21" s="46">
        <f>INDEX(TD_rates!$A$18:$D$23,MATCH(VALUE(LEFT(A21,FIND(" ",A21)-1)),TD_rates!$D$18:$D$23,1),2)*100</f>
        <v>0</v>
      </c>
      <c r="H21" s="46">
        <f>INDEX(BMO_rates!$B$2:$E$4,MATCH(VALUE(LEFT(A21,FIND(" ",A21)-1)),BMO_rates!$E$2:$E$4,1),2)*100</f>
        <v>1.6</v>
      </c>
      <c r="I21" s="48">
        <f>INDEX(BMO_rates!$B$5:$E$6,MATCH(VALUE(LEFT(A21,FIND(" ",A21)-1)),BMO_rates!$E$5:$E$6,1),2)*100</f>
        <v>0.8</v>
      </c>
      <c r="J21" s="46">
        <f>INDEX(BMO_rates!$B$7:$E$8,MATCH(VALUE(LEFT(A21,FIND(" ",A21)-1)),BMO_rates!$E$7:$E$8,1),2)*100</f>
        <v>0.05</v>
      </c>
      <c r="K21" s="46" t="str">
        <f>(BNS_Rates!$C$2)*100 &amp; " + " &amp; (BNS_Rates!$D$3)*100 &amp; ", "&amp; (BNS_Rates!$D$4)*100 &amp; ", "&amp; (BNS_Rates!$D$5)*100 &amp; ", "&amp; (BNS_Rates!$D$6)*100</f>
        <v>1 + 0.6, 0.7, 0.85, 1</v>
      </c>
      <c r="L21" s="46">
        <f>INDEX(BNS_Rates!$B$13:$H$14,MATCH(VALUE(LEFT(A21,FIND(" ",A21)-1)),BNS_Rates!$H$13:$H$14,1),2)*100</f>
        <v>0.05</v>
      </c>
      <c r="M21" s="46">
        <f>INDEX(BNS_Rates!$B$17:$H$19,MATCH(VALUE(LEFT(A21,FIND(" ",A21)-1)),BNS_Rates!$H$17:$H$19,1),2)*100</f>
        <v>0.05</v>
      </c>
      <c r="N21" s="46" t="str">
        <f>INDEX(RBC_Rates!$B$158:$E$158,MATCH(VALUE(LEFT(A21,FIND(" ",A21)-1)),RBC_Rates!$E$158,1),2)</f>
        <v>1.000</v>
      </c>
      <c r="O21" s="46" t="str">
        <f>INDEX(RBC_Rates!$B$150:$E$157,MATCH(VALUE(LEFT(A21,FIND(" ",A21)-1)),RBC_Rates!$E$150:$E$157,1),2)</f>
        <v>0.000</v>
      </c>
      <c r="P21" s="47" t="str">
        <f>INDEX(RBC_Rates!$B$146:$E$149,MATCH(VALUE(LEFT(A21,FIND(" ",A21)-1)),RBC_Rates!$E$146:$E$149,1),2)</f>
        <v>0.005</v>
      </c>
      <c r="Q21" s="46">
        <f t="shared" si="0"/>
        <v>1.1499999999999999</v>
      </c>
      <c r="R21" s="48" t="str">
        <f>Simplii_rates!$C$11</f>
        <v>1.15%</v>
      </c>
      <c r="S21" s="47">
        <f>LEFT((ICICI_rates!$B$3),5)*100</f>
        <v>1.6</v>
      </c>
      <c r="T21" s="47">
        <f>(NBC_rates!$C$28)*100</f>
        <v>1</v>
      </c>
      <c r="U21" s="48">
        <f>(Manulife_rates!$D$2)*100</f>
        <v>1.2</v>
      </c>
      <c r="V21" s="46">
        <f>(HSBC_rates!$B$5)*100</f>
        <v>1.1499999999999999</v>
      </c>
      <c r="W21" s="46">
        <f>(CT_rates!$B$2)*100</f>
        <v>1.5</v>
      </c>
      <c r="X21" s="46">
        <f>(BNS_Rates!$C$35)*100</f>
        <v>0.25</v>
      </c>
      <c r="Y21" s="48">
        <f>(Meridian_rates!$A$2)*100</f>
        <v>2.85</v>
      </c>
      <c r="Z21" s="10">
        <f>(EQ_rates!$B$2)*100</f>
        <v>2.2999999999999998</v>
      </c>
    </row>
    <row r="22" spans="1:26" x14ac:dyDescent="0.25">
      <c r="A22" s="11"/>
      <c r="B22" s="11"/>
      <c r="C22" s="5"/>
      <c r="D22" s="5"/>
      <c r="E22" s="5"/>
      <c r="F22" s="11"/>
      <c r="G22" s="11"/>
      <c r="H22" s="11"/>
      <c r="I22" s="11"/>
      <c r="J22" s="3"/>
      <c r="K22" s="3"/>
      <c r="L22" s="3"/>
      <c r="M22" s="3"/>
      <c r="N22" s="3"/>
      <c r="O22" s="3"/>
      <c r="P22" s="5"/>
      <c r="Q22" s="11"/>
      <c r="R22" s="11"/>
      <c r="S22" s="5"/>
      <c r="T22" s="11"/>
      <c r="U22" s="11"/>
      <c r="V22" s="11"/>
      <c r="W22" s="11"/>
      <c r="X22" s="11"/>
      <c r="Y22" s="11"/>
      <c r="Z22" s="3"/>
    </row>
    <row r="23" spans="1:26" x14ac:dyDescent="0.25">
      <c r="A23" s="12" t="s">
        <v>32</v>
      </c>
      <c r="B23" s="13">
        <v>43299</v>
      </c>
      <c r="C23" s="14">
        <v>42202</v>
      </c>
      <c r="D23" s="14">
        <v>42202</v>
      </c>
      <c r="E23" s="14">
        <v>42202</v>
      </c>
      <c r="F23" s="13">
        <v>42688</v>
      </c>
      <c r="G23" s="13">
        <v>43298</v>
      </c>
      <c r="H23" s="13">
        <v>43125</v>
      </c>
      <c r="I23" s="13">
        <v>43125</v>
      </c>
      <c r="J23" s="13">
        <v>42207</v>
      </c>
      <c r="K23" s="13">
        <v>43294</v>
      </c>
      <c r="L23" s="13">
        <v>42920</v>
      </c>
      <c r="M23" s="13">
        <v>42986</v>
      </c>
      <c r="N23" s="13">
        <v>43118</v>
      </c>
      <c r="O23" s="13">
        <v>42205</v>
      </c>
      <c r="P23" s="14">
        <v>42205</v>
      </c>
      <c r="Q23" s="13">
        <v>43123</v>
      </c>
      <c r="R23" s="13">
        <v>43130</v>
      </c>
      <c r="S23" s="14">
        <v>42039</v>
      </c>
      <c r="T23" s="13">
        <v>43129</v>
      </c>
      <c r="U23" s="44">
        <v>43304</v>
      </c>
      <c r="V23" s="13">
        <v>43181</v>
      </c>
      <c r="W23" s="13">
        <v>43040</v>
      </c>
      <c r="X23" s="13">
        <v>42207</v>
      </c>
      <c r="Y23" s="15">
        <v>42921</v>
      </c>
      <c r="Z23" s="13">
        <v>42859</v>
      </c>
    </row>
    <row r="24" spans="1:26" x14ac:dyDescent="0.25">
      <c r="A24" s="16" t="s">
        <v>33</v>
      </c>
      <c r="B24" s="17">
        <v>40140</v>
      </c>
      <c r="C24" s="18">
        <v>37775</v>
      </c>
      <c r="D24" s="18">
        <v>36982</v>
      </c>
      <c r="E24" s="17">
        <v>36039</v>
      </c>
      <c r="F24" s="17">
        <v>40385</v>
      </c>
      <c r="G24" s="17">
        <v>40385</v>
      </c>
      <c r="H24" s="17">
        <v>42095</v>
      </c>
      <c r="I24" s="17">
        <v>39790</v>
      </c>
      <c r="J24" s="17">
        <v>37043</v>
      </c>
      <c r="K24" s="13">
        <v>42940</v>
      </c>
      <c r="L24" s="17">
        <v>37196</v>
      </c>
      <c r="M24" s="17">
        <v>41989</v>
      </c>
      <c r="N24" s="17">
        <v>39173</v>
      </c>
      <c r="O24" s="17" t="s">
        <v>34</v>
      </c>
      <c r="P24" s="17"/>
      <c r="Q24" s="13">
        <v>35521</v>
      </c>
      <c r="R24" s="17">
        <v>38902</v>
      </c>
      <c r="S24" s="17">
        <v>38322</v>
      </c>
      <c r="T24" s="17" t="s">
        <v>34</v>
      </c>
      <c r="U24" s="14">
        <v>41367</v>
      </c>
      <c r="V24" s="17">
        <v>38169</v>
      </c>
      <c r="W24" s="17">
        <v>38808</v>
      </c>
      <c r="X24" s="14">
        <v>36708</v>
      </c>
      <c r="Y24" s="13">
        <v>39022</v>
      </c>
      <c r="Z24" s="13">
        <v>42235</v>
      </c>
    </row>
    <row r="27" spans="1:26" x14ac:dyDescent="0.25">
      <c r="B27" s="20"/>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2"/>
  <sheetViews>
    <sheetView topLeftCell="A6" zoomScale="85" zoomScaleNormal="85" workbookViewId="0">
      <selection activeCell="L11" sqref="L11:L1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12.42578125" customWidth="1"/>
    <col min="18" max="18" width="9.42578125" bestFit="1" customWidth="1"/>
  </cols>
  <sheetData>
    <row r="1" spans="1:28" ht="25.5" x14ac:dyDescent="0.35">
      <c r="A1" s="50"/>
      <c r="B1" s="50"/>
      <c r="C1" s="50"/>
      <c r="D1" s="50"/>
      <c r="E1" s="50"/>
      <c r="F1" s="50"/>
      <c r="G1" s="50"/>
      <c r="H1" s="50"/>
      <c r="I1" s="50"/>
      <c r="J1" s="50"/>
      <c r="K1" s="50"/>
      <c r="L1" s="50"/>
      <c r="M1" s="50"/>
      <c r="N1" s="50"/>
      <c r="O1" s="50"/>
      <c r="P1" s="50"/>
      <c r="Q1" s="50"/>
      <c r="R1" s="50"/>
      <c r="S1" s="50"/>
      <c r="T1" s="50"/>
      <c r="U1" s="50"/>
      <c r="V1" s="50"/>
      <c r="W1" s="3"/>
      <c r="X1" s="3"/>
      <c r="Y1" s="3"/>
      <c r="Z1" s="3"/>
      <c r="AA1" s="3"/>
      <c r="AB1" s="3"/>
    </row>
    <row r="2" spans="1:28" ht="25.5" x14ac:dyDescent="0.35">
      <c r="A2" s="3"/>
      <c r="B2" s="4" t="s">
        <v>35</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x14ac:dyDescent="0.25">
      <c r="A7" s="49" t="s">
        <v>36</v>
      </c>
      <c r="B7" s="7"/>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8"/>
      <c r="J8" s="8"/>
      <c r="K8" s="8"/>
      <c r="L8" s="8"/>
      <c r="M8" s="8"/>
      <c r="N8" s="8"/>
      <c r="O8" s="3"/>
      <c r="P8" s="3"/>
      <c r="Q8" s="3"/>
      <c r="R8" s="3"/>
      <c r="S8" s="3"/>
      <c r="T8" s="3"/>
      <c r="U8" s="3"/>
      <c r="V8" s="3"/>
      <c r="W8" s="3"/>
      <c r="X8" s="3"/>
      <c r="Y8" s="3"/>
      <c r="Z8" s="3"/>
      <c r="AA8" s="3"/>
      <c r="AB8" s="3"/>
    </row>
    <row r="9" spans="1:28" x14ac:dyDescent="0.25">
      <c r="A9" s="52"/>
      <c r="B9" s="52" t="s">
        <v>1</v>
      </c>
      <c r="C9" s="52" t="s">
        <v>1</v>
      </c>
      <c r="D9" s="52" t="s">
        <v>2</v>
      </c>
      <c r="E9" s="52" t="s">
        <v>2</v>
      </c>
      <c r="F9" s="52" t="s">
        <v>6</v>
      </c>
      <c r="G9" s="52" t="s">
        <v>6</v>
      </c>
      <c r="H9" s="52" t="s">
        <v>6</v>
      </c>
      <c r="I9" s="52" t="s">
        <v>3</v>
      </c>
      <c r="J9" s="52" t="s">
        <v>5</v>
      </c>
      <c r="K9" s="52" t="s">
        <v>5</v>
      </c>
      <c r="L9" s="52" t="s">
        <v>324</v>
      </c>
      <c r="M9" s="52" t="s">
        <v>488</v>
      </c>
      <c r="N9" s="52" t="s">
        <v>489</v>
      </c>
      <c r="O9" s="52" t="s">
        <v>489</v>
      </c>
      <c r="P9" s="52" t="s">
        <v>51</v>
      </c>
      <c r="Q9" s="62" t="s">
        <v>14</v>
      </c>
      <c r="R9" s="19"/>
      <c r="S9" s="45"/>
      <c r="T9" s="45"/>
      <c r="U9" s="45"/>
      <c r="V9" s="45"/>
    </row>
    <row r="10" spans="1:28" ht="103.5" customHeight="1" x14ac:dyDescent="0.25">
      <c r="A10" s="55"/>
      <c r="B10" s="55" t="s">
        <v>490</v>
      </c>
      <c r="C10" s="55" t="s">
        <v>38</v>
      </c>
      <c r="D10" s="55" t="s">
        <v>491</v>
      </c>
      <c r="E10" s="55" t="s">
        <v>492</v>
      </c>
      <c r="F10" s="55" t="s">
        <v>493</v>
      </c>
      <c r="G10" s="55" t="s">
        <v>490</v>
      </c>
      <c r="H10" s="55" t="s">
        <v>494</v>
      </c>
      <c r="I10" s="55" t="s">
        <v>495</v>
      </c>
      <c r="J10" s="55" t="s">
        <v>494</v>
      </c>
      <c r="K10" s="55" t="s">
        <v>496</v>
      </c>
      <c r="L10" s="55" t="s">
        <v>497</v>
      </c>
      <c r="M10" s="55" t="s">
        <v>498</v>
      </c>
      <c r="N10" s="55" t="s">
        <v>499</v>
      </c>
      <c r="O10" s="55" t="s">
        <v>494</v>
      </c>
      <c r="P10" s="55" t="s">
        <v>500</v>
      </c>
      <c r="Q10" s="55" t="s">
        <v>501</v>
      </c>
      <c r="S10" s="45"/>
      <c r="T10" s="45"/>
      <c r="U10" s="45"/>
    </row>
    <row r="11" spans="1:28" x14ac:dyDescent="0.25">
      <c r="A11" s="46" t="s">
        <v>508</v>
      </c>
      <c r="B11" s="48">
        <f>INDEX(CIBC_rates!$B$8:$E$12,MATCH(VALUE(LEFT(A11,FIND(" ",A11)-1)),CIBC_rates!$E$8:$E$12,1),2)*100</f>
        <v>0.25</v>
      </c>
      <c r="C11" s="48">
        <f>(CIBC_rates!$C$22)*100</f>
        <v>1.7000000000000002</v>
      </c>
      <c r="D11" s="48">
        <f>INDEX(TD_rates!$C$62:$F$67,MATCH(VALUE(LEFT(A11,FIND(" ",A11)-1)),TD_rates!$F$62:$F$67,1),2)*100</f>
        <v>0.1</v>
      </c>
      <c r="E11" s="48">
        <f>(TD_rates!$G$31)*100</f>
        <v>1.7000000000000002</v>
      </c>
      <c r="F11" s="48" t="str">
        <f>(RBC_Rates!$C$124)</f>
        <v>0.250</v>
      </c>
      <c r="G11" s="48" t="str">
        <f>(RBC_Rates!$C$123)</f>
        <v>0.000</v>
      </c>
      <c r="H11" s="48" t="str">
        <f>(RBC_Rates!$C$124)</f>
        <v>0.250</v>
      </c>
      <c r="I11" s="48">
        <f>INDEX(BMO_rates!$B$9:$E$10,MATCH(VALUE(LEFT(A11,FIND(" ",A11)-1)),BMO_rates!$E$9:$E$10,1),2)*100</f>
        <v>0.05</v>
      </c>
      <c r="J11" s="63">
        <f>BNS_Rates!$D$40</f>
        <v>1.7999999999999999E-2</v>
      </c>
      <c r="K11" s="48">
        <f>INDEX(BNS_Rates!$B$26:$H$31,MATCH(VALUE(LEFT(A11,FIND(" ",A11)-1)),BNS_Rates!$H$26:$H$31,1),2)*100</f>
        <v>0.15</v>
      </c>
      <c r="L11" s="64" t="s">
        <v>514</v>
      </c>
      <c r="M11" s="48">
        <f>LEFT((ICICI_rates!$B$6),5)*100</f>
        <v>0.3</v>
      </c>
      <c r="N11" s="48" t="e">
        <f>(Manulife_rates!#REF!)*100</f>
        <v>#REF!</v>
      </c>
      <c r="O11" s="63" t="e">
        <f>(Manulife_rates!#REF!)*100</f>
        <v>#REF!</v>
      </c>
      <c r="P11" s="48">
        <f>(Altamira_rates!$D$11)*100</f>
        <v>1.6500000000000001</v>
      </c>
      <c r="Q11" s="48">
        <f>(BNS_Rates!$D$35)*100</f>
        <v>0.25</v>
      </c>
    </row>
    <row r="12" spans="1:28" x14ac:dyDescent="0.25">
      <c r="A12" s="46" t="s">
        <v>505</v>
      </c>
      <c r="B12" s="48">
        <f>INDEX(CIBC_rates!$B$8:$E$12,MATCH(VALUE(LEFT(A12,FIND(" ",A12)-1)),CIBC_rates!$E$8:$E$12,1),2)*100</f>
        <v>0.25</v>
      </c>
      <c r="C12" s="48">
        <f>(CIBC_rates!$C$22)*100</f>
        <v>1.7000000000000002</v>
      </c>
      <c r="D12" s="48">
        <f>INDEX(TD_rates!$C$62:$F$67,MATCH(VALUE(LEFT(A12,FIND(" ",A12)-1)),TD_rates!$F$62:$F$67,1),2)*100</f>
        <v>0.1</v>
      </c>
      <c r="E12" s="48">
        <f>(TD_rates!$G$31)*100</f>
        <v>1.7000000000000002</v>
      </c>
      <c r="F12" s="48" t="str">
        <f>(RBC_Rates!$C$124)</f>
        <v>0.250</v>
      </c>
      <c r="G12" s="48" t="str">
        <f>(RBC_Rates!$C$123)</f>
        <v>0.000</v>
      </c>
      <c r="H12" s="48" t="str">
        <f>(RBC_Rates!$C$124)</f>
        <v>0.250</v>
      </c>
      <c r="I12" s="48">
        <f>INDEX(BMO_rates!$B$9:$E$10,MATCH(VALUE(LEFT(A12,FIND(" ",A12)-1)),BMO_rates!$E$9:$E$10,1),2)*100</f>
        <v>0.05</v>
      </c>
      <c r="J12" s="63">
        <f>BNS_Rates!$D$39</f>
        <v>1.6500000000000001E-2</v>
      </c>
      <c r="K12" s="48">
        <f>INDEX(BNS_Rates!$B$26:$H$31,MATCH(VALUE(LEFT(A12,FIND(" ",A12)-1)),BNS_Rates!$H$26:$H$31,1),2)*100</f>
        <v>0.15</v>
      </c>
      <c r="L12" s="64" t="s">
        <v>514</v>
      </c>
      <c r="M12" s="48">
        <f>LEFT((ICICI_rates!$B$6),5)*100</f>
        <v>0.3</v>
      </c>
      <c r="N12" s="48" t="e">
        <f>(Manulife_rates!#REF!)*100</f>
        <v>#REF!</v>
      </c>
      <c r="O12" s="63" t="e">
        <f>(Manulife_rates!#REF!)*100</f>
        <v>#REF!</v>
      </c>
      <c r="P12" s="48">
        <f>(Altamira_rates!$D$11)*100</f>
        <v>1.6500000000000001</v>
      </c>
      <c r="Q12" s="48">
        <f>(BNS_Rates!$D$35)*100</f>
        <v>0.25</v>
      </c>
      <c r="S12" s="45"/>
      <c r="T12" s="45"/>
      <c r="U12" s="45"/>
    </row>
    <row r="13" spans="1:28" s="45" customFormat="1" x14ac:dyDescent="0.25">
      <c r="A13" s="46" t="s">
        <v>506</v>
      </c>
      <c r="B13" s="48">
        <f>INDEX(CIBC_rates!$B$8:$E$12,MATCH(VALUE(LEFT(A13,FIND(" ",A13)-1)),CIBC_rates!$E$8:$E$12,1),2)*100</f>
        <v>0.25</v>
      </c>
      <c r="C13" s="48">
        <f>(CIBC_rates!$C$22)*100</f>
        <v>1.7000000000000002</v>
      </c>
      <c r="D13" s="48">
        <f>INDEX(TD_rates!$C$62:$F$67,MATCH(VALUE(LEFT(A13,FIND(" ",A13)-1)),TD_rates!$F$62:$F$67,1),2)*100</f>
        <v>0.1</v>
      </c>
      <c r="E13" s="48">
        <f>(TD_rates!$G$31)*100</f>
        <v>1.7000000000000002</v>
      </c>
      <c r="F13" s="48" t="str">
        <f>(RBC_Rates!$C$124)</f>
        <v>0.250</v>
      </c>
      <c r="G13" s="48" t="str">
        <f>(RBC_Rates!$C$123)</f>
        <v>0.000</v>
      </c>
      <c r="H13" s="48" t="str">
        <f>(RBC_Rates!$C$124)</f>
        <v>0.250</v>
      </c>
      <c r="I13" s="48">
        <f>INDEX(BMO_rates!$B$9:$E$10,MATCH(VALUE(LEFT(A13,FIND(" ",A13)-1)),BMO_rates!$E$9:$E$10,1),2)*100</f>
        <v>0.05</v>
      </c>
      <c r="J13" s="63">
        <f>BNS_Rates!$D$39</f>
        <v>1.6500000000000001E-2</v>
      </c>
      <c r="K13" s="48">
        <f>INDEX(BNS_Rates!$B$26:$H$31,MATCH(VALUE(LEFT(A13,FIND(" ",A13)-1)),BNS_Rates!$H$26:$H$31,1),2)*100</f>
        <v>0.1</v>
      </c>
      <c r="L13" s="64" t="s">
        <v>514</v>
      </c>
      <c r="M13" s="48">
        <f>LEFT((ICICI_rates!$B$6),5)*100</f>
        <v>0.3</v>
      </c>
      <c r="N13" s="48" t="e">
        <f>(Manulife_rates!#REF!)*100</f>
        <v>#REF!</v>
      </c>
      <c r="O13" s="63" t="e">
        <f>(Manulife_rates!#REF!)*100</f>
        <v>#REF!</v>
      </c>
      <c r="P13" s="48">
        <f>(Altamira_rates!$D$11)*100</f>
        <v>1.6500000000000001</v>
      </c>
      <c r="Q13" s="48">
        <f>(BNS_Rates!$D$35)*100</f>
        <v>0.25</v>
      </c>
    </row>
    <row r="14" spans="1:28" x14ac:dyDescent="0.25">
      <c r="A14" s="46" t="s">
        <v>507</v>
      </c>
      <c r="B14" s="48">
        <f>INDEX(CIBC_rates!$B$8:$E$12,MATCH(VALUE(LEFT(A14,FIND(" ",A14)-1)),CIBC_rates!$E$8:$E$12,1),2)*100</f>
        <v>0.25</v>
      </c>
      <c r="C14" s="48">
        <f>(CIBC_rates!$C$22)*100</f>
        <v>1.7000000000000002</v>
      </c>
      <c r="D14" s="48">
        <f>INDEX(TD_rates!$C$62:$F$67,MATCH(VALUE(LEFT(A14,FIND(" ",A14)-1)),TD_rates!$F$62:$F$67,1),2)*100</f>
        <v>0.1</v>
      </c>
      <c r="E14" s="48">
        <f>(TD_rates!$G$31)*100</f>
        <v>1.7000000000000002</v>
      </c>
      <c r="F14" s="48" t="str">
        <f>(RBC_Rates!$C$124)</f>
        <v>0.250</v>
      </c>
      <c r="G14" s="48" t="str">
        <f>(RBC_Rates!$C$123)</f>
        <v>0.000</v>
      </c>
      <c r="H14" s="48" t="str">
        <f>H12</f>
        <v>0.250</v>
      </c>
      <c r="I14" s="48">
        <f>INDEX(BMO_rates!$B$9:$E$10,MATCH(VALUE(LEFT(A14,FIND(" ",A14)-1)),BMO_rates!$E$9:$E$10,1),2)*100</f>
        <v>0.05</v>
      </c>
      <c r="J14" s="63">
        <f>BNS_Rates!$D$39</f>
        <v>1.6500000000000001E-2</v>
      </c>
      <c r="K14" s="48">
        <f>INDEX(BNS_Rates!$B$26:$H$31,MATCH(VALUE(LEFT(A14,FIND(" ",A14)-1)),BNS_Rates!$H$26:$H$31,1),2)*100</f>
        <v>0.1</v>
      </c>
      <c r="L14" s="64" t="s">
        <v>514</v>
      </c>
      <c r="M14" s="48">
        <f>LEFT((ICICI_rates!$B$6),5)*100</f>
        <v>0.3</v>
      </c>
      <c r="N14" s="48" t="e">
        <f>(Manulife_rates!#REF!)*100</f>
        <v>#REF!</v>
      </c>
      <c r="O14" s="63" t="e">
        <f>(Manulife_rates!#REF!)*100</f>
        <v>#REF!</v>
      </c>
      <c r="P14" s="48">
        <f>(Altamira_rates!$D$11)*100</f>
        <v>1.6500000000000001</v>
      </c>
      <c r="Q14" s="48">
        <f>(BNS_Rates!$D$35)*100</f>
        <v>0.25</v>
      </c>
      <c r="S14" s="45"/>
      <c r="T14" s="45"/>
      <c r="U14" s="45"/>
    </row>
    <row r="15" spans="1:28" x14ac:dyDescent="0.25">
      <c r="A15" s="46" t="s">
        <v>40</v>
      </c>
      <c r="B15" s="48">
        <f>INDEX(CIBC_rates!$B$8:$E$12,MATCH(VALUE(LEFT(A15,FIND(" ",A15)-1)),CIBC_rates!$E$8:$E$12,1),2)*100</f>
        <v>0.25</v>
      </c>
      <c r="C15" s="48">
        <f>(CIBC_rates!$C$22)*100</f>
        <v>1.7000000000000002</v>
      </c>
      <c r="D15" s="48">
        <f>INDEX(TD_rates!$C$62:$F$67,MATCH(VALUE(LEFT(A15,FIND(" ",A15)-1)),TD_rates!$F$62:$F$67,1),2)*100</f>
        <v>0.05</v>
      </c>
      <c r="E15" s="48">
        <f>(TD_rates!$G$31)*100</f>
        <v>1.7000000000000002</v>
      </c>
      <c r="F15" s="48" t="str">
        <f>(RBC_Rates!$C$124)</f>
        <v>0.250</v>
      </c>
      <c r="G15" s="48" t="str">
        <f>(RBC_Rates!$C$123)</f>
        <v>0.000</v>
      </c>
      <c r="H15" s="48" t="str">
        <f>H14</f>
        <v>0.250</v>
      </c>
      <c r="I15" s="48">
        <f>INDEX(BMO_rates!$B$9:$E$10,MATCH(VALUE(LEFT(A15,FIND(" ",A15)-1)),BMO_rates!$E$9:$E$10,1),2)*100</f>
        <v>0.05</v>
      </c>
      <c r="J15" s="63">
        <f>BNS_Rates!$D$39</f>
        <v>1.6500000000000001E-2</v>
      </c>
      <c r="K15" s="48">
        <f>INDEX(BNS_Rates!$B$26:$H$31,MATCH(VALUE(LEFT(A15,FIND(" ",A15)-1)),BNS_Rates!$H$26:$H$31,1),2)*100</f>
        <v>0.05</v>
      </c>
      <c r="L15" s="64" t="s">
        <v>514</v>
      </c>
      <c r="M15" s="48">
        <f>LEFT((ICICI_rates!$B$6),5)*100</f>
        <v>0.3</v>
      </c>
      <c r="N15" s="48" t="e">
        <f>(Manulife_rates!#REF!)*100</f>
        <v>#REF!</v>
      </c>
      <c r="O15" s="63" t="e">
        <f>(Manulife_rates!#REF!)*100</f>
        <v>#REF!</v>
      </c>
      <c r="P15" s="48">
        <f>(Altamira_rates!$D$11)*100</f>
        <v>1.6500000000000001</v>
      </c>
      <c r="Q15" s="48">
        <f>(BNS_Rates!$D$35)*100</f>
        <v>0.25</v>
      </c>
      <c r="S15" s="45"/>
      <c r="T15" s="45"/>
      <c r="U15" s="45"/>
    </row>
    <row r="16" spans="1:28" x14ac:dyDescent="0.25">
      <c r="A16" s="46" t="s">
        <v>41</v>
      </c>
      <c r="B16" s="48">
        <f>INDEX(CIBC_rates!$B$8:$E$12,MATCH(VALUE(LEFT(A16,FIND(" ",A16)-1)),CIBC_rates!$E$8:$E$12,1),2)*100</f>
        <v>0.25</v>
      </c>
      <c r="C16" s="48">
        <f>(CIBC_rates!$C$22)*100</f>
        <v>1.7000000000000002</v>
      </c>
      <c r="D16" s="48">
        <f>INDEX(TD_rates!$C$62:$F$67,MATCH(VALUE(LEFT(A16,FIND(" ",A16)-1)),TD_rates!$F$62:$F$67,1),2)*100</f>
        <v>2.5000000000000001E-2</v>
      </c>
      <c r="E16" s="48">
        <f>(TD_rates!$G$31)*100</f>
        <v>1.7000000000000002</v>
      </c>
      <c r="F16" s="48" t="str">
        <f>(RBC_Rates!$C$124)</f>
        <v>0.250</v>
      </c>
      <c r="G16" s="48" t="str">
        <f>(RBC_Rates!$C$123)</f>
        <v>0.000</v>
      </c>
      <c r="H16" s="48" t="str">
        <f>H15</f>
        <v>0.250</v>
      </c>
      <c r="I16" s="48">
        <f>INDEX(BMO_rates!$B$9:$E$10,MATCH(VALUE(LEFT(A16,FIND(" ",A16)-1)),BMO_rates!$E$9:$E$10,1),2)*100</f>
        <v>0.05</v>
      </c>
      <c r="J16" s="63">
        <f>BNS_Rates!$D$39</f>
        <v>1.6500000000000001E-2</v>
      </c>
      <c r="K16" s="48">
        <f>INDEX(BNS_Rates!$B$26:$H$31,MATCH(VALUE(LEFT(A16,FIND(" ",A16)-1)),BNS_Rates!$H$26:$H$31,1),2)*100</f>
        <v>2.5000000000000001E-2</v>
      </c>
      <c r="L16" s="64" t="s">
        <v>514</v>
      </c>
      <c r="M16" s="48">
        <f>LEFT((ICICI_rates!$B$6),5)*100</f>
        <v>0.3</v>
      </c>
      <c r="N16" s="48" t="e">
        <f>(Manulife_rates!#REF!)*100</f>
        <v>#REF!</v>
      </c>
      <c r="O16" s="63" t="e">
        <f>(Manulife_rates!#REF!)*100</f>
        <v>#REF!</v>
      </c>
      <c r="P16" s="48">
        <f>(Altamira_rates!$D$11)*100</f>
        <v>1.6500000000000001</v>
      </c>
      <c r="Q16" s="48">
        <f>(BNS_Rates!$D$35)*100</f>
        <v>0.25</v>
      </c>
      <c r="S16" s="45"/>
      <c r="T16" s="45"/>
      <c r="U16" s="45"/>
    </row>
    <row r="17" spans="1:21" x14ac:dyDescent="0.25">
      <c r="A17" s="46" t="s">
        <v>42</v>
      </c>
      <c r="B17" s="48">
        <f>INDEX(CIBC_rates!$B$8:$E$12,MATCH(VALUE(LEFT(A17,FIND(" ",A17)-1)),CIBC_rates!$E$8:$E$12,1),2)*100</f>
        <v>0.25</v>
      </c>
      <c r="C17" s="48">
        <f>(CIBC_rates!$C$22)*100</f>
        <v>1.7000000000000002</v>
      </c>
      <c r="D17" s="48">
        <f>INDEX(TD_rates!$C$62:$F$67,MATCH(VALUE(LEFT(A17,FIND(" ",A17)-1)),TD_rates!$F$62:$F$67,1),2)*100</f>
        <v>0.01</v>
      </c>
      <c r="E17" s="48">
        <f>(TD_rates!$G$31)*100</f>
        <v>1.7000000000000002</v>
      </c>
      <c r="F17" s="48" t="str">
        <f>(RBC_Rates!$C$124)</f>
        <v>0.250</v>
      </c>
      <c r="G17" s="48" t="str">
        <f>(RBC_Rates!$C$123)</f>
        <v>0.000</v>
      </c>
      <c r="H17" s="48" t="str">
        <f t="shared" ref="H17:H19" si="0">H16</f>
        <v>0.250</v>
      </c>
      <c r="I17" s="48">
        <f>INDEX(BMO_rates!$B$9:$E$10,MATCH(VALUE(LEFT(A17,FIND(" ",A17)-1)),BMO_rates!$E$9:$E$10,1),2)*100</f>
        <v>0.05</v>
      </c>
      <c r="J17" s="63">
        <f>BNS_Rates!$D$39</f>
        <v>1.6500000000000001E-2</v>
      </c>
      <c r="K17" s="48">
        <f>INDEX(BNS_Rates!$B$26:$H$31,MATCH(VALUE(LEFT(A17,FIND(" ",A17)-1)),BNS_Rates!$H$26:$H$31,1),2)*100</f>
        <v>0.01</v>
      </c>
      <c r="L17" s="64" t="s">
        <v>514</v>
      </c>
      <c r="M17" s="48">
        <f>LEFT((ICICI_rates!$B$6),5)*100</f>
        <v>0.3</v>
      </c>
      <c r="N17" s="48" t="e">
        <f>(Manulife_rates!#REF!)*100</f>
        <v>#REF!</v>
      </c>
      <c r="O17" s="63" t="e">
        <f>(Manulife_rates!#REF!)*100</f>
        <v>#REF!</v>
      </c>
      <c r="P17" s="48">
        <f>(Altamira_rates!$D$11)*100</f>
        <v>1.6500000000000001</v>
      </c>
      <c r="Q17" s="48">
        <f>(BNS_Rates!$D$35)*100</f>
        <v>0.25</v>
      </c>
      <c r="S17" s="45"/>
      <c r="T17" s="45"/>
      <c r="U17" s="45"/>
    </row>
    <row r="18" spans="1:21" x14ac:dyDescent="0.25">
      <c r="A18" s="46" t="s">
        <v>43</v>
      </c>
      <c r="B18" s="48">
        <f>INDEX(CIBC_rates!$B$8:$E$12,MATCH(VALUE(LEFT(A18,FIND(" ",A18)-1)),CIBC_rates!$E$8:$E$12,1),2)*100</f>
        <v>0.25</v>
      </c>
      <c r="C18" s="48">
        <f>(CIBC_rates!$C$22)*100</f>
        <v>1.7000000000000002</v>
      </c>
      <c r="D18" s="48">
        <f>INDEX(TD_rates!$C$62:$F$67,MATCH(VALUE(LEFT(A18,FIND(" ",A18)-1)),TD_rates!$F$62:$F$67,1),2)*100</f>
        <v>0.01</v>
      </c>
      <c r="E18" s="48">
        <f>(TD_rates!$G$31)*100</f>
        <v>1.7000000000000002</v>
      </c>
      <c r="F18" s="48" t="str">
        <f>(RBC_Rates!$C$124)</f>
        <v>0.250</v>
      </c>
      <c r="G18" s="48" t="str">
        <f>(RBC_Rates!$C$123)</f>
        <v>0.000</v>
      </c>
      <c r="H18" s="48" t="str">
        <f t="shared" si="0"/>
        <v>0.250</v>
      </c>
      <c r="I18" s="48">
        <f>INDEX(BMO_rates!$B$9:$E$10,MATCH(VALUE(LEFT(A18,FIND(" ",A18)-1)),BMO_rates!$E$9:$E$10,1),2)*100</f>
        <v>0.05</v>
      </c>
      <c r="J18" s="63">
        <f>BNS_Rates!$D$39</f>
        <v>1.6500000000000001E-2</v>
      </c>
      <c r="K18" s="48">
        <f>INDEX(BNS_Rates!$B$26:$H$31,MATCH(VALUE(LEFT(A18,FIND(" ",A18)-1)),BNS_Rates!$H$26:$H$31,1),2)*100</f>
        <v>0.01</v>
      </c>
      <c r="L18" s="64" t="s">
        <v>514</v>
      </c>
      <c r="M18" s="48">
        <f>LEFT((ICICI_rates!$B$6),5)*100</f>
        <v>0.3</v>
      </c>
      <c r="N18" s="48" t="e">
        <f>(Manulife_rates!#REF!)*100</f>
        <v>#REF!</v>
      </c>
      <c r="O18" s="63" t="e">
        <f>(Manulife_rates!#REF!)*100</f>
        <v>#REF!</v>
      </c>
      <c r="P18" s="48">
        <f>(Altamira_rates!$D$11)*100</f>
        <v>1.6500000000000001</v>
      </c>
      <c r="Q18" s="48">
        <f>(BNS_Rates!$D$35)*100</f>
        <v>0.25</v>
      </c>
      <c r="S18" s="45"/>
      <c r="T18" s="45"/>
      <c r="U18" s="45"/>
    </row>
    <row r="19" spans="1:21" x14ac:dyDescent="0.25">
      <c r="A19" s="46" t="s">
        <v>44</v>
      </c>
      <c r="B19" s="48">
        <f>INDEX(CIBC_rates!$B$8:$E$12,MATCH(VALUE(LEFT(A19,FIND(" ",A19)-1)),CIBC_rates!$E$8:$E$12,1),2)*100</f>
        <v>0.25</v>
      </c>
      <c r="C19" s="48">
        <f>(CIBC_rates!$C$22)*100</f>
        <v>1.7000000000000002</v>
      </c>
      <c r="D19" s="48">
        <f>INDEX(TD_rates!$C$62:$F$67,MATCH(VALUE(LEFT(A19,FIND(" ",A19)-1)),TD_rates!$F$62:$F$67,1),2)*100</f>
        <v>0</v>
      </c>
      <c r="E19" s="48">
        <f>(TD_rates!$G$31)*100</f>
        <v>1.7000000000000002</v>
      </c>
      <c r="F19" s="48" t="str">
        <f>(RBC_Rates!$C$124)</f>
        <v>0.250</v>
      </c>
      <c r="G19" s="48" t="str">
        <f>(RBC_Rates!$C$123)</f>
        <v>0.000</v>
      </c>
      <c r="H19" s="48" t="str">
        <f t="shared" si="0"/>
        <v>0.250</v>
      </c>
      <c r="I19" s="48">
        <f>INDEX(BMO_rates!$B$9:$E$10,MATCH(VALUE(LEFT(A19,FIND(" ",A19)-1)),BMO_rates!$E$9:$E$10,1),2)*100</f>
        <v>0.05</v>
      </c>
      <c r="J19" s="63">
        <f>BNS_Rates!$D$39</f>
        <v>1.6500000000000001E-2</v>
      </c>
      <c r="K19" s="48">
        <f>INDEX(BNS_Rates!$B$26:$H$31,MATCH(VALUE(LEFT(A19,FIND(" ",A19)-1)),BNS_Rates!$H$26:$H$31,1),2)*100</f>
        <v>0</v>
      </c>
      <c r="L19" s="64" t="s">
        <v>514</v>
      </c>
      <c r="M19" s="48">
        <f>LEFT((ICICI_rates!$B$6),5)*100</f>
        <v>0.3</v>
      </c>
      <c r="N19" s="48" t="e">
        <f>(Manulife_rates!#REF!)*100</f>
        <v>#REF!</v>
      </c>
      <c r="O19" s="63" t="e">
        <f>(Manulife_rates!#REF!)*100</f>
        <v>#REF!</v>
      </c>
      <c r="P19" s="48">
        <f>(Altamira_rates!$D$11)*100</f>
        <v>1.6500000000000001</v>
      </c>
      <c r="Q19" s="48">
        <f>(BNS_Rates!$D$35)*100</f>
        <v>0.25</v>
      </c>
      <c r="S19" s="45"/>
      <c r="T19" s="45"/>
      <c r="U19" s="45"/>
    </row>
    <row r="20" spans="1:21" x14ac:dyDescent="0.25">
      <c r="A20" s="57"/>
      <c r="B20" s="58"/>
      <c r="C20" s="59"/>
      <c r="D20" s="60"/>
      <c r="E20" s="60"/>
      <c r="F20" s="60"/>
      <c r="G20" s="60"/>
      <c r="H20" s="59"/>
      <c r="I20" s="61"/>
      <c r="J20" s="68"/>
      <c r="K20" s="60"/>
      <c r="L20" s="59"/>
      <c r="M20" s="58"/>
      <c r="N20" s="59"/>
      <c r="O20" s="59"/>
      <c r="P20" s="59"/>
      <c r="Q20" s="57"/>
    </row>
    <row r="21" spans="1:21" x14ac:dyDescent="0.25">
      <c r="A21" s="12" t="s">
        <v>32</v>
      </c>
      <c r="B21" s="13">
        <v>43625</v>
      </c>
      <c r="C21" s="13">
        <v>43626</v>
      </c>
      <c r="D21" s="13">
        <v>43627</v>
      </c>
      <c r="E21" s="13">
        <v>43628</v>
      </c>
      <c r="F21" s="13">
        <v>43629</v>
      </c>
      <c r="G21" s="13">
        <v>43630</v>
      </c>
      <c r="H21" s="13">
        <v>43631</v>
      </c>
      <c r="I21" s="13">
        <v>43632</v>
      </c>
      <c r="J21" s="13">
        <v>43633</v>
      </c>
      <c r="K21" s="13">
        <v>43634</v>
      </c>
      <c r="L21" s="13">
        <v>43635</v>
      </c>
      <c r="M21" s="13">
        <v>43636</v>
      </c>
      <c r="N21" s="13">
        <v>43637</v>
      </c>
      <c r="O21" s="13">
        <v>43638</v>
      </c>
      <c r="P21" s="13">
        <v>43639</v>
      </c>
      <c r="Q21" s="13">
        <v>43640</v>
      </c>
    </row>
    <row r="22" spans="1:21" x14ac:dyDescent="0.25">
      <c r="A22" s="16" t="s">
        <v>45</v>
      </c>
      <c r="B22" s="46" t="s">
        <v>46</v>
      </c>
      <c r="C22" s="46" t="s">
        <v>47</v>
      </c>
      <c r="D22" s="46" t="s">
        <v>46</v>
      </c>
      <c r="E22" s="46" t="s">
        <v>47</v>
      </c>
      <c r="F22" s="46" t="s">
        <v>46</v>
      </c>
      <c r="G22" s="46" t="s">
        <v>46</v>
      </c>
      <c r="H22" s="46" t="s">
        <v>47</v>
      </c>
      <c r="I22" s="46" t="s">
        <v>46</v>
      </c>
      <c r="J22" s="46" t="s">
        <v>47</v>
      </c>
      <c r="K22" s="46" t="s">
        <v>46</v>
      </c>
      <c r="L22" s="46" t="s">
        <v>46</v>
      </c>
      <c r="M22" s="46" t="s">
        <v>46</v>
      </c>
      <c r="N22" s="46" t="s">
        <v>46</v>
      </c>
      <c r="O22" s="46" t="s">
        <v>47</v>
      </c>
      <c r="P22" s="46" t="s">
        <v>47</v>
      </c>
      <c r="Q22" s="46" t="s">
        <v>47</v>
      </c>
    </row>
  </sheetData>
  <pageMargins left="0.7" right="0.7" top="0.75" bottom="0.75" header="0.3" footer="0.3"/>
  <pageSetup orientation="portrait" horizontalDpi="4294967295" verticalDpi="4294967295"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2"/>
  <sheetViews>
    <sheetView topLeftCell="A6" zoomScale="85" zoomScaleNormal="85" workbookViewId="0">
      <selection activeCell="H11" sqref="H11"/>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5" bestFit="1" customWidth="1"/>
    <col min="9" max="9" width="10" bestFit="1" customWidth="1"/>
    <col min="10" max="10" width="12.5703125" bestFit="1" customWidth="1"/>
    <col min="11" max="12" width="10" bestFit="1" customWidth="1"/>
    <col min="13" max="13" width="11" bestFit="1" customWidth="1"/>
  </cols>
  <sheetData>
    <row r="1" spans="1:14" ht="25.5" x14ac:dyDescent="0.35">
      <c r="A1" s="50"/>
      <c r="B1" s="50"/>
      <c r="C1" s="50"/>
      <c r="D1" s="50"/>
      <c r="E1" s="50"/>
      <c r="F1" s="50"/>
      <c r="G1" s="50"/>
      <c r="H1" s="50"/>
      <c r="I1" s="50"/>
      <c r="J1" s="50"/>
      <c r="K1" s="50"/>
      <c r="L1" s="3"/>
      <c r="M1" s="3"/>
      <c r="N1" s="3"/>
    </row>
    <row r="2" spans="1:14" ht="25.5" x14ac:dyDescent="0.35">
      <c r="A2" s="69"/>
      <c r="B2" s="69" t="s">
        <v>48</v>
      </c>
      <c r="C2" s="69"/>
      <c r="D2" s="69"/>
      <c r="E2" s="69"/>
      <c r="F2" s="69"/>
      <c r="G2" s="69"/>
      <c r="H2" s="69"/>
      <c r="I2" s="69"/>
      <c r="J2" s="69"/>
      <c r="K2" s="69"/>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x14ac:dyDescent="0.25">
      <c r="A7" s="6" t="s">
        <v>49</v>
      </c>
      <c r="B7" s="7"/>
      <c r="C7" s="3"/>
      <c r="D7" s="3"/>
      <c r="E7" s="3"/>
      <c r="F7" s="3"/>
      <c r="G7" s="3"/>
      <c r="H7" s="3"/>
      <c r="I7" s="3"/>
      <c r="J7" s="3"/>
      <c r="K7" s="3"/>
      <c r="L7" s="3"/>
      <c r="M7" s="3"/>
      <c r="N7" s="3"/>
    </row>
    <row r="8" spans="1:14" x14ac:dyDescent="0.25">
      <c r="A8" s="11"/>
      <c r="B8" s="11"/>
      <c r="C8" s="11"/>
      <c r="D8" s="11"/>
      <c r="E8" s="11"/>
      <c r="F8" s="11"/>
      <c r="G8" s="11"/>
      <c r="H8" s="11"/>
      <c r="I8" s="11"/>
      <c r="J8" s="11"/>
      <c r="K8" s="11"/>
      <c r="L8" s="11"/>
      <c r="M8" s="11"/>
      <c r="N8" s="11"/>
    </row>
    <row r="9" spans="1:14" x14ac:dyDescent="0.25">
      <c r="A9" s="52"/>
      <c r="B9" s="52" t="s">
        <v>1</v>
      </c>
      <c r="C9" s="52" t="s">
        <v>1</v>
      </c>
      <c r="D9" s="52" t="s">
        <v>50</v>
      </c>
      <c r="E9" s="52" t="s">
        <v>50</v>
      </c>
      <c r="F9" s="52" t="s">
        <v>50</v>
      </c>
      <c r="G9" s="52" t="s">
        <v>50</v>
      </c>
      <c r="H9" s="52" t="s">
        <v>5</v>
      </c>
      <c r="I9" s="52" t="s">
        <v>6</v>
      </c>
      <c r="J9" s="52" t="s">
        <v>51</v>
      </c>
      <c r="K9" s="52" t="s">
        <v>10</v>
      </c>
      <c r="L9" s="52" t="s">
        <v>13</v>
      </c>
      <c r="M9" s="82" t="s">
        <v>52</v>
      </c>
    </row>
    <row r="10" spans="1:14" ht="64.5" x14ac:dyDescent="0.25">
      <c r="A10" s="55"/>
      <c r="B10" s="55" t="s">
        <v>549</v>
      </c>
      <c r="C10" s="55" t="s">
        <v>54</v>
      </c>
      <c r="D10" s="55" t="s">
        <v>55</v>
      </c>
      <c r="E10" s="55" t="s">
        <v>526</v>
      </c>
      <c r="F10" s="55" t="s">
        <v>527</v>
      </c>
      <c r="G10" s="55" t="s">
        <v>528</v>
      </c>
      <c r="H10" s="55" t="s">
        <v>532</v>
      </c>
      <c r="I10" s="55" t="s">
        <v>55</v>
      </c>
      <c r="J10" s="55" t="s">
        <v>56</v>
      </c>
      <c r="K10" s="55" t="s">
        <v>55</v>
      </c>
      <c r="L10" s="55" t="s">
        <v>57</v>
      </c>
      <c r="M10" s="55" t="s">
        <v>58</v>
      </c>
    </row>
    <row r="11" spans="1:14" x14ac:dyDescent="0.25">
      <c r="A11" s="9" t="s">
        <v>508</v>
      </c>
      <c r="B11" s="9">
        <f>(CIBC_rates!$B$25)*100</f>
        <v>1.6</v>
      </c>
      <c r="C11" s="48">
        <f>(CIBC_rates!$C$21)*100</f>
        <v>1.6</v>
      </c>
      <c r="D11" s="48">
        <f>(TD_rates!$G$30)*100</f>
        <v>1.6</v>
      </c>
      <c r="E11" s="48">
        <f>(TD_rates!$G$32)*100</f>
        <v>1.6</v>
      </c>
      <c r="F11" s="48">
        <f>(TD_rates!$G$33)*100</f>
        <v>1.6</v>
      </c>
      <c r="G11" s="48">
        <f>(TD_rates!$G$34)*100</f>
        <v>1.6</v>
      </c>
      <c r="H11" s="63">
        <v>1.75</v>
      </c>
      <c r="I11" s="9">
        <f>(RBC_Rates!$C$162)*100</f>
        <v>1.6</v>
      </c>
      <c r="J11" s="9">
        <f>(Altamira_rates!$D$4)*100</f>
        <v>1.6</v>
      </c>
      <c r="K11" s="9">
        <f>(Manulife_rates!$D$9)</f>
        <v>1.6</v>
      </c>
      <c r="L11" s="81">
        <f>(B2B_rates!$D$2)*100</f>
        <v>1.6</v>
      </c>
      <c r="M11" s="48">
        <f>(HomeTrust_rates!$B$13)*100</f>
        <v>1.6</v>
      </c>
    </row>
    <row r="12" spans="1:14" x14ac:dyDescent="0.25">
      <c r="A12" s="46" t="s">
        <v>505</v>
      </c>
      <c r="B12" s="46">
        <f>(CIBC_rates!$B$25)*100</f>
        <v>1.6</v>
      </c>
      <c r="C12" s="48">
        <f>(CIBC_rates!$C$21)*100</f>
        <v>1.6</v>
      </c>
      <c r="D12" s="48">
        <f>(TD_rates!$G$30)*100</f>
        <v>1.6</v>
      </c>
      <c r="E12" s="48">
        <f>(TD_rates!$G$32)*100</f>
        <v>1.6</v>
      </c>
      <c r="F12" s="48">
        <f>(TD_rates!$G$33)*100</f>
        <v>1.6</v>
      </c>
      <c r="G12" s="48">
        <f>(TD_rates!$G$34)*100</f>
        <v>1.6</v>
      </c>
      <c r="H12" s="63">
        <v>1.6</v>
      </c>
      <c r="I12" s="9">
        <f>(RBC_Rates!$C$162)*100</f>
        <v>1.6</v>
      </c>
      <c r="J12" s="46">
        <f>(Altamira_rates!$D$4)*100</f>
        <v>1.6</v>
      </c>
      <c r="K12" s="46">
        <f>(Manulife_rates!$D$9)</f>
        <v>1.6</v>
      </c>
      <c r="L12" s="81">
        <f>(B2B_rates!$D$2)*100</f>
        <v>1.6</v>
      </c>
      <c r="M12" s="48">
        <f>(HomeTrust_rates!$B$13)*100</f>
        <v>1.6</v>
      </c>
    </row>
    <row r="13" spans="1:14" x14ac:dyDescent="0.25">
      <c r="A13" s="46" t="s">
        <v>506</v>
      </c>
      <c r="B13" s="46">
        <f>(CIBC_rates!$B$25)*100</f>
        <v>1.6</v>
      </c>
      <c r="C13" s="48">
        <f>(CIBC_rates!$C$21)*100</f>
        <v>1.6</v>
      </c>
      <c r="D13" s="48">
        <f>(TD_rates!$G$30)*100</f>
        <v>1.6</v>
      </c>
      <c r="E13" s="48">
        <f>(TD_rates!$G$32)*100</f>
        <v>1.6</v>
      </c>
      <c r="F13" s="48">
        <f>(TD_rates!$G$33)*100</f>
        <v>1.6</v>
      </c>
      <c r="G13" s="48">
        <f>(TD_rates!$G$34)*100</f>
        <v>1.6</v>
      </c>
      <c r="H13" s="63">
        <v>1.6</v>
      </c>
      <c r="I13" s="9">
        <f>(RBC_Rates!$C$162)*100</f>
        <v>1.6</v>
      </c>
      <c r="J13" s="46">
        <f>(Altamira_rates!$D$4)*100</f>
        <v>1.6</v>
      </c>
      <c r="K13" s="46">
        <f>(Manulife_rates!$D$9)</f>
        <v>1.6</v>
      </c>
      <c r="L13" s="81">
        <f>(B2B_rates!$D$2)*100</f>
        <v>1.6</v>
      </c>
      <c r="M13" s="48">
        <f>(HomeTrust_rates!$B$13)*100</f>
        <v>1.6</v>
      </c>
    </row>
    <row r="14" spans="1:14" x14ac:dyDescent="0.25">
      <c r="A14" s="46" t="s">
        <v>507</v>
      </c>
      <c r="B14" s="46">
        <f>(CIBC_rates!$B$25)*100</f>
        <v>1.6</v>
      </c>
      <c r="C14" s="48">
        <f>(CIBC_rates!$C$21)*100</f>
        <v>1.6</v>
      </c>
      <c r="D14" s="48">
        <f>(TD_rates!$G$30)*100</f>
        <v>1.6</v>
      </c>
      <c r="E14" s="48">
        <f>(TD_rates!$G$32)*100</f>
        <v>1.6</v>
      </c>
      <c r="F14" s="48">
        <f>(TD_rates!$G$33)*100</f>
        <v>1.6</v>
      </c>
      <c r="G14" s="48">
        <f>(TD_rates!$G$34)*100</f>
        <v>1.6</v>
      </c>
      <c r="H14" s="63">
        <v>1.6</v>
      </c>
      <c r="I14" s="9">
        <f>(RBC_Rates!$C$162)*100</f>
        <v>1.6</v>
      </c>
      <c r="J14" s="46">
        <f>(Altamira_rates!$D$4)*100</f>
        <v>1.6</v>
      </c>
      <c r="K14" s="46">
        <f>(Manulife_rates!$D$9)</f>
        <v>1.6</v>
      </c>
      <c r="L14" s="81">
        <f>(B2B_rates!$D$2)*100</f>
        <v>1.6</v>
      </c>
      <c r="M14" s="48">
        <f>(HomeTrust_rates!$B$13)*100</f>
        <v>1.6</v>
      </c>
    </row>
    <row r="15" spans="1:14" x14ac:dyDescent="0.25">
      <c r="A15" s="46" t="s">
        <v>40</v>
      </c>
      <c r="B15" s="46">
        <f>(CIBC_rates!$B$25)*100</f>
        <v>1.6</v>
      </c>
      <c r="C15" s="48">
        <f>(CIBC_rates!$C$21)*100</f>
        <v>1.6</v>
      </c>
      <c r="D15" s="48">
        <f>(TD_rates!$G$30)*100</f>
        <v>1.6</v>
      </c>
      <c r="E15" s="48">
        <f>(TD_rates!$G$32)*100</f>
        <v>1.6</v>
      </c>
      <c r="F15" s="48">
        <f>(TD_rates!$G$33)*100</f>
        <v>1.6</v>
      </c>
      <c r="G15" s="48">
        <f>(TD_rates!$G$34)*100</f>
        <v>1.6</v>
      </c>
      <c r="H15" s="63">
        <v>1.6</v>
      </c>
      <c r="I15" s="9">
        <f>(RBC_Rates!$C$162)*100</f>
        <v>1.6</v>
      </c>
      <c r="J15" s="46">
        <f>(Altamira_rates!$D$4)*100</f>
        <v>1.6</v>
      </c>
      <c r="K15" s="46">
        <f>(Manulife_rates!$D$9)</f>
        <v>1.6</v>
      </c>
      <c r="L15" s="81">
        <f>(B2B_rates!$D$2)*100</f>
        <v>1.6</v>
      </c>
      <c r="M15" s="48">
        <f>(HomeTrust_rates!$B$13)*100</f>
        <v>1.6</v>
      </c>
    </row>
    <row r="16" spans="1:14" x14ac:dyDescent="0.25">
      <c r="A16" s="46" t="s">
        <v>41</v>
      </c>
      <c r="B16" s="46">
        <f>(CIBC_rates!$B$25)*100</f>
        <v>1.6</v>
      </c>
      <c r="C16" s="48">
        <f>(CIBC_rates!$C$21)*100</f>
        <v>1.6</v>
      </c>
      <c r="D16" s="48">
        <f>(TD_rates!$G$30)*100</f>
        <v>1.6</v>
      </c>
      <c r="E16" s="48">
        <f>(TD_rates!$G$32)*100</f>
        <v>1.6</v>
      </c>
      <c r="F16" s="48">
        <f>(TD_rates!$G$33)*100</f>
        <v>1.6</v>
      </c>
      <c r="G16" s="48">
        <f>(TD_rates!$G$34)*100</f>
        <v>1.6</v>
      </c>
      <c r="H16" s="63">
        <v>1.6</v>
      </c>
      <c r="I16" s="9">
        <f>(RBC_Rates!$C$162)*100</f>
        <v>1.6</v>
      </c>
      <c r="J16" s="46">
        <f>(Altamira_rates!$D$4)*100</f>
        <v>1.6</v>
      </c>
      <c r="K16" s="46">
        <f>(Manulife_rates!$D$9)</f>
        <v>1.6</v>
      </c>
      <c r="L16" s="81">
        <f>(B2B_rates!$D$2)*100</f>
        <v>1.6</v>
      </c>
      <c r="M16" s="48">
        <f>(HomeTrust_rates!$B$13)*100</f>
        <v>1.6</v>
      </c>
    </row>
    <row r="17" spans="1:13" x14ac:dyDescent="0.25">
      <c r="A17" s="46" t="s">
        <v>42</v>
      </c>
      <c r="B17" s="46">
        <f>(CIBC_rates!$B$25)*100</f>
        <v>1.6</v>
      </c>
      <c r="C17" s="48">
        <f>(CIBC_rates!$C$21)*100</f>
        <v>1.6</v>
      </c>
      <c r="D17" s="48">
        <f>(TD_rates!$G$30)*100</f>
        <v>1.6</v>
      </c>
      <c r="E17" s="48">
        <f>(TD_rates!$G$32)*100</f>
        <v>1.6</v>
      </c>
      <c r="F17" s="48">
        <f>(TD_rates!$G$33)*100</f>
        <v>1.6</v>
      </c>
      <c r="G17" s="48">
        <f>(TD_rates!$G$34)*100</f>
        <v>1.6</v>
      </c>
      <c r="H17" s="63">
        <v>1.6</v>
      </c>
      <c r="I17" s="9">
        <f>(RBC_Rates!$C$162)*100</f>
        <v>1.6</v>
      </c>
      <c r="J17" s="46">
        <f>(Altamira_rates!$D$4)*100</f>
        <v>1.6</v>
      </c>
      <c r="K17" s="46">
        <f>(Manulife_rates!$D$9)</f>
        <v>1.6</v>
      </c>
      <c r="L17" s="81">
        <f>(B2B_rates!$D$2)*100</f>
        <v>1.6</v>
      </c>
      <c r="M17" s="48">
        <f>(HomeTrust_rates!$B$13)*100</f>
        <v>1.6</v>
      </c>
    </row>
    <row r="18" spans="1:13" x14ac:dyDescent="0.25">
      <c r="A18" s="46" t="s">
        <v>43</v>
      </c>
      <c r="B18" s="46">
        <f>(CIBC_rates!$B$25)*100</f>
        <v>1.6</v>
      </c>
      <c r="C18" s="48">
        <f>(CIBC_rates!$C$21)*100</f>
        <v>1.6</v>
      </c>
      <c r="D18" s="48">
        <f>(TD_rates!$G$30)*100</f>
        <v>1.6</v>
      </c>
      <c r="E18" s="48">
        <f>(TD_rates!$G$32)*100</f>
        <v>1.6</v>
      </c>
      <c r="F18" s="48">
        <f>(TD_rates!$G$33)*100</f>
        <v>1.6</v>
      </c>
      <c r="G18" s="48">
        <f>(TD_rates!$G$34)*100</f>
        <v>1.6</v>
      </c>
      <c r="H18" s="63">
        <v>1.6</v>
      </c>
      <c r="I18" s="9">
        <f>(RBC_Rates!$C$162)*100</f>
        <v>1.6</v>
      </c>
      <c r="J18" s="46">
        <f>(Altamira_rates!$D$4)*100</f>
        <v>1.6</v>
      </c>
      <c r="K18" s="46">
        <f>(Manulife_rates!$D$9)</f>
        <v>1.6</v>
      </c>
      <c r="L18" s="81">
        <f>(B2B_rates!$D$2)*100</f>
        <v>1.6</v>
      </c>
      <c r="M18" s="48">
        <f>(HomeTrust_rates!$B$13)*100</f>
        <v>1.6</v>
      </c>
    </row>
    <row r="19" spans="1:13" x14ac:dyDescent="0.25">
      <c r="A19" s="46" t="s">
        <v>44</v>
      </c>
      <c r="B19" s="46">
        <f>(CIBC_rates!$B$25)*100</f>
        <v>1.6</v>
      </c>
      <c r="C19" s="48">
        <f>(CIBC_rates!$C$21)*100</f>
        <v>1.6</v>
      </c>
      <c r="D19" s="48">
        <f>(TD_rates!$G$30)*100</f>
        <v>1.6</v>
      </c>
      <c r="E19" s="48">
        <f>(TD_rates!$G$32)*100</f>
        <v>1.6</v>
      </c>
      <c r="F19" s="48">
        <f>(TD_rates!$G$33)*100</f>
        <v>1.6</v>
      </c>
      <c r="G19" s="48">
        <f>(TD_rates!$G$34)*100</f>
        <v>1.6</v>
      </c>
      <c r="H19" s="63">
        <v>1.6</v>
      </c>
      <c r="I19" s="9">
        <f>(RBC_Rates!$C$162)*100</f>
        <v>1.6</v>
      </c>
      <c r="J19" s="46" t="s">
        <v>34</v>
      </c>
      <c r="K19" s="46">
        <f>(Manulife_rates!$D$9)</f>
        <v>1.6</v>
      </c>
      <c r="L19" s="81">
        <f>(B2B_rates!$D$2)*100</f>
        <v>1.6</v>
      </c>
      <c r="M19" s="48" t="s">
        <v>34</v>
      </c>
    </row>
    <row r="20" spans="1:13" x14ac:dyDescent="0.25">
      <c r="A20" s="11"/>
      <c r="B20" s="11"/>
      <c r="C20" s="11"/>
      <c r="D20" s="11"/>
      <c r="E20" s="11"/>
      <c r="F20" s="11"/>
      <c r="G20" s="11"/>
      <c r="H20" s="11"/>
      <c r="I20" s="11"/>
      <c r="J20" s="11"/>
      <c r="K20" s="11"/>
      <c r="L20" s="11"/>
      <c r="M20" s="25"/>
    </row>
    <row r="21" spans="1:13" x14ac:dyDescent="0.25">
      <c r="A21" s="12" t="s">
        <v>32</v>
      </c>
      <c r="B21" s="13">
        <v>43294</v>
      </c>
      <c r="C21" s="13">
        <v>43294</v>
      </c>
      <c r="D21" s="13">
        <v>43298</v>
      </c>
      <c r="E21" s="13">
        <v>43458</v>
      </c>
      <c r="F21" s="13">
        <v>43458</v>
      </c>
      <c r="G21" s="13">
        <v>43458</v>
      </c>
      <c r="H21" s="13">
        <v>43123</v>
      </c>
      <c r="I21" s="13">
        <v>43293</v>
      </c>
      <c r="J21" s="13">
        <v>43294</v>
      </c>
      <c r="K21" s="13">
        <v>43300</v>
      </c>
      <c r="L21" s="13">
        <v>43130</v>
      </c>
      <c r="M21" s="44">
        <v>43410</v>
      </c>
    </row>
    <row r="22" spans="1:13" x14ac:dyDescent="0.25">
      <c r="A22" s="16" t="s">
        <v>33</v>
      </c>
      <c r="B22" s="13">
        <v>41911</v>
      </c>
      <c r="C22" s="17">
        <v>39944</v>
      </c>
      <c r="D22" s="14">
        <v>40849</v>
      </c>
      <c r="E22" s="14"/>
      <c r="F22" s="14"/>
      <c r="G22" s="14"/>
      <c r="H22" s="13">
        <v>38961</v>
      </c>
      <c r="I22" s="13"/>
      <c r="J22" s="17"/>
      <c r="K22" s="17"/>
      <c r="L22" s="13"/>
      <c r="M22" s="13"/>
    </row>
  </sheetData>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6"/>
  <sheetViews>
    <sheetView workbookViewId="0">
      <selection activeCell="B16" sqref="B16"/>
    </sheetView>
  </sheetViews>
  <sheetFormatPr defaultRowHeight="15" x14ac:dyDescent="0.25"/>
  <cols>
    <col min="1" max="1" width="14.5703125" style="29" customWidth="1"/>
    <col min="2" max="2" width="74.28515625" style="30" customWidth="1"/>
    <col min="3" max="3" width="23.140625" style="31" customWidth="1"/>
    <col min="4" max="4" width="24.140625" style="31" customWidth="1"/>
    <col min="5" max="16384" width="9.140625" style="31"/>
  </cols>
  <sheetData>
    <row r="1" spans="1:4" customFormat="1" ht="73.5" customHeight="1" x14ac:dyDescent="0.25">
      <c r="A1" s="88" t="s">
        <v>283</v>
      </c>
      <c r="B1" s="89"/>
      <c r="C1" s="89"/>
      <c r="D1" s="89"/>
    </row>
    <row r="2" spans="1:4" customFormat="1" ht="3" customHeight="1" x14ac:dyDescent="0.25">
      <c r="A2" s="32"/>
      <c r="B2" s="33"/>
      <c r="C2" s="33"/>
      <c r="D2" s="33"/>
    </row>
    <row r="3" spans="1:4" s="26" customFormat="1" ht="15.75" x14ac:dyDescent="0.25">
      <c r="A3" s="26" t="s">
        <v>276</v>
      </c>
      <c r="B3" s="27" t="s">
        <v>278</v>
      </c>
      <c r="C3" s="26" t="s">
        <v>277</v>
      </c>
      <c r="D3" s="26" t="s">
        <v>279</v>
      </c>
    </row>
    <row r="4" spans="1:4" s="26" customFormat="1" ht="15.75" x14ac:dyDescent="0.25">
      <c r="A4" s="28"/>
      <c r="B4" s="27"/>
    </row>
    <row r="5" spans="1:4" ht="75" x14ac:dyDescent="0.25">
      <c r="A5" s="29">
        <v>43364</v>
      </c>
      <c r="B5" s="30" t="s">
        <v>282</v>
      </c>
      <c r="C5" s="31" t="s">
        <v>280</v>
      </c>
      <c r="D5" s="31" t="s">
        <v>281</v>
      </c>
    </row>
    <row r="6" spans="1:4" x14ac:dyDescent="0.25">
      <c r="A6" s="29">
        <v>43626</v>
      </c>
      <c r="B6" s="30" t="s">
        <v>523</v>
      </c>
      <c r="C6" s="31" t="s">
        <v>524</v>
      </c>
      <c r="D6" s="31" t="s">
        <v>525</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topLeftCell="A8" workbookViewId="0">
      <selection activeCell="E26" sqref="E26"/>
    </sheetView>
  </sheetViews>
  <sheetFormatPr defaultRowHeight="15" x14ac:dyDescent="0.25"/>
  <cols>
    <col min="1" max="1" width="41" bestFit="1" customWidth="1"/>
    <col min="2" max="2" width="18.140625" style="45" bestFit="1" customWidth="1"/>
    <col min="3" max="3" width="12.7109375" style="45" bestFit="1" customWidth="1"/>
    <col min="4" max="4" width="18.28515625" bestFit="1" customWidth="1"/>
    <col min="5" max="5" width="12.5703125" bestFit="1" customWidth="1"/>
    <col min="7" max="7" width="12.5703125" bestFit="1" customWidth="1"/>
  </cols>
  <sheetData>
    <row r="1" spans="1:5" x14ac:dyDescent="0.25">
      <c r="B1" t="s">
        <v>185</v>
      </c>
      <c r="C1" t="s">
        <v>186</v>
      </c>
      <c r="E1" s="42" t="s">
        <v>311</v>
      </c>
    </row>
    <row r="2" spans="1:5" x14ac:dyDescent="0.25">
      <c r="A2" t="s">
        <v>189</v>
      </c>
      <c r="B2" s="21" t="s">
        <v>296</v>
      </c>
      <c r="C2" s="21">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21" t="s">
        <v>297</v>
      </c>
      <c r="C3" s="21">
        <v>0.01</v>
      </c>
      <c r="E3">
        <f>IF(OR(CIBC_Savings_Accounts[[#This Row],[Data.Daily Closing Balance]]="All Balances",MID(CIBC_Savings_Accounts[[#This Row],[Data.Daily Closing Balance]],9,5)="up to"),0,VALUE(TRIM(MID(CIBC_rates!$B3,10,FIND(" ",CIBC_rates!$B3,10)-10))))</f>
        <v>5000</v>
      </c>
    </row>
    <row r="4" spans="1:5" x14ac:dyDescent="0.25">
      <c r="A4" t="s">
        <v>190</v>
      </c>
      <c r="B4" s="21" t="s">
        <v>300</v>
      </c>
      <c r="C4" s="21">
        <v>5.0000000000000001E-4</v>
      </c>
      <c r="E4">
        <f>IF(OR(CIBC_Savings_Accounts[[#This Row],[Data.Daily Closing Balance]]="All Balances",MID(CIBC_Savings_Accounts[[#This Row],[Data.Daily Closing Balance]],9,5)="up to"),0,VALUE(TRIM(MID(CIBC_rates!$B4,10,FIND(" ",CIBC_rates!$B4,10)-10))))</f>
        <v>0</v>
      </c>
    </row>
    <row r="5" spans="1:5" x14ac:dyDescent="0.25">
      <c r="B5" s="21" t="s">
        <v>298</v>
      </c>
      <c r="C5" s="21">
        <v>1E-3</v>
      </c>
      <c r="E5">
        <f>IF(OR(CIBC_Savings_Accounts[[#This Row],[Data.Daily Closing Balance]]="All Balances",MID(CIBC_Savings_Accounts[[#This Row],[Data.Daily Closing Balance]],9,5)="up to"),0,VALUE(TRIM(MID(CIBC_rates!$B5,10,FIND(" ",CIBC_rates!$B5,10)-10))))</f>
        <v>3000</v>
      </c>
    </row>
    <row r="6" spans="1:5" x14ac:dyDescent="0.25">
      <c r="A6" t="s">
        <v>191</v>
      </c>
      <c r="B6" s="21" t="s">
        <v>162</v>
      </c>
      <c r="C6" s="21">
        <v>5.0000000000000001E-4</v>
      </c>
      <c r="E6">
        <f>IF(OR(CIBC_Savings_Accounts[[#This Row],[Data.Daily Closing Balance]]="All Balances",MID(CIBC_Savings_Accounts[[#This Row],[Data.Daily Closing Balance]],9,5)="up to"),0,VALUE(TRIM(MID(CIBC_rates!$B6,10,FIND(" ",CIBC_rates!$B6,10)-10))))</f>
        <v>0</v>
      </c>
    </row>
    <row r="7" spans="1:5" x14ac:dyDescent="0.25">
      <c r="A7" t="s">
        <v>192</v>
      </c>
      <c r="B7" s="21" t="s">
        <v>162</v>
      </c>
      <c r="C7" s="21">
        <v>1.5E-3</v>
      </c>
      <c r="E7">
        <f>IF(OR(CIBC_Savings_Accounts[[#This Row],[Data.Daily Closing Balance]]="All Balances",MID(CIBC_Savings_Accounts[[#This Row],[Data.Daily Closing Balance]],9,5)="up to"),0,VALUE(TRIM(MID(CIBC_rates!$B7,10,FIND(" ",CIBC_rates!$B7,10)-10))))</f>
        <v>0</v>
      </c>
    </row>
    <row r="8" spans="1:5" x14ac:dyDescent="0.25">
      <c r="A8" t="s">
        <v>37</v>
      </c>
      <c r="B8" s="21" t="s">
        <v>300</v>
      </c>
      <c r="C8" s="21">
        <v>2.5000000000000001E-3</v>
      </c>
      <c r="E8">
        <f>IF(OR(CIBC_Savings_Accounts[[#This Row],[Data.Daily Closing Balance]]="All Balances",MID(CIBC_Savings_Accounts[[#This Row],[Data.Daily Closing Balance]],9,5)="up to"),0,VALUE(TRIM(MID(CIBC_rates!$B8,10,FIND(" ",CIBC_rates!$B8,10)-10))))</f>
        <v>0</v>
      </c>
    </row>
    <row r="9" spans="1:5" x14ac:dyDescent="0.25">
      <c r="B9" s="21" t="s">
        <v>301</v>
      </c>
      <c r="C9" s="21">
        <v>2.5000000000000001E-3</v>
      </c>
      <c r="E9">
        <f>IF(OR(CIBC_Savings_Accounts[[#This Row],[Data.Daily Closing Balance]]="All Balances",MID(CIBC_Savings_Accounts[[#This Row],[Data.Daily Closing Balance]],9,5)="up to"),0,VALUE(TRIM(MID(CIBC_rates!$B9,10,FIND(" ",CIBC_rates!$B9,10)-10))))</f>
        <v>3000</v>
      </c>
    </row>
    <row r="10" spans="1:5" x14ac:dyDescent="0.25">
      <c r="B10" s="21" t="s">
        <v>302</v>
      </c>
      <c r="C10" s="21">
        <v>2.5000000000000001E-3</v>
      </c>
      <c r="E10">
        <f>IF(OR(CIBC_Savings_Accounts[[#This Row],[Data.Daily Closing Balance]]="All Balances",MID(CIBC_Savings_Accounts[[#This Row],[Data.Daily Closing Balance]],9,5)="up to"),0,VALUE(TRIM(MID(CIBC_rates!$B10,10,FIND(" ",CIBC_rates!$B10,10)-10))))</f>
        <v>10000</v>
      </c>
    </row>
    <row r="11" spans="1:5" x14ac:dyDescent="0.25">
      <c r="B11" s="21" t="s">
        <v>303</v>
      </c>
      <c r="C11" s="21">
        <v>2.5000000000000001E-3</v>
      </c>
      <c r="E11">
        <f>IF(OR(CIBC_Savings_Accounts[[#This Row],[Data.Daily Closing Balance]]="All Balances",MID(CIBC_Savings_Accounts[[#This Row],[Data.Daily Closing Balance]],9,5)="up to"),0,VALUE(TRIM(MID(CIBC_rates!$B11,10,FIND(" ",CIBC_rates!$B11,10)-10))))</f>
        <v>25000</v>
      </c>
    </row>
    <row r="12" spans="1:5" x14ac:dyDescent="0.25">
      <c r="B12" s="21" t="s">
        <v>299</v>
      </c>
      <c r="C12" s="21">
        <v>2.5000000000000001E-3</v>
      </c>
      <c r="E12">
        <f>IF(OR(CIBC_Savings_Accounts[[#This Row],[Data.Daily Closing Balance]]="All Balances",MID(CIBC_Savings_Accounts[[#This Row],[Data.Daily Closing Balance]],9,5)="up to"),0,VALUE(TRIM(MID(CIBC_rates!$B12,10,FIND(" ",CIBC_rates!$B12,10)-10))))</f>
        <v>60000</v>
      </c>
    </row>
    <row r="13" spans="1:5" x14ac:dyDescent="0.25">
      <c r="B13" s="21"/>
      <c r="C13" s="21"/>
    </row>
    <row r="20" spans="1:5" x14ac:dyDescent="0.25">
      <c r="A20" s="45" t="s">
        <v>509</v>
      </c>
      <c r="B20" t="s">
        <v>538</v>
      </c>
      <c r="C20" t="s">
        <v>539</v>
      </c>
    </row>
    <row r="21" spans="1:5" x14ac:dyDescent="0.25">
      <c r="B21" s="21" t="s">
        <v>510</v>
      </c>
      <c r="C21">
        <v>1.6E-2</v>
      </c>
      <c r="E21">
        <v>0</v>
      </c>
    </row>
    <row r="22" spans="1:5" x14ac:dyDescent="0.25">
      <c r="B22" s="21" t="s">
        <v>511</v>
      </c>
      <c r="C22">
        <v>1.7000000000000001E-2</v>
      </c>
      <c r="E22">
        <v>0</v>
      </c>
    </row>
    <row r="24" spans="1:5" x14ac:dyDescent="0.25">
      <c r="A24" t="s">
        <v>53</v>
      </c>
      <c r="B24" t="s">
        <v>531</v>
      </c>
      <c r="C24"/>
    </row>
    <row r="25" spans="1:5" x14ac:dyDescent="0.25">
      <c r="B25" s="45">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A11" sqref="A11"/>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289</v>
      </c>
      <c r="C1" t="s">
        <v>65</v>
      </c>
      <c r="E1" s="42" t="s">
        <v>311</v>
      </c>
    </row>
    <row r="2" spans="1:5" x14ac:dyDescent="0.25">
      <c r="A2" t="s">
        <v>320</v>
      </c>
      <c r="B2" s="21" t="s">
        <v>292</v>
      </c>
      <c r="C2">
        <v>2E-3</v>
      </c>
      <c r="E2">
        <f>IF(OR(BMO_Savings_Accounts[[#This Row],[Balance]]="All Balances",MID(BMO_Savings_Accounts[[#This Row],[Balance]],1,5)="up to"),0,VALUE(TRIM(MID(BMO_Savings_Accounts[[#This Row],[Balance]],2,FIND(" ",BMO_Savings_Accounts[[#This Row],[Balance]],2)-2))))</f>
        <v>0</v>
      </c>
    </row>
    <row r="3" spans="1:5" x14ac:dyDescent="0.25">
      <c r="B3" s="21" t="s">
        <v>293</v>
      </c>
      <c r="C3">
        <v>1.6E-2</v>
      </c>
      <c r="E3">
        <f>IF(OR(BMO_Savings_Accounts[[#This Row],[Balance]]="All Balances",MID(BMO_Savings_Accounts[[#This Row],[Balance]],1,5)="up to"),0,VALUE(TRIM(MID(BMO_Savings_Accounts[[#This Row],[Balance]],2,FIND(" ",BMO_Savings_Accounts[[#This Row],[Balance]],2)-2))))</f>
        <v>0</v>
      </c>
    </row>
    <row r="4" spans="1:5" x14ac:dyDescent="0.25">
      <c r="B4" s="21" t="s">
        <v>294</v>
      </c>
      <c r="C4">
        <v>2E-3</v>
      </c>
      <c r="E4">
        <f>IF(OR(BMO_Savings_Accounts[[#This Row],[Balance]]="All Balances",MID(BMO_Savings_Accounts[[#This Row],[Balance]],1,5)="up to"),0,VALUE(TRIM(MID(BMO_Savings_Accounts[[#This Row],[Balance]],2,FIND(" ",BMO_Savings_Accounts[[#This Row],[Balance]],2)-2))))</f>
        <v>250000.01</v>
      </c>
    </row>
    <row r="5" spans="1:5" x14ac:dyDescent="0.25">
      <c r="A5" s="43" t="s">
        <v>317</v>
      </c>
      <c r="B5" s="21" t="s">
        <v>295</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21" t="s">
        <v>83</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3" t="s">
        <v>318</v>
      </c>
      <c r="B7" s="21" t="s">
        <v>290</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21" t="s">
        <v>291</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3" t="s">
        <v>321</v>
      </c>
      <c r="B9" s="21" t="s">
        <v>290</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21" t="s">
        <v>291</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3" t="s">
        <v>319</v>
      </c>
      <c r="B11" s="21" t="s">
        <v>313</v>
      </c>
      <c r="C11">
        <v>1E-4</v>
      </c>
      <c r="E11">
        <f>IF(OR(BMO_Savings_Accounts[[#This Row],[Balance]]="All Balances",MID(BMO_Savings_Accounts[[#This Row],[Balance]],1,5)="up to"),0,VALUE(TRIM(MID(BMO_Savings_Accounts[[#This Row],[Balance]],2,FIND(" ",BMO_Savings_Accounts[[#This Row],[Balance]],2)-2))))</f>
        <v>0</v>
      </c>
    </row>
    <row r="12" spans="1:5" x14ac:dyDescent="0.25">
      <c r="B12" s="21" t="s">
        <v>314</v>
      </c>
      <c r="C12">
        <v>1E-4</v>
      </c>
      <c r="E12">
        <f>IF(OR(BMO_Savings_Accounts[[#This Row],[Balance]]="All Balances",MID(BMO_Savings_Accounts[[#This Row],[Balance]],1,5)="up to"),0,VALUE(TRIM(MID(BMO_Savings_Accounts[[#This Row],[Balance]],2,FIND(" ",BMO_Savings_Accounts[[#This Row],[Balance]],2)-2))))</f>
        <v>5000</v>
      </c>
    </row>
    <row r="13" spans="1:5" x14ac:dyDescent="0.25">
      <c r="B13" s="21" t="s">
        <v>315</v>
      </c>
      <c r="C13">
        <v>1E-4</v>
      </c>
      <c r="E13">
        <f>IF(OR(BMO_Savings_Accounts[[#This Row],[Balance]]="All Balances",MID(BMO_Savings_Accounts[[#This Row],[Balance]],1,5)="up to"),0,VALUE(TRIM(MID(BMO_Savings_Accounts[[#This Row],[Balance]],2,FIND(" ",BMO_Savings_Accounts[[#This Row],[Balance]],2)-2))))</f>
        <v>25000</v>
      </c>
    </row>
    <row r="14" spans="1:5" x14ac:dyDescent="0.25">
      <c r="B14" s="21" t="s">
        <v>316</v>
      </c>
      <c r="C14">
        <v>1E-4</v>
      </c>
      <c r="E14">
        <f>IF(OR(BMO_Savings_Accounts[[#This Row],[Balance]]="All Balances",MID(BMO_Savings_Accounts[[#This Row],[Balance]],1,5)="up to"),0,VALUE(TRIM(MID(BMO_Savings_Accounts[[#This Row],[Balance]],2,FIND(" ",BMO_Savings_Accounts[[#This Row],[Balance]],2)-2))))</f>
        <v>60000</v>
      </c>
    </row>
    <row r="15" spans="1:5" x14ac:dyDescent="0.25">
      <c r="B15" s="21"/>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G67"/>
  <sheetViews>
    <sheetView workbookViewId="0">
      <selection activeCell="A14" sqref="A14"/>
    </sheetView>
  </sheetViews>
  <sheetFormatPr defaultRowHeight="15" x14ac:dyDescent="0.25"/>
  <cols>
    <col min="1" max="1" width="31.5703125" bestFit="1" customWidth="1"/>
    <col min="2" max="2" width="14.7109375" bestFit="1" customWidth="1"/>
    <col min="3" max="3" width="19.85546875" bestFit="1" customWidth="1"/>
    <col min="4" max="4" width="14.7109375" bestFit="1" customWidth="1"/>
    <col min="5" max="5" width="13" bestFit="1" customWidth="1"/>
    <col min="6" max="6" width="12.28515625" bestFit="1" customWidth="1"/>
    <col min="7" max="7" width="15.5703125" bestFit="1" customWidth="1"/>
  </cols>
  <sheetData>
    <row r="2" spans="1:4" x14ac:dyDescent="0.25">
      <c r="A2" t="s">
        <v>193</v>
      </c>
      <c r="B2" t="s">
        <v>65</v>
      </c>
      <c r="D2" s="42" t="s">
        <v>311</v>
      </c>
    </row>
    <row r="3" spans="1:4" x14ac:dyDescent="0.25">
      <c r="A3" s="21" t="s">
        <v>194</v>
      </c>
    </row>
    <row r="4" spans="1:4" x14ac:dyDescent="0.25">
      <c r="A4" s="21" t="s">
        <v>195</v>
      </c>
      <c r="B4">
        <v>5.0000000000000001E-4</v>
      </c>
      <c r="D4">
        <f>VALUE(LEFT(TD_Savings_Accounts[[#This Row],[Account Balance]],FIND(" ",TD_Savings_Accounts[[#This Row],[Account Balance]])))</f>
        <v>0</v>
      </c>
    </row>
    <row r="5" spans="1:4" x14ac:dyDescent="0.25">
      <c r="A5" s="21" t="s">
        <v>196</v>
      </c>
      <c r="B5">
        <v>5.0000000000000001E-4</v>
      </c>
      <c r="D5">
        <f>VALUE(LEFT(TD_Savings_Accounts[[#This Row],[Account Balance]],FIND(" ",TD_Savings_Accounts[[#This Row],[Account Balance]])))</f>
        <v>1000</v>
      </c>
    </row>
    <row r="6" spans="1:4" x14ac:dyDescent="0.25">
      <c r="A6" s="21" t="s">
        <v>197</v>
      </c>
      <c r="B6">
        <v>5.0000000000000001E-4</v>
      </c>
      <c r="D6">
        <f>VALUE(LEFT(TD_Savings_Accounts[[#This Row],[Account Balance]],FIND(" ",TD_Savings_Accounts[[#This Row],[Account Balance]])))</f>
        <v>5000</v>
      </c>
    </row>
    <row r="7" spans="1:4" x14ac:dyDescent="0.25">
      <c r="A7" s="21" t="s">
        <v>198</v>
      </c>
      <c r="B7">
        <v>5.0000000000000001E-4</v>
      </c>
      <c r="D7">
        <f>VALUE(LEFT(TD_Savings_Accounts[[#This Row],[Account Balance]],FIND(" ",TD_Savings_Accounts[[#This Row],[Account Balance]])))</f>
        <v>10000</v>
      </c>
    </row>
    <row r="8" spans="1:4" x14ac:dyDescent="0.25">
      <c r="A8" s="21" t="s">
        <v>199</v>
      </c>
      <c r="B8">
        <v>5.0000000000000001E-4</v>
      </c>
      <c r="D8">
        <f>VALUE(LEFT(TD_Savings_Accounts[[#This Row],[Account Balance]],FIND(" ",TD_Savings_Accounts[[#This Row],[Account Balance]])))</f>
        <v>25000</v>
      </c>
    </row>
    <row r="9" spans="1:4" x14ac:dyDescent="0.25">
      <c r="A9" s="21" t="s">
        <v>200</v>
      </c>
      <c r="B9">
        <v>5.0000000000000001E-4</v>
      </c>
      <c r="D9">
        <f>VALUE(LEFT(TD_Savings_Accounts[[#This Row],[Account Balance]],FIND(" ",TD_Savings_Accounts[[#This Row],[Account Balance]])))</f>
        <v>60000</v>
      </c>
    </row>
    <row r="10" spans="1:4" x14ac:dyDescent="0.25">
      <c r="A10" s="21" t="s">
        <v>201</v>
      </c>
    </row>
    <row r="11" spans="1:4" x14ac:dyDescent="0.25">
      <c r="A11" s="21" t="s">
        <v>202</v>
      </c>
      <c r="B11">
        <v>0</v>
      </c>
      <c r="D11">
        <f>VALUE(LEFT(TD_Savings_Accounts[[#This Row],[Account Balance]],FIND(" ",TD_Savings_Accounts[[#This Row],[Account Balance]])))</f>
        <v>0</v>
      </c>
    </row>
    <row r="12" spans="1:4" x14ac:dyDescent="0.25">
      <c r="A12" s="21" t="s">
        <v>540</v>
      </c>
      <c r="B12">
        <v>5.0000000000000001E-3</v>
      </c>
      <c r="D12">
        <f>VALUE(LEFT(TD_Savings_Accounts[[#This Row],[Account Balance]],FIND(" ",TD_Savings_Accounts[[#This Row],[Account Balance]])))</f>
        <v>5000</v>
      </c>
    </row>
    <row r="13" spans="1:4" x14ac:dyDescent="0.25">
      <c r="A13" s="21" t="s">
        <v>541</v>
      </c>
      <c r="B13">
        <v>5.0000000000000001E-3</v>
      </c>
      <c r="D13">
        <f>VALUE(LEFT(TD_Savings_Accounts[[#This Row],[Account Balance]],FIND(" ",TD_Savings_Accounts[[#This Row],[Account Balance]])))</f>
        <v>50000</v>
      </c>
    </row>
    <row r="14" spans="1:4" x14ac:dyDescent="0.25">
      <c r="A14" s="21" t="s">
        <v>542</v>
      </c>
      <c r="B14">
        <v>5.0000000000000001E-3</v>
      </c>
      <c r="D14" t="e">
        <f>VALUE(LEFT(TD_Savings_Accounts[[#This Row],[Account Balance]],FIND(" ",TD_Savings_Accounts[[#This Row],[Account Balance]])))</f>
        <v>#VALUE!</v>
      </c>
    </row>
    <row r="15" spans="1:4" x14ac:dyDescent="0.25">
      <c r="A15" s="21" t="s">
        <v>543</v>
      </c>
      <c r="B15">
        <v>5.0000000000000001E-3</v>
      </c>
      <c r="D15">
        <f>VALUE(LEFT(TD_Savings_Accounts[[#This Row],[Account Balance]],FIND(" ",TD_Savings_Accounts[[#This Row],[Account Balance]])))</f>
        <v>250000</v>
      </c>
    </row>
    <row r="16" spans="1:4" x14ac:dyDescent="0.25">
      <c r="A16" s="21" t="s">
        <v>544</v>
      </c>
      <c r="B16">
        <v>5.0000000000000001E-3</v>
      </c>
      <c r="D16">
        <f>VALUE(LEFT(TD_Savings_Accounts[[#This Row],[Account Balance]],FIND(" ",TD_Savings_Accounts[[#This Row],[Account Balance]])))</f>
        <v>1000000.01</v>
      </c>
    </row>
    <row r="17" spans="1:7" x14ac:dyDescent="0.25">
      <c r="A17" s="21" t="s">
        <v>203</v>
      </c>
    </row>
    <row r="18" spans="1:7" x14ac:dyDescent="0.25">
      <c r="A18" s="21" t="s">
        <v>545</v>
      </c>
      <c r="B18">
        <v>0</v>
      </c>
      <c r="D18">
        <f>VALUE(LEFT(TD_Savings_Accounts[[#This Row],[Account Balance]],FIND(" ",TD_Savings_Accounts[[#This Row],[Account Balance]])))</f>
        <v>0</v>
      </c>
    </row>
    <row r="19" spans="1:7" x14ac:dyDescent="0.25">
      <c r="A19" s="21" t="s">
        <v>546</v>
      </c>
      <c r="B19">
        <v>1.0500000000000001E-2</v>
      </c>
      <c r="D19">
        <f>VALUE(LEFT(TD_Savings_Accounts[[#This Row],[Account Balance]],FIND(" ",TD_Savings_Accounts[[#This Row],[Account Balance]])))</f>
        <v>10000</v>
      </c>
    </row>
    <row r="20" spans="1:7" x14ac:dyDescent="0.25">
      <c r="A20" s="21" t="s">
        <v>541</v>
      </c>
      <c r="B20">
        <v>1.0500000000000001E-2</v>
      </c>
      <c r="D20">
        <f>VALUE(LEFT(TD_Savings_Accounts[[#This Row],[Account Balance]],FIND(" ",TD_Savings_Accounts[[#This Row],[Account Balance]])))</f>
        <v>50000</v>
      </c>
    </row>
    <row r="21" spans="1:7" x14ac:dyDescent="0.25">
      <c r="A21" s="21" t="s">
        <v>547</v>
      </c>
      <c r="B21">
        <v>1.0500000000000001E-2</v>
      </c>
      <c r="D21">
        <f>VALUE(LEFT(TD_Savings_Accounts[[#This Row],[Account Balance]],FIND(" ",TD_Savings_Accounts[[#This Row],[Account Balance]])))</f>
        <v>100000</v>
      </c>
    </row>
    <row r="22" spans="1:7" x14ac:dyDescent="0.25">
      <c r="A22" s="21" t="s">
        <v>543</v>
      </c>
      <c r="B22">
        <v>1.0500000000000001E-2</v>
      </c>
      <c r="D22">
        <f>VALUE(LEFT(TD_Savings_Accounts[[#This Row],[Account Balance]],FIND(" ",TD_Savings_Accounts[[#This Row],[Account Balance]])))</f>
        <v>250000</v>
      </c>
    </row>
    <row r="23" spans="1:7" x14ac:dyDescent="0.25">
      <c r="A23" s="21" t="s">
        <v>544</v>
      </c>
      <c r="B23">
        <v>1.0500000000000001E-2</v>
      </c>
      <c r="D23">
        <f>VALUE(LEFT(TD_Savings_Accounts[[#This Row],[Account Balance]],FIND(" ",TD_Savings_Accounts[[#This Row],[Account Balance]])))</f>
        <v>1000000.01</v>
      </c>
    </row>
    <row r="24" spans="1:7" x14ac:dyDescent="0.25">
      <c r="A24" s="21" t="s">
        <v>204</v>
      </c>
    </row>
    <row r="25" spans="1:7" x14ac:dyDescent="0.25">
      <c r="A25" s="21" t="s">
        <v>202</v>
      </c>
      <c r="B25">
        <v>5.0000000000000001E-4</v>
      </c>
      <c r="D25">
        <f>VALUE(LEFT(TD_Savings_Accounts[[#This Row],[Account Balance]],FIND(" ",TD_Savings_Accounts[[#This Row],[Account Balance]])))</f>
        <v>0</v>
      </c>
    </row>
    <row r="26" spans="1:7" x14ac:dyDescent="0.25">
      <c r="A26" s="21" t="s">
        <v>205</v>
      </c>
      <c r="B26">
        <v>1E-3</v>
      </c>
      <c r="D26">
        <f>VALUE(LEFT(TD_Savings_Accounts[[#This Row],[Account Balance]],FIND(" ",TD_Savings_Accounts[[#This Row],[Account Balance]])))</f>
        <v>5000</v>
      </c>
    </row>
    <row r="29" spans="1:7" x14ac:dyDescent="0.25">
      <c r="C29" t="s">
        <v>260</v>
      </c>
      <c r="D29" t="s">
        <v>261</v>
      </c>
      <c r="E29" t="s">
        <v>262</v>
      </c>
      <c r="F29" t="s">
        <v>263</v>
      </c>
      <c r="G29" t="s">
        <v>264</v>
      </c>
    </row>
    <row r="30" spans="1:7" x14ac:dyDescent="0.25">
      <c r="C30" s="21" t="s">
        <v>265</v>
      </c>
      <c r="D30" s="21" t="s">
        <v>218</v>
      </c>
      <c r="E30">
        <v>1000</v>
      </c>
      <c r="F30" s="21" t="s">
        <v>266</v>
      </c>
      <c r="G30">
        <v>1.6E-2</v>
      </c>
    </row>
    <row r="31" spans="1:7" x14ac:dyDescent="0.25">
      <c r="C31" s="21" t="s">
        <v>267</v>
      </c>
      <c r="D31" s="21" t="s">
        <v>219</v>
      </c>
      <c r="E31">
        <v>1000</v>
      </c>
      <c r="F31" s="21" t="s">
        <v>266</v>
      </c>
      <c r="G31">
        <v>1.7000000000000001E-2</v>
      </c>
    </row>
    <row r="32" spans="1:7" x14ac:dyDescent="0.25">
      <c r="C32" s="21" t="s">
        <v>268</v>
      </c>
      <c r="D32" s="21" t="s">
        <v>218</v>
      </c>
      <c r="E32">
        <v>1000</v>
      </c>
      <c r="F32" s="21" t="s">
        <v>248</v>
      </c>
      <c r="G32">
        <v>1.6E-2</v>
      </c>
    </row>
    <row r="33" spans="3:7" x14ac:dyDescent="0.25">
      <c r="C33" s="21" t="s">
        <v>269</v>
      </c>
      <c r="D33" s="21" t="s">
        <v>218</v>
      </c>
      <c r="E33">
        <v>1000</v>
      </c>
      <c r="F33" s="21" t="s">
        <v>248</v>
      </c>
      <c r="G33">
        <v>1.6E-2</v>
      </c>
    </row>
    <row r="34" spans="3:7" x14ac:dyDescent="0.25">
      <c r="C34" s="21" t="s">
        <v>270</v>
      </c>
      <c r="D34" s="21" t="s">
        <v>218</v>
      </c>
      <c r="E34">
        <v>1000</v>
      </c>
      <c r="F34" s="21" t="s">
        <v>248</v>
      </c>
      <c r="G34">
        <v>1.6E-2</v>
      </c>
    </row>
    <row r="39" spans="3:7" x14ac:dyDescent="0.25">
      <c r="C39" t="s">
        <v>62</v>
      </c>
      <c r="D39" t="s">
        <v>63</v>
      </c>
    </row>
    <row r="40" spans="3:7" x14ac:dyDescent="0.25">
      <c r="C40" s="21" t="s">
        <v>193</v>
      </c>
      <c r="D40" s="21" t="s">
        <v>65</v>
      </c>
    </row>
    <row r="41" spans="3:7" x14ac:dyDescent="0.25">
      <c r="C41" s="21" t="s">
        <v>271</v>
      </c>
      <c r="D41" s="21" t="s">
        <v>271</v>
      </c>
    </row>
    <row r="42" spans="3:7" x14ac:dyDescent="0.25">
      <c r="C42" s="21" t="s">
        <v>195</v>
      </c>
      <c r="D42" s="21" t="s">
        <v>187</v>
      </c>
    </row>
    <row r="43" spans="3:7" x14ac:dyDescent="0.25">
      <c r="C43" s="21" t="s">
        <v>196</v>
      </c>
      <c r="D43" s="21" t="s">
        <v>187</v>
      </c>
    </row>
    <row r="44" spans="3:7" x14ac:dyDescent="0.25">
      <c r="C44" s="21" t="s">
        <v>197</v>
      </c>
      <c r="D44" s="21" t="s">
        <v>187</v>
      </c>
    </row>
    <row r="45" spans="3:7" x14ac:dyDescent="0.25">
      <c r="C45" s="21" t="s">
        <v>198</v>
      </c>
      <c r="D45" s="21" t="s">
        <v>187</v>
      </c>
    </row>
    <row r="46" spans="3:7" x14ac:dyDescent="0.25">
      <c r="C46" s="21" t="s">
        <v>199</v>
      </c>
      <c r="D46" s="21" t="s">
        <v>187</v>
      </c>
    </row>
    <row r="47" spans="3:7" x14ac:dyDescent="0.25">
      <c r="C47" s="21" t="s">
        <v>200</v>
      </c>
      <c r="D47" s="21" t="s">
        <v>187</v>
      </c>
    </row>
    <row r="48" spans="3:7" x14ac:dyDescent="0.25">
      <c r="C48" s="21" t="s">
        <v>272</v>
      </c>
      <c r="D48" s="21" t="s">
        <v>272</v>
      </c>
    </row>
    <row r="49" spans="1:6" x14ac:dyDescent="0.25">
      <c r="C49" s="21" t="s">
        <v>202</v>
      </c>
      <c r="D49" s="21" t="s">
        <v>188</v>
      </c>
    </row>
    <row r="50" spans="1:6" x14ac:dyDescent="0.25">
      <c r="C50" s="21" t="s">
        <v>273</v>
      </c>
      <c r="D50" s="21" t="s">
        <v>188</v>
      </c>
    </row>
    <row r="51" spans="1:6" x14ac:dyDescent="0.25">
      <c r="C51" s="21" t="s">
        <v>199</v>
      </c>
      <c r="D51" s="21" t="s">
        <v>115</v>
      </c>
    </row>
    <row r="52" spans="1:6" x14ac:dyDescent="0.25">
      <c r="C52" s="21" t="s">
        <v>200</v>
      </c>
      <c r="D52" s="21" t="s">
        <v>274</v>
      </c>
    </row>
    <row r="53" spans="1:6" x14ac:dyDescent="0.25">
      <c r="C53" s="21" t="s">
        <v>275</v>
      </c>
      <c r="D53" s="21" t="s">
        <v>275</v>
      </c>
    </row>
    <row r="54" spans="1:6" x14ac:dyDescent="0.25">
      <c r="C54" s="21" t="s">
        <v>202</v>
      </c>
      <c r="D54" s="21" t="s">
        <v>188</v>
      </c>
    </row>
    <row r="55" spans="1:6" x14ac:dyDescent="0.25">
      <c r="C55" s="21" t="s">
        <v>273</v>
      </c>
      <c r="D55" s="21" t="s">
        <v>188</v>
      </c>
    </row>
    <row r="56" spans="1:6" x14ac:dyDescent="0.25">
      <c r="C56" s="21" t="s">
        <v>199</v>
      </c>
      <c r="D56" s="21" t="s">
        <v>115</v>
      </c>
    </row>
    <row r="57" spans="1:6" x14ac:dyDescent="0.25">
      <c r="C57" s="21" t="s">
        <v>200</v>
      </c>
      <c r="D57" s="21" t="s">
        <v>274</v>
      </c>
    </row>
    <row r="61" spans="1:6" x14ac:dyDescent="0.25">
      <c r="A61" t="s">
        <v>512</v>
      </c>
      <c r="C61" s="45" t="s">
        <v>193</v>
      </c>
      <c r="D61" s="45" t="s">
        <v>65</v>
      </c>
      <c r="E61" s="45"/>
      <c r="F61" s="42" t="s">
        <v>311</v>
      </c>
    </row>
    <row r="62" spans="1:6" x14ac:dyDescent="0.25">
      <c r="C62" s="21" t="s">
        <v>195</v>
      </c>
      <c r="D62" s="21">
        <v>0</v>
      </c>
      <c r="E62" s="45"/>
      <c r="F62" s="21">
        <f>VALUE(LEFT(TD_USborderless_rate[[#This Row],[Account Balance]],FIND(" ",TD_USborderless_rate[[#This Row],[Account Balance]])))</f>
        <v>0</v>
      </c>
    </row>
    <row r="63" spans="1:6" x14ac:dyDescent="0.25">
      <c r="C63" s="21" t="s">
        <v>196</v>
      </c>
      <c r="D63" s="21">
        <v>1E-4</v>
      </c>
      <c r="E63" s="45"/>
      <c r="F63" s="21">
        <f>VALUE(LEFT(TD_USborderless_rate[[#This Row],[Account Balance]],FIND(" ",TD_USborderless_rate[[#This Row],[Account Balance]])))</f>
        <v>1000</v>
      </c>
    </row>
    <row r="64" spans="1:6" x14ac:dyDescent="0.25">
      <c r="C64" s="21" t="s">
        <v>197</v>
      </c>
      <c r="D64" s="21">
        <v>2.5000000000000001E-4</v>
      </c>
      <c r="E64" s="45"/>
      <c r="F64" s="21">
        <f>VALUE(LEFT(TD_USborderless_rate[[#This Row],[Account Balance]],FIND(" ",TD_USborderless_rate[[#This Row],[Account Balance]])))</f>
        <v>5000</v>
      </c>
    </row>
    <row r="65" spans="3:6" x14ac:dyDescent="0.25">
      <c r="C65" s="21" t="s">
        <v>198</v>
      </c>
      <c r="D65" s="21">
        <v>5.0000000000000001E-4</v>
      </c>
      <c r="E65" s="45"/>
      <c r="F65" s="21">
        <f>VALUE(LEFT(TD_USborderless_rate[[#This Row],[Account Balance]],FIND(" ",TD_USborderless_rate[[#This Row],[Account Balance]])))</f>
        <v>10000</v>
      </c>
    </row>
    <row r="66" spans="3:6" x14ac:dyDescent="0.25">
      <c r="C66" s="21" t="s">
        <v>199</v>
      </c>
      <c r="D66" s="21">
        <v>1E-3</v>
      </c>
      <c r="E66" s="45"/>
      <c r="F66" s="21">
        <f>VALUE(LEFT(TD_USborderless_rate[[#This Row],[Account Balance]],FIND(" ",TD_USborderless_rate[[#This Row],[Account Balance]])))</f>
        <v>25000</v>
      </c>
    </row>
    <row r="67" spans="3:6" x14ac:dyDescent="0.25">
      <c r="C67" s="21" t="s">
        <v>200</v>
      </c>
      <c r="D67" s="21">
        <v>1E-3</v>
      </c>
      <c r="E67" s="45"/>
      <c r="F67" s="21">
        <f>VALUE(LEFT(TD_USborderless_rate[[#This Row],[Account Balance]],FIND(" ",TD_USborderless_rate[[#This Row],[Account Balance]])))</f>
        <v>60000</v>
      </c>
    </row>
  </sheetData>
  <pageMargins left="0.7" right="0.7" top="0.75" bottom="0.75" header="0.3" footer="0.3"/>
  <tableParts count="4">
    <tablePart r:id="rId1"/>
    <tablePart r:id="rId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2A636-0D8D-4E7F-9D59-D1E06549766E}">
  <sheetPr codeName="Sheet6"/>
  <dimension ref="A1:H40"/>
  <sheetViews>
    <sheetView workbookViewId="0">
      <selection activeCell="B15" sqref="B15"/>
    </sheetView>
  </sheetViews>
  <sheetFormatPr defaultRowHeight="15" x14ac:dyDescent="0.25"/>
  <cols>
    <col min="1" max="1" width="62.42578125" bestFit="1" customWidth="1"/>
    <col min="2" max="2" width="48.85546875" bestFit="1" customWidth="1"/>
    <col min="3" max="3" width="22.7109375" bestFit="1" customWidth="1"/>
    <col min="4" max="4" width="31" bestFit="1" customWidth="1"/>
    <col min="5" max="5" width="11.140625" style="45" bestFit="1" customWidth="1"/>
    <col min="6" max="6" width="26.7109375" bestFit="1" customWidth="1"/>
    <col min="7" max="7" width="55" bestFit="1" customWidth="1"/>
    <col min="8" max="8" width="26.85546875" bestFit="1" customWidth="1"/>
    <col min="9" max="9" width="28.42578125" bestFit="1" customWidth="1"/>
    <col min="10" max="10" width="31.42578125" bestFit="1" customWidth="1"/>
    <col min="11" max="11" width="75" bestFit="1" customWidth="1"/>
    <col min="12" max="12" width="35.7109375" bestFit="1" customWidth="1"/>
    <col min="13" max="13" width="74" bestFit="1" customWidth="1"/>
    <col min="14" max="14" width="27.42578125" bestFit="1" customWidth="1"/>
    <col min="15" max="15" width="64" bestFit="1" customWidth="1"/>
    <col min="16" max="16" width="53.5703125" bestFit="1" customWidth="1"/>
    <col min="17" max="17" width="55.5703125" bestFit="1" customWidth="1"/>
    <col min="18" max="18" width="56.5703125" bestFit="1" customWidth="1"/>
    <col min="19" max="19" width="28.5703125" bestFit="1" customWidth="1"/>
    <col min="20" max="20" width="51.42578125" bestFit="1" customWidth="1"/>
    <col min="21" max="21" width="29.42578125" bestFit="1" customWidth="1"/>
    <col min="22" max="22" width="39.28515625" bestFit="1" customWidth="1"/>
    <col min="23" max="23" width="29.42578125" bestFit="1" customWidth="1"/>
  </cols>
  <sheetData>
    <row r="1" spans="1:8" x14ac:dyDescent="0.25">
      <c r="A1" t="s">
        <v>176</v>
      </c>
      <c r="B1" t="s">
        <v>378</v>
      </c>
      <c r="C1" t="s">
        <v>382</v>
      </c>
      <c r="D1" t="s">
        <v>379</v>
      </c>
      <c r="E1" t="s">
        <v>380</v>
      </c>
      <c r="G1" s="42" t="s">
        <v>311</v>
      </c>
    </row>
    <row r="2" spans="1:8" x14ac:dyDescent="0.25">
      <c r="B2" s="21" t="s">
        <v>384</v>
      </c>
      <c r="C2">
        <v>0.01</v>
      </c>
      <c r="D2" s="21" t="s">
        <v>34</v>
      </c>
      <c r="E2">
        <v>0.01</v>
      </c>
    </row>
    <row r="3" spans="1:8" x14ac:dyDescent="0.25">
      <c r="B3" s="21" t="s">
        <v>163</v>
      </c>
      <c r="C3">
        <v>0.01</v>
      </c>
      <c r="D3" s="21" t="s">
        <v>517</v>
      </c>
      <c r="E3">
        <v>1.6E-2</v>
      </c>
    </row>
    <row r="4" spans="1:8" x14ac:dyDescent="0.25">
      <c r="B4" s="21" t="s">
        <v>164</v>
      </c>
      <c r="C4">
        <v>0.01</v>
      </c>
      <c r="D4" s="21" t="s">
        <v>518</v>
      </c>
      <c r="E4">
        <v>1.7000000000000001E-2</v>
      </c>
    </row>
    <row r="5" spans="1:8" x14ac:dyDescent="0.25">
      <c r="B5" s="21" t="s">
        <v>165</v>
      </c>
      <c r="C5">
        <v>0.01</v>
      </c>
      <c r="D5" s="21" t="s">
        <v>166</v>
      </c>
      <c r="E5">
        <v>1.8499999999999999E-2</v>
      </c>
    </row>
    <row r="6" spans="1:8" x14ac:dyDescent="0.25">
      <c r="B6" s="21" t="s">
        <v>167</v>
      </c>
      <c r="C6">
        <v>0.01</v>
      </c>
      <c r="D6" s="21" t="s">
        <v>519</v>
      </c>
      <c r="E6">
        <v>0.02</v>
      </c>
    </row>
    <row r="8" spans="1:8" x14ac:dyDescent="0.25">
      <c r="A8" t="s">
        <v>404</v>
      </c>
      <c r="B8" t="s">
        <v>381</v>
      </c>
      <c r="C8" t="s">
        <v>382</v>
      </c>
      <c r="D8" t="s">
        <v>383</v>
      </c>
      <c r="E8" s="45" t="s">
        <v>62</v>
      </c>
      <c r="F8" t="s">
        <v>380</v>
      </c>
    </row>
    <row r="9" spans="1:8" x14ac:dyDescent="0.25">
      <c r="B9" s="21" t="s">
        <v>173</v>
      </c>
      <c r="C9">
        <v>5.0000000000000001E-4</v>
      </c>
      <c r="D9" s="21" t="s">
        <v>386</v>
      </c>
      <c r="E9" s="21"/>
      <c r="F9">
        <v>5.0000000000000001E-4</v>
      </c>
      <c r="H9">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0</v>
      </c>
    </row>
    <row r="10" spans="1:8" x14ac:dyDescent="0.25">
      <c r="B10" s="21" t="s">
        <v>169</v>
      </c>
      <c r="C10">
        <v>5.0000000000000001E-3</v>
      </c>
      <c r="D10" s="21" t="s">
        <v>385</v>
      </c>
      <c r="E10" s="21"/>
      <c r="F10">
        <v>1.6E-2</v>
      </c>
      <c r="H10">
        <f>IF(LEFT(BNS_Momentum[[#This Row],[Higher rate will be paid on the entire balance if the balance exceeds $5,000]],1)&lt;&gt;"$",0,VALUE(LEFT(BNS_Momentum[[#This Row],[Higher rate will be paid on the entire balance if the balance exceeds $5,000]],FIND(" ",BNS_Momentum[[#This Row],[Higher rate will be paid on the entire balance if the balance exceeds $5,000]])-1)))</f>
        <v>5000</v>
      </c>
    </row>
    <row r="12" spans="1:8" x14ac:dyDescent="0.25">
      <c r="A12" t="s">
        <v>177</v>
      </c>
      <c r="B12" t="s">
        <v>399</v>
      </c>
      <c r="C12" t="s">
        <v>168</v>
      </c>
    </row>
    <row r="13" spans="1:8" x14ac:dyDescent="0.25">
      <c r="B13" s="21" t="s">
        <v>170</v>
      </c>
      <c r="C13">
        <v>5.0000000000000001E-4</v>
      </c>
      <c r="H13">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0</v>
      </c>
    </row>
    <row r="14" spans="1:8" x14ac:dyDescent="0.25">
      <c r="B14" s="21" t="s">
        <v>169</v>
      </c>
      <c r="C14">
        <v>5.0000000000000001E-4</v>
      </c>
      <c r="H14">
        <f>IF(LEFT(BNS_Money_Master[[#This Row],[Annual interest rate is paid on the entire  balance based on the tier within which the  daily account closing balance falls]],1)&lt;&gt;"$",0,VALUE(LEFT(BNS_Money_Master[[#This Row],[Annual interest rate is paid on the entire  balance based on the tier within which the  daily account closing balance falls]],FIND(" ",BNS_Money_Master[[#This Row],[Annual interest rate is paid on the entire  balance based on the tier within which the  daily account closing balance falls]])-1)))</f>
        <v>5000</v>
      </c>
    </row>
    <row r="16" spans="1:8" x14ac:dyDescent="0.25">
      <c r="A16" t="s">
        <v>178</v>
      </c>
      <c r="B16" t="s">
        <v>400</v>
      </c>
      <c r="C16" t="s">
        <v>168</v>
      </c>
    </row>
    <row r="17" spans="1:8" x14ac:dyDescent="0.25">
      <c r="B17" s="21" t="s">
        <v>173</v>
      </c>
      <c r="C17">
        <v>5.0000000000000001E-4</v>
      </c>
      <c r="H17">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0</v>
      </c>
    </row>
    <row r="18" spans="1:8" x14ac:dyDescent="0.25">
      <c r="B18" s="21" t="s">
        <v>172</v>
      </c>
      <c r="C18">
        <v>0.01</v>
      </c>
      <c r="H18">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5000</v>
      </c>
    </row>
    <row r="19" spans="1:8" x14ac:dyDescent="0.25">
      <c r="B19" s="21" t="s">
        <v>171</v>
      </c>
      <c r="C19">
        <v>1.0999999999999999E-2</v>
      </c>
      <c r="H19">
        <f>IF(LEFT(BNS_Savings_Accelerator[[#This Row],[Highest rate will be paid on the entire balance  as it increases.]],1)&lt;&gt;"$",0,VALUE(LEFT(BNS_Savings_Accelerator[[#This Row],[Highest rate will be paid on the entire balance  as it increases.]],FIND(" ",BNS_Savings_Accelerator[[#This Row],[Highest rate will be paid on the entire balance  as it increases.]])-1)))</f>
        <v>250000</v>
      </c>
    </row>
    <row r="21" spans="1:8" x14ac:dyDescent="0.25">
      <c r="A21" t="s">
        <v>405</v>
      </c>
      <c r="B21" t="s">
        <v>400</v>
      </c>
      <c r="C21" t="s">
        <v>168</v>
      </c>
    </row>
    <row r="22" spans="1:8" x14ac:dyDescent="0.25">
      <c r="B22" s="21" t="s">
        <v>401</v>
      </c>
      <c r="C22">
        <v>0.01</v>
      </c>
      <c r="H22">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0</v>
      </c>
    </row>
    <row r="23" spans="1:8" x14ac:dyDescent="0.25">
      <c r="B23" s="21" t="s">
        <v>171</v>
      </c>
      <c r="C23">
        <v>1.0999999999999999E-2</v>
      </c>
      <c r="H23">
        <f>IF(LEFT(BNS_Savings_Accelerator_TFSA[[#This Row],[Highest rate will be paid on the entire balance  as it increases.]],1)&lt;&gt;"$",0,VALUE(LEFT(BNS_Savings_Accelerator_TFSA[[#This Row],[Highest rate will be paid on the entire balance  as it increases.]],FIND(" ",BNS_Savings_Accelerator_TFSA[[#This Row],[Highest rate will be paid on the entire balance  as it increases.]])-1)))</f>
        <v>250000</v>
      </c>
    </row>
    <row r="25" spans="1:8" x14ac:dyDescent="0.25">
      <c r="A25" t="s">
        <v>229</v>
      </c>
      <c r="B25" t="s">
        <v>288</v>
      </c>
      <c r="C25" t="s">
        <v>168</v>
      </c>
    </row>
    <row r="26" spans="1:8" x14ac:dyDescent="0.25">
      <c r="B26" s="21" t="s">
        <v>228</v>
      </c>
      <c r="C26">
        <v>0</v>
      </c>
      <c r="H26">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0</v>
      </c>
    </row>
    <row r="27" spans="1:8" x14ac:dyDescent="0.25">
      <c r="B27" s="21" t="s">
        <v>227</v>
      </c>
      <c r="C27">
        <v>1E-4</v>
      </c>
      <c r="H27">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v>
      </c>
    </row>
    <row r="28" spans="1:8" x14ac:dyDescent="0.25">
      <c r="B28" s="21" t="s">
        <v>41</v>
      </c>
      <c r="C28">
        <v>2.5000000000000001E-4</v>
      </c>
      <c r="H28">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5000</v>
      </c>
    </row>
    <row r="29" spans="1:8" x14ac:dyDescent="0.25">
      <c r="B29" s="21" t="s">
        <v>40</v>
      </c>
      <c r="C29">
        <v>5.0000000000000001E-4</v>
      </c>
      <c r="H29">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10000</v>
      </c>
    </row>
    <row r="30" spans="1:8" x14ac:dyDescent="0.25">
      <c r="B30" s="21" t="s">
        <v>39</v>
      </c>
      <c r="C30">
        <v>1E-3</v>
      </c>
      <c r="H30">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25000</v>
      </c>
    </row>
    <row r="31" spans="1:8" x14ac:dyDescent="0.25">
      <c r="B31" s="21" t="s">
        <v>226</v>
      </c>
      <c r="C31">
        <v>1.5E-3</v>
      </c>
      <c r="H31">
        <f>IF(LEFT(BNS_US_Dollar_Daily_Interest[[#This Row],[Paid on the portion of the balance within each tier]],1)&lt;&gt;"$",0,VALUE(LEFT(BNS_US_Dollar_Daily_Interest[[#This Row],[Paid on the portion of the balance within each tier]],FIND(" ",BNS_US_Dollar_Daily_Interest[[#This Row],[Paid on the portion of the balance within each tier]])-1)))</f>
        <v>60000</v>
      </c>
    </row>
    <row r="34" spans="1:5" x14ac:dyDescent="0.25">
      <c r="A34" t="s">
        <v>175</v>
      </c>
      <c r="B34" t="s">
        <v>174</v>
      </c>
      <c r="C34" t="s">
        <v>402</v>
      </c>
      <c r="D34" t="s">
        <v>403</v>
      </c>
    </row>
    <row r="35" spans="1:5" x14ac:dyDescent="0.25">
      <c r="B35" s="21" t="s">
        <v>391</v>
      </c>
      <c r="C35">
        <v>2.5000000000000001E-3</v>
      </c>
      <c r="D35">
        <v>2.5000000000000001E-3</v>
      </c>
    </row>
    <row r="36" spans="1:5" x14ac:dyDescent="0.25">
      <c r="B36" s="21" t="s">
        <v>392</v>
      </c>
      <c r="C36">
        <v>3.95E-2</v>
      </c>
      <c r="D36">
        <v>5.5E-2</v>
      </c>
    </row>
    <row r="38" spans="1:5" x14ac:dyDescent="0.25">
      <c r="A38" s="45" t="s">
        <v>513</v>
      </c>
      <c r="B38" s="65" t="s">
        <v>174</v>
      </c>
      <c r="C38" s="67" t="s">
        <v>402</v>
      </c>
      <c r="D38" s="66" t="s">
        <v>403</v>
      </c>
      <c r="E38" s="76"/>
    </row>
    <row r="39" spans="1:5" x14ac:dyDescent="0.25">
      <c r="B39" s="70" t="s">
        <v>521</v>
      </c>
      <c r="C39" s="72">
        <v>1.6E-2</v>
      </c>
      <c r="D39" s="73">
        <v>1.6500000000000001E-2</v>
      </c>
      <c r="E39" s="77"/>
    </row>
    <row r="40" spans="1:5" x14ac:dyDescent="0.25">
      <c r="B40" s="71" t="s">
        <v>522</v>
      </c>
      <c r="C40" s="74">
        <v>1.7500000000000002E-2</v>
      </c>
      <c r="D40" s="75">
        <v>1.7999999999999999E-2</v>
      </c>
      <c r="E40" s="78"/>
    </row>
  </sheetData>
  <pageMargins left="0.7" right="0.7" top="0.75" bottom="0.75" header="0.3" footer="0.3"/>
  <pageSetup orientation="portrait" horizontalDpi="4294967295" verticalDpi="4294967295" r:id="rId1"/>
  <tableParts count="7">
    <tablePart r:id="rId2"/>
    <tablePart r:id="rId3"/>
    <tablePart r:id="rId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workbookViewId="0">
      <selection activeCell="H2" sqref="H2"/>
    </sheetView>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9" x14ac:dyDescent="0.25">
      <c r="B1" t="s">
        <v>325</v>
      </c>
      <c r="C1" t="s">
        <v>67</v>
      </c>
      <c r="E1" s="42" t="s">
        <v>311</v>
      </c>
    </row>
    <row r="2" spans="1:9" x14ac:dyDescent="0.25">
      <c r="B2" s="21"/>
      <c r="C2" s="21"/>
      <c r="E2">
        <f>IF(LEFT(RBC_Personal_Accounts[[#This Row],[If Balance is]],1)&lt;&gt;"$",0,VALUE(LEFT(RBC_Personal_Accounts[[#This Row],[If Balance is]],FIND(" ",RBC_Personal_Accounts[[#This Row],[If Balance is]]))))</f>
        <v>0</v>
      </c>
      <c r="H2">
        <v>157</v>
      </c>
    </row>
    <row r="3" spans="1:9" x14ac:dyDescent="0.25">
      <c r="A3" t="s">
        <v>377</v>
      </c>
      <c r="B3" s="21" t="s">
        <v>86</v>
      </c>
      <c r="C3" s="21" t="s">
        <v>82</v>
      </c>
      <c r="E3">
        <f>IF(LEFT(RBC_Personal_Accounts[[#This Row],[If Balance is]],1)&lt;&gt;"$",0,VALUE(LEFT(RBC_Personal_Accounts[[#This Row],[If Balance is]],FIND(" ",RBC_Personal_Accounts[[#This Row],[If Balance is]]))))</f>
        <v>0</v>
      </c>
      <c r="H3">
        <v>156</v>
      </c>
    </row>
    <row r="4" spans="1:9" x14ac:dyDescent="0.25">
      <c r="B4" s="21" t="s">
        <v>85</v>
      </c>
      <c r="C4" s="21" t="s">
        <v>82</v>
      </c>
      <c r="E4">
        <f>IF(LEFT(RBC_Personal_Accounts[[#This Row],[If Balance is]],1)&lt;&gt;"$",0,VALUE(LEFT(RBC_Personal_Accounts[[#This Row],[If Balance is]],FIND(" ",RBC_Personal_Accounts[[#This Row],[If Balance is]]))))</f>
        <v>1000</v>
      </c>
      <c r="H4">
        <v>155</v>
      </c>
    </row>
    <row r="5" spans="1:9" x14ac:dyDescent="0.25">
      <c r="B5" s="21" t="s">
        <v>84</v>
      </c>
      <c r="C5" s="21" t="s">
        <v>82</v>
      </c>
      <c r="E5">
        <f>IF(LEFT(RBC_Personal_Accounts[[#This Row],[If Balance is]],1)&lt;&gt;"$",0,VALUE(LEFT(RBC_Personal_Accounts[[#This Row],[If Balance is]],FIND(" ",RBC_Personal_Accounts[[#This Row],[If Balance is]]))))</f>
        <v>3000</v>
      </c>
      <c r="H5">
        <v>154</v>
      </c>
    </row>
    <row r="6" spans="1:9" x14ac:dyDescent="0.25">
      <c r="B6" s="21" t="s">
        <v>344</v>
      </c>
      <c r="C6" s="21" t="s">
        <v>80</v>
      </c>
      <c r="E6">
        <f>IF(LEFT(RBC_Personal_Accounts[[#This Row],[If Balance is]],1)&lt;&gt;"$",0,VALUE(LEFT(RBC_Personal_Accounts[[#This Row],[If Balance is]],FIND(" ",RBC_Personal_Accounts[[#This Row],[If Balance is]]))))</f>
        <v>5000</v>
      </c>
      <c r="H6">
        <v>153</v>
      </c>
    </row>
    <row r="7" spans="1:9" x14ac:dyDescent="0.25">
      <c r="B7" s="21" t="s">
        <v>75</v>
      </c>
      <c r="C7" s="21" t="s">
        <v>80</v>
      </c>
      <c r="E7">
        <f>IF(LEFT(RBC_Personal_Accounts[[#This Row],[If Balance is]],1)&lt;&gt;"$",0,VALUE(LEFT(RBC_Personal_Accounts[[#This Row],[If Balance is]],FIND(" ",RBC_Personal_Accounts[[#This Row],[If Balance is]]))))</f>
        <v>25000</v>
      </c>
      <c r="H7">
        <v>152</v>
      </c>
    </row>
    <row r="8" spans="1:9" x14ac:dyDescent="0.25">
      <c r="B8" s="21" t="s">
        <v>342</v>
      </c>
      <c r="C8" s="21" t="s">
        <v>343</v>
      </c>
      <c r="E8">
        <f>IF(LEFT(RBC_Personal_Accounts[[#This Row],[If Balance is]],1)&lt;&gt;"$",0,VALUE(LEFT(RBC_Personal_Accounts[[#This Row],[If Balance is]],FIND(" ",RBC_Personal_Accounts[[#This Row],[If Balance is]]))))</f>
        <v>60000</v>
      </c>
      <c r="H8">
        <v>151</v>
      </c>
      <c r="I8" t="s">
        <v>377</v>
      </c>
    </row>
    <row r="9" spans="1:9" x14ac:dyDescent="0.25">
      <c r="A9" t="s">
        <v>376</v>
      </c>
      <c r="B9" s="21" t="s">
        <v>86</v>
      </c>
      <c r="C9" s="21" t="s">
        <v>82</v>
      </c>
      <c r="E9">
        <f>IF(LEFT(RBC_Personal_Accounts[[#This Row],[If Balance is]],1)&lt;&gt;"$",0,VALUE(LEFT(RBC_Personal_Accounts[[#This Row],[If Balance is]],FIND(" ",RBC_Personal_Accounts[[#This Row],[If Balance is]]))))</f>
        <v>0</v>
      </c>
      <c r="H9">
        <v>150</v>
      </c>
    </row>
    <row r="10" spans="1:9" x14ac:dyDescent="0.25">
      <c r="B10" s="21" t="s">
        <v>85</v>
      </c>
      <c r="C10" s="21" t="s">
        <v>82</v>
      </c>
      <c r="E10">
        <f>IF(LEFT(RBC_Personal_Accounts[[#This Row],[If Balance is]],1)&lt;&gt;"$",0,VALUE(LEFT(RBC_Personal_Accounts[[#This Row],[If Balance is]],FIND(" ",RBC_Personal_Accounts[[#This Row],[If Balance is]]))))</f>
        <v>1000</v>
      </c>
      <c r="H10">
        <v>149</v>
      </c>
    </row>
    <row r="11" spans="1:9" x14ac:dyDescent="0.25">
      <c r="B11" s="21" t="s">
        <v>84</v>
      </c>
      <c r="C11" s="21" t="s">
        <v>80</v>
      </c>
      <c r="E11">
        <f>IF(LEFT(RBC_Personal_Accounts[[#This Row],[If Balance is]],1)&lt;&gt;"$",0,VALUE(LEFT(RBC_Personal_Accounts[[#This Row],[If Balance is]],FIND(" ",RBC_Personal_Accounts[[#This Row],[If Balance is]]))))</f>
        <v>3000</v>
      </c>
      <c r="H11">
        <v>148</v>
      </c>
    </row>
    <row r="12" spans="1:9" x14ac:dyDescent="0.25">
      <c r="B12" s="21" t="s">
        <v>83</v>
      </c>
      <c r="C12" s="21" t="s">
        <v>343</v>
      </c>
      <c r="E12">
        <f>IF(LEFT(RBC_Personal_Accounts[[#This Row],[If Balance is]],1)&lt;&gt;"$",0,VALUE(LEFT(RBC_Personal_Accounts[[#This Row],[If Balance is]],FIND(" ",RBC_Personal_Accounts[[#This Row],[If Balance is]]))))</f>
        <v>5000</v>
      </c>
      <c r="H12">
        <v>147</v>
      </c>
      <c r="I12" t="s">
        <v>376</v>
      </c>
    </row>
    <row r="13" spans="1:9" x14ac:dyDescent="0.25">
      <c r="A13" t="s">
        <v>375</v>
      </c>
      <c r="B13" s="21" t="s">
        <v>86</v>
      </c>
      <c r="C13" s="21" t="s">
        <v>78</v>
      </c>
      <c r="E13">
        <f>IF(LEFT(RBC_Personal_Accounts[[#This Row],[If Balance is]],1)&lt;&gt;"$",0,VALUE(LEFT(RBC_Personal_Accounts[[#This Row],[If Balance is]],FIND(" ",RBC_Personal_Accounts[[#This Row],[If Balance is]]))))</f>
        <v>0</v>
      </c>
      <c r="H13">
        <v>146</v>
      </c>
    </row>
    <row r="14" spans="1:9" x14ac:dyDescent="0.25">
      <c r="B14" s="21" t="s">
        <v>85</v>
      </c>
      <c r="C14" s="21" t="s">
        <v>76</v>
      </c>
      <c r="E14">
        <f>IF(LEFT(RBC_Personal_Accounts[[#This Row],[If Balance is]],1)&lt;&gt;"$",0,VALUE(LEFT(RBC_Personal_Accounts[[#This Row],[If Balance is]],FIND(" ",RBC_Personal_Accounts[[#This Row],[If Balance is]]))))</f>
        <v>1000</v>
      </c>
      <c r="H14">
        <v>145</v>
      </c>
    </row>
    <row r="15" spans="1:9" x14ac:dyDescent="0.25">
      <c r="B15" s="21" t="s">
        <v>84</v>
      </c>
      <c r="C15" s="21" t="s">
        <v>87</v>
      </c>
      <c r="E15">
        <f>IF(LEFT(RBC_Personal_Accounts[[#This Row],[If Balance is]],1)&lt;&gt;"$",0,VALUE(LEFT(RBC_Personal_Accounts[[#This Row],[If Balance is]],FIND(" ",RBC_Personal_Accounts[[#This Row],[If Balance is]]))))</f>
        <v>3000</v>
      </c>
      <c r="H15">
        <v>144</v>
      </c>
    </row>
    <row r="16" spans="1:9" x14ac:dyDescent="0.25">
      <c r="B16" s="21" t="s">
        <v>83</v>
      </c>
      <c r="C16" s="21" t="s">
        <v>87</v>
      </c>
      <c r="E16">
        <f>IF(LEFT(RBC_Personal_Accounts[[#This Row],[If Balance is]],1)&lt;&gt;"$",0,VALUE(LEFT(RBC_Personal_Accounts[[#This Row],[If Balance is]],FIND(" ",RBC_Personal_Accounts[[#This Row],[If Balance is]]))))</f>
        <v>5000</v>
      </c>
      <c r="H16">
        <v>143</v>
      </c>
      <c r="I16" t="s">
        <v>375</v>
      </c>
    </row>
    <row r="17" spans="1:9" x14ac:dyDescent="0.25">
      <c r="A17" t="s">
        <v>374</v>
      </c>
      <c r="B17" s="21" t="s">
        <v>81</v>
      </c>
      <c r="C17" s="21" t="s">
        <v>82</v>
      </c>
      <c r="E17">
        <f>IF(LEFT(RBC_Personal_Accounts[[#This Row],[If Balance is]],1)&lt;&gt;"$",0,VALUE(LEFT(RBC_Personal_Accounts[[#This Row],[If Balance is]],FIND(" ",RBC_Personal_Accounts[[#This Row],[If Balance is]]))))</f>
        <v>0</v>
      </c>
      <c r="H17">
        <v>142</v>
      </c>
    </row>
    <row r="18" spans="1:9" x14ac:dyDescent="0.25">
      <c r="B18" s="21" t="s">
        <v>79</v>
      </c>
      <c r="C18" s="21" t="s">
        <v>80</v>
      </c>
      <c r="E18">
        <f>IF(LEFT(RBC_Personal_Accounts[[#This Row],[If Balance is]],1)&lt;&gt;"$",0,VALUE(LEFT(RBC_Personal_Accounts[[#This Row],[If Balance is]],FIND(" ",RBC_Personal_Accounts[[#This Row],[If Balance is]]))))</f>
        <v>5000</v>
      </c>
      <c r="H18">
        <v>141</v>
      </c>
    </row>
    <row r="19" spans="1:9" x14ac:dyDescent="0.25">
      <c r="B19" s="21" t="s">
        <v>77</v>
      </c>
      <c r="C19" s="21" t="s">
        <v>78</v>
      </c>
      <c r="E19">
        <f>IF(LEFT(RBC_Personal_Accounts[[#This Row],[If Balance is]],1)&lt;&gt;"$",0,VALUE(LEFT(RBC_Personal_Accounts[[#This Row],[If Balance is]],FIND(" ",RBC_Personal_Accounts[[#This Row],[If Balance is]]))))</f>
        <v>10000</v>
      </c>
      <c r="H19">
        <v>140</v>
      </c>
    </row>
    <row r="20" spans="1:9" x14ac:dyDescent="0.25">
      <c r="B20" s="21" t="s">
        <v>75</v>
      </c>
      <c r="C20" s="21" t="s">
        <v>76</v>
      </c>
      <c r="E20">
        <f>IF(LEFT(RBC_Personal_Accounts[[#This Row],[If Balance is]],1)&lt;&gt;"$",0,VALUE(LEFT(RBC_Personal_Accounts[[#This Row],[If Balance is]],FIND(" ",RBC_Personal_Accounts[[#This Row],[If Balance is]]))))</f>
        <v>25000</v>
      </c>
      <c r="H20">
        <v>139</v>
      </c>
    </row>
    <row r="21" spans="1:9" x14ac:dyDescent="0.25">
      <c r="B21" s="21" t="s">
        <v>73</v>
      </c>
      <c r="C21" s="21" t="s">
        <v>74</v>
      </c>
      <c r="E21">
        <f>IF(LEFT(RBC_Personal_Accounts[[#This Row],[If Balance is]],1)&lt;&gt;"$",0,VALUE(LEFT(RBC_Personal_Accounts[[#This Row],[If Balance is]],FIND(" ",RBC_Personal_Accounts[[#This Row],[If Balance is]]))))</f>
        <v>60000</v>
      </c>
      <c r="H21">
        <v>138</v>
      </c>
    </row>
    <row r="22" spans="1:9" x14ac:dyDescent="0.25">
      <c r="B22" s="21" t="s">
        <v>71</v>
      </c>
      <c r="C22" s="21" t="s">
        <v>72</v>
      </c>
      <c r="E22">
        <f>IF(LEFT(RBC_Personal_Accounts[[#This Row],[If Balance is]],1)&lt;&gt;"$",0,VALUE(LEFT(RBC_Personal_Accounts[[#This Row],[If Balance is]],FIND(" ",RBC_Personal_Accounts[[#This Row],[If Balance is]]))))</f>
        <v>100000</v>
      </c>
      <c r="H22">
        <v>137</v>
      </c>
    </row>
    <row r="23" spans="1:9" x14ac:dyDescent="0.25">
      <c r="B23" s="21" t="s">
        <v>70</v>
      </c>
      <c r="C23" s="21" t="s">
        <v>69</v>
      </c>
      <c r="E23">
        <f>IF(LEFT(RBC_Personal_Accounts[[#This Row],[If Balance is]],1)&lt;&gt;"$",0,VALUE(LEFT(RBC_Personal_Accounts[[#This Row],[If Balance is]],FIND(" ",RBC_Personal_Accounts[[#This Row],[If Balance is]]))))</f>
        <v>150000</v>
      </c>
      <c r="H23">
        <v>136</v>
      </c>
    </row>
    <row r="24" spans="1:9" x14ac:dyDescent="0.25">
      <c r="B24" s="21" t="s">
        <v>68</v>
      </c>
      <c r="C24" s="21" t="s">
        <v>69</v>
      </c>
      <c r="E24">
        <f>IF(LEFT(RBC_Personal_Accounts[[#This Row],[If Balance is]],1)&lt;&gt;"$",0,VALUE(LEFT(RBC_Personal_Accounts[[#This Row],[If Balance is]],FIND(" ",RBC_Personal_Accounts[[#This Row],[If Balance is]]))))</f>
        <v>250000</v>
      </c>
      <c r="H24">
        <v>135</v>
      </c>
      <c r="I24" t="s">
        <v>374</v>
      </c>
    </row>
    <row r="25" spans="1:9" x14ac:dyDescent="0.25">
      <c r="A25" t="s">
        <v>373</v>
      </c>
      <c r="B25" s="21" t="s">
        <v>339</v>
      </c>
      <c r="C25" s="21" t="s">
        <v>78</v>
      </c>
      <c r="E25">
        <f>IF(LEFT(RBC_Personal_Accounts[[#This Row],[If Balance is]],1)&lt;&gt;"$",0,VALUE(LEFT(RBC_Personal_Accounts[[#This Row],[If Balance is]],FIND(" ",RBC_Personal_Accounts[[#This Row],[If Balance is]]))))</f>
        <v>0</v>
      </c>
      <c r="H25">
        <v>134</v>
      </c>
    </row>
    <row r="26" spans="1:9" x14ac:dyDescent="0.25">
      <c r="B26" s="21" t="s">
        <v>338</v>
      </c>
      <c r="C26" s="21" t="s">
        <v>78</v>
      </c>
      <c r="E26">
        <f>IF(LEFT(RBC_Personal_Accounts[[#This Row],[If Balance is]],1)&lt;&gt;"$",0,VALUE(LEFT(RBC_Personal_Accounts[[#This Row],[If Balance is]],FIND(" ",RBC_Personal_Accounts[[#This Row],[If Balance is]]))))</f>
        <v>1000</v>
      </c>
      <c r="H26">
        <v>133</v>
      </c>
    </row>
    <row r="27" spans="1:9" x14ac:dyDescent="0.25">
      <c r="B27" s="21" t="s">
        <v>337</v>
      </c>
      <c r="C27" s="21" t="s">
        <v>78</v>
      </c>
      <c r="E27">
        <f>IF(LEFT(RBC_Personal_Accounts[[#This Row],[If Balance is]],1)&lt;&gt;"$",0,VALUE(LEFT(RBC_Personal_Accounts[[#This Row],[If Balance is]],FIND(" ",RBC_Personal_Accounts[[#This Row],[If Balance is]]))))</f>
        <v>3000</v>
      </c>
      <c r="H27">
        <v>132</v>
      </c>
    </row>
    <row r="28" spans="1:9" x14ac:dyDescent="0.25">
      <c r="B28" s="21" t="s">
        <v>336</v>
      </c>
      <c r="C28" s="21" t="s">
        <v>78</v>
      </c>
      <c r="E28">
        <f>IF(LEFT(RBC_Personal_Accounts[[#This Row],[If Balance is]],1)&lt;&gt;"$",0,VALUE(LEFT(RBC_Personal_Accounts[[#This Row],[If Balance is]],FIND(" ",RBC_Personal_Accounts[[#This Row],[If Balance is]]))))</f>
        <v>5000</v>
      </c>
      <c r="H28">
        <v>131</v>
      </c>
    </row>
    <row r="29" spans="1:9" x14ac:dyDescent="0.25">
      <c r="B29" s="21" t="s">
        <v>335</v>
      </c>
      <c r="C29" s="21" t="s">
        <v>78</v>
      </c>
      <c r="E29">
        <f>IF(LEFT(RBC_Personal_Accounts[[#This Row],[If Balance is]],1)&lt;&gt;"$",0,VALUE(LEFT(RBC_Personal_Accounts[[#This Row],[If Balance is]],FIND(" ",RBC_Personal_Accounts[[#This Row],[If Balance is]]))))</f>
        <v>10000</v>
      </c>
      <c r="H29">
        <v>130</v>
      </c>
    </row>
    <row r="30" spans="1:9" x14ac:dyDescent="0.25">
      <c r="B30" s="21" t="s">
        <v>334</v>
      </c>
      <c r="C30" s="21" t="s">
        <v>78</v>
      </c>
      <c r="E30">
        <f>IF(LEFT(RBC_Personal_Accounts[[#This Row],[If Balance is]],1)&lt;&gt;"$",0,VALUE(LEFT(RBC_Personal_Accounts[[#This Row],[If Balance is]],FIND(" ",RBC_Personal_Accounts[[#This Row],[If Balance is]]))))</f>
        <v>25000</v>
      </c>
      <c r="H30">
        <v>129</v>
      </c>
    </row>
    <row r="31" spans="1:9" x14ac:dyDescent="0.25">
      <c r="B31" s="21" t="s">
        <v>333</v>
      </c>
      <c r="C31" s="21" t="s">
        <v>346</v>
      </c>
      <c r="E31">
        <f>IF(LEFT(RBC_Personal_Accounts[[#This Row],[If Balance is]],1)&lt;&gt;"$",0,VALUE(LEFT(RBC_Personal_Accounts[[#This Row],[If Balance is]],FIND(" ",RBC_Personal_Accounts[[#This Row],[If Balance is]]))))</f>
        <v>60000</v>
      </c>
      <c r="H31">
        <v>128</v>
      </c>
    </row>
    <row r="32" spans="1:9" x14ac:dyDescent="0.25">
      <c r="B32" s="21" t="s">
        <v>332</v>
      </c>
      <c r="C32" s="21" t="s">
        <v>346</v>
      </c>
      <c r="E32">
        <f>IF(LEFT(RBC_Personal_Accounts[[#This Row],[If Balance is]],1)&lt;&gt;"$",0,VALUE(LEFT(RBC_Personal_Accounts[[#This Row],[If Balance is]],FIND(" ",RBC_Personal_Accounts[[#This Row],[If Balance is]]))))</f>
        <v>100000</v>
      </c>
      <c r="H32">
        <v>127</v>
      </c>
    </row>
    <row r="33" spans="1:9" x14ac:dyDescent="0.25">
      <c r="B33" s="21" t="s">
        <v>331</v>
      </c>
      <c r="C33" s="21" t="s">
        <v>346</v>
      </c>
      <c r="E33">
        <f>IF(LEFT(RBC_Personal_Accounts[[#This Row],[If Balance is]],1)&lt;&gt;"$",0,VALUE(LEFT(RBC_Personal_Accounts[[#This Row],[If Balance is]],FIND(" ",RBC_Personal_Accounts[[#This Row],[If Balance is]]))))</f>
        <v>150000</v>
      </c>
      <c r="H33">
        <v>126</v>
      </c>
    </row>
    <row r="34" spans="1:9" x14ac:dyDescent="0.25">
      <c r="B34" s="21" t="s">
        <v>68</v>
      </c>
      <c r="C34" s="21" t="s">
        <v>346</v>
      </c>
      <c r="E34">
        <f>IF(LEFT(RBC_Personal_Accounts[[#This Row],[If Balance is]],1)&lt;&gt;"$",0,VALUE(LEFT(RBC_Personal_Accounts[[#This Row],[If Balance is]],FIND(" ",RBC_Personal_Accounts[[#This Row],[If Balance is]]))))</f>
        <v>250000</v>
      </c>
      <c r="H34">
        <v>125</v>
      </c>
      <c r="I34" t="s">
        <v>373</v>
      </c>
    </row>
    <row r="35" spans="1:9" x14ac:dyDescent="0.25">
      <c r="A35" t="s">
        <v>372</v>
      </c>
      <c r="B35" s="21" t="s">
        <v>86</v>
      </c>
      <c r="C35" s="21" t="s">
        <v>82</v>
      </c>
      <c r="E35">
        <f>IF(LEFT(RBC_Personal_Accounts[[#This Row],[If Balance is]],1)&lt;&gt;"$",0,VALUE(LEFT(RBC_Personal_Accounts[[#This Row],[If Balance is]],FIND(" ",RBC_Personal_Accounts[[#This Row],[If Balance is]]))))</f>
        <v>0</v>
      </c>
      <c r="H35">
        <v>124</v>
      </c>
    </row>
    <row r="36" spans="1:9" x14ac:dyDescent="0.25">
      <c r="B36" s="21" t="s">
        <v>85</v>
      </c>
      <c r="C36" s="21" t="s">
        <v>82</v>
      </c>
      <c r="E36">
        <f>IF(LEFT(RBC_Personal_Accounts[[#This Row],[If Balance is]],1)&lt;&gt;"$",0,VALUE(LEFT(RBC_Personal_Accounts[[#This Row],[If Balance is]],FIND(" ",RBC_Personal_Accounts[[#This Row],[If Balance is]]))))</f>
        <v>1000</v>
      </c>
      <c r="H36">
        <v>123</v>
      </c>
    </row>
    <row r="37" spans="1:9" x14ac:dyDescent="0.25">
      <c r="B37" s="21" t="s">
        <v>84</v>
      </c>
      <c r="C37" s="21" t="s">
        <v>82</v>
      </c>
      <c r="E37">
        <f>IF(LEFT(RBC_Personal_Accounts[[#This Row],[If Balance is]],1)&lt;&gt;"$",0,VALUE(LEFT(RBC_Personal_Accounts[[#This Row],[If Balance is]],FIND(" ",RBC_Personal_Accounts[[#This Row],[If Balance is]]))))</f>
        <v>3000</v>
      </c>
      <c r="H37">
        <v>122</v>
      </c>
    </row>
    <row r="38" spans="1:9" x14ac:dyDescent="0.25">
      <c r="B38" s="21" t="s">
        <v>344</v>
      </c>
      <c r="C38" s="21" t="s">
        <v>80</v>
      </c>
      <c r="E38">
        <f>IF(LEFT(RBC_Personal_Accounts[[#This Row],[If Balance is]],1)&lt;&gt;"$",0,VALUE(LEFT(RBC_Personal_Accounts[[#This Row],[If Balance is]],FIND(" ",RBC_Personal_Accounts[[#This Row],[If Balance is]]))))</f>
        <v>5000</v>
      </c>
      <c r="H38">
        <v>121</v>
      </c>
    </row>
    <row r="39" spans="1:9" x14ac:dyDescent="0.25">
      <c r="B39" s="21" t="s">
        <v>75</v>
      </c>
      <c r="C39" s="21" t="s">
        <v>80</v>
      </c>
      <c r="E39">
        <f>IF(LEFT(RBC_Personal_Accounts[[#This Row],[If Balance is]],1)&lt;&gt;"$",0,VALUE(LEFT(RBC_Personal_Accounts[[#This Row],[If Balance is]],FIND(" ",RBC_Personal_Accounts[[#This Row],[If Balance is]]))))</f>
        <v>25000</v>
      </c>
      <c r="H39">
        <v>120</v>
      </c>
    </row>
    <row r="40" spans="1:9" x14ac:dyDescent="0.25">
      <c r="B40" s="21" t="s">
        <v>342</v>
      </c>
      <c r="C40" s="21" t="s">
        <v>343</v>
      </c>
      <c r="E40">
        <f>IF(LEFT(RBC_Personal_Accounts[[#This Row],[If Balance is]],1)&lt;&gt;"$",0,VALUE(LEFT(RBC_Personal_Accounts[[#This Row],[If Balance is]],FIND(" ",RBC_Personal_Accounts[[#This Row],[If Balance is]]))))</f>
        <v>60000</v>
      </c>
      <c r="H40">
        <v>119</v>
      </c>
      <c r="I40" t="s">
        <v>372</v>
      </c>
    </row>
    <row r="41" spans="1:9" x14ac:dyDescent="0.25">
      <c r="A41" t="s">
        <v>371</v>
      </c>
      <c r="B41" s="21" t="s">
        <v>81</v>
      </c>
      <c r="C41" s="21" t="s">
        <v>82</v>
      </c>
      <c r="E41">
        <f>IF(LEFT(RBC_Personal_Accounts[[#This Row],[If Balance is]],1)&lt;&gt;"$",0,VALUE(LEFT(RBC_Personal_Accounts[[#This Row],[If Balance is]],FIND(" ",RBC_Personal_Accounts[[#This Row],[If Balance is]]))))</f>
        <v>0</v>
      </c>
      <c r="H41">
        <v>118</v>
      </c>
    </row>
    <row r="42" spans="1:9" x14ac:dyDescent="0.25">
      <c r="B42" s="21" t="s">
        <v>79</v>
      </c>
      <c r="C42" s="21" t="s">
        <v>80</v>
      </c>
      <c r="E42">
        <f>IF(LEFT(RBC_Personal_Accounts[[#This Row],[If Balance is]],1)&lt;&gt;"$",0,VALUE(LEFT(RBC_Personal_Accounts[[#This Row],[If Balance is]],FIND(" ",RBC_Personal_Accounts[[#This Row],[If Balance is]]))))</f>
        <v>5000</v>
      </c>
      <c r="H42">
        <v>117</v>
      </c>
    </row>
    <row r="43" spans="1:9" x14ac:dyDescent="0.25">
      <c r="B43" s="21" t="s">
        <v>77</v>
      </c>
      <c r="C43" s="21" t="s">
        <v>78</v>
      </c>
      <c r="E43">
        <f>IF(LEFT(RBC_Personal_Accounts[[#This Row],[If Balance is]],1)&lt;&gt;"$",0,VALUE(LEFT(RBC_Personal_Accounts[[#This Row],[If Balance is]],FIND(" ",RBC_Personal_Accounts[[#This Row],[If Balance is]]))))</f>
        <v>10000</v>
      </c>
      <c r="H43">
        <v>116</v>
      </c>
    </row>
    <row r="44" spans="1:9" x14ac:dyDescent="0.25">
      <c r="B44" s="21" t="s">
        <v>75</v>
      </c>
      <c r="C44" s="21" t="s">
        <v>76</v>
      </c>
      <c r="E44">
        <f>IF(LEFT(RBC_Personal_Accounts[[#This Row],[If Balance is]],1)&lt;&gt;"$",0,VALUE(LEFT(RBC_Personal_Accounts[[#This Row],[If Balance is]],FIND(" ",RBC_Personal_Accounts[[#This Row],[If Balance is]]))))</f>
        <v>25000</v>
      </c>
      <c r="H44">
        <v>115</v>
      </c>
    </row>
    <row r="45" spans="1:9" x14ac:dyDescent="0.25">
      <c r="B45" s="21" t="s">
        <v>73</v>
      </c>
      <c r="C45" s="21" t="s">
        <v>74</v>
      </c>
      <c r="E45">
        <f>IF(LEFT(RBC_Personal_Accounts[[#This Row],[If Balance is]],1)&lt;&gt;"$",0,VALUE(LEFT(RBC_Personal_Accounts[[#This Row],[If Balance is]],FIND(" ",RBC_Personal_Accounts[[#This Row],[If Balance is]]))))</f>
        <v>60000</v>
      </c>
      <c r="H45">
        <v>114</v>
      </c>
    </row>
    <row r="46" spans="1:9" x14ac:dyDescent="0.25">
      <c r="B46" s="21" t="s">
        <v>71</v>
      </c>
      <c r="C46" s="21" t="s">
        <v>72</v>
      </c>
      <c r="E46">
        <f>IF(LEFT(RBC_Personal_Accounts[[#This Row],[If Balance is]],1)&lt;&gt;"$",0,VALUE(LEFT(RBC_Personal_Accounts[[#This Row],[If Balance is]],FIND(" ",RBC_Personal_Accounts[[#This Row],[If Balance is]]))))</f>
        <v>100000</v>
      </c>
      <c r="H46">
        <v>113</v>
      </c>
    </row>
    <row r="47" spans="1:9" x14ac:dyDescent="0.25">
      <c r="B47" s="21" t="s">
        <v>70</v>
      </c>
      <c r="C47" s="21" t="s">
        <v>69</v>
      </c>
      <c r="E47">
        <f>IF(LEFT(RBC_Personal_Accounts[[#This Row],[If Balance is]],1)&lt;&gt;"$",0,VALUE(LEFT(RBC_Personal_Accounts[[#This Row],[If Balance is]],FIND(" ",RBC_Personal_Accounts[[#This Row],[If Balance is]]))))</f>
        <v>150000</v>
      </c>
      <c r="H47">
        <v>112</v>
      </c>
    </row>
    <row r="48" spans="1:9" x14ac:dyDescent="0.25">
      <c r="B48" s="21" t="s">
        <v>68</v>
      </c>
      <c r="C48" s="21" t="s">
        <v>69</v>
      </c>
      <c r="E48">
        <f>IF(LEFT(RBC_Personal_Accounts[[#This Row],[If Balance is]],1)&lt;&gt;"$",0,VALUE(LEFT(RBC_Personal_Accounts[[#This Row],[If Balance is]],FIND(" ",RBC_Personal_Accounts[[#This Row],[If Balance is]]))))</f>
        <v>250000</v>
      </c>
      <c r="H48">
        <v>111</v>
      </c>
      <c r="I48" t="s">
        <v>371</v>
      </c>
    </row>
    <row r="49" spans="1:9" x14ac:dyDescent="0.25">
      <c r="A49" t="s">
        <v>370</v>
      </c>
      <c r="B49" s="21" t="s">
        <v>86</v>
      </c>
      <c r="C49" s="21" t="s">
        <v>78</v>
      </c>
      <c r="E49">
        <f>IF(LEFT(RBC_Personal_Accounts[[#This Row],[If Balance is]],1)&lt;&gt;"$",0,VALUE(LEFT(RBC_Personal_Accounts[[#This Row],[If Balance is]],FIND(" ",RBC_Personal_Accounts[[#This Row],[If Balance is]]))))</f>
        <v>0</v>
      </c>
      <c r="H49">
        <v>110</v>
      </c>
    </row>
    <row r="50" spans="1:9" x14ac:dyDescent="0.25">
      <c r="B50" s="21" t="s">
        <v>85</v>
      </c>
      <c r="C50" s="21" t="s">
        <v>76</v>
      </c>
      <c r="E50">
        <f>IF(LEFT(RBC_Personal_Accounts[[#This Row],[If Balance is]],1)&lt;&gt;"$",0,VALUE(LEFT(RBC_Personal_Accounts[[#This Row],[If Balance is]],FIND(" ",RBC_Personal_Accounts[[#This Row],[If Balance is]]))))</f>
        <v>1000</v>
      </c>
      <c r="H50">
        <v>109</v>
      </c>
    </row>
    <row r="51" spans="1:9" x14ac:dyDescent="0.25">
      <c r="B51" s="21" t="s">
        <v>84</v>
      </c>
      <c r="C51" s="21" t="s">
        <v>87</v>
      </c>
      <c r="E51">
        <f>IF(LEFT(RBC_Personal_Accounts[[#This Row],[If Balance is]],1)&lt;&gt;"$",0,VALUE(LEFT(RBC_Personal_Accounts[[#This Row],[If Balance is]],FIND(" ",RBC_Personal_Accounts[[#This Row],[If Balance is]]))))</f>
        <v>3000</v>
      </c>
      <c r="H51">
        <v>108</v>
      </c>
    </row>
    <row r="52" spans="1:9" x14ac:dyDescent="0.25">
      <c r="B52" s="21" t="s">
        <v>83</v>
      </c>
      <c r="C52" s="21" t="s">
        <v>87</v>
      </c>
      <c r="E52">
        <f>IF(LEFT(RBC_Personal_Accounts[[#This Row],[If Balance is]],1)&lt;&gt;"$",0,VALUE(LEFT(RBC_Personal_Accounts[[#This Row],[If Balance is]],FIND(" ",RBC_Personal_Accounts[[#This Row],[If Balance is]]))))</f>
        <v>5000</v>
      </c>
      <c r="H52">
        <v>107</v>
      </c>
      <c r="I52" t="s">
        <v>370</v>
      </c>
    </row>
    <row r="53" spans="1:9" x14ac:dyDescent="0.25">
      <c r="A53" t="s">
        <v>369</v>
      </c>
      <c r="B53" s="21" t="s">
        <v>341</v>
      </c>
      <c r="C53" s="21" t="s">
        <v>82</v>
      </c>
      <c r="E53">
        <f>IF(LEFT(RBC_Personal_Accounts[[#This Row],[If Balance is]],1)&lt;&gt;"$",0,VALUE(LEFT(RBC_Personal_Accounts[[#This Row],[If Balance is]],FIND(" ",RBC_Personal_Accounts[[#This Row],[If Balance is]]))))</f>
        <v>0</v>
      </c>
      <c r="H53">
        <v>106</v>
      </c>
    </row>
    <row r="54" spans="1:9" x14ac:dyDescent="0.25">
      <c r="B54" s="21" t="s">
        <v>340</v>
      </c>
      <c r="C54" s="21" t="s">
        <v>82</v>
      </c>
      <c r="E54">
        <f>IF(LEFT(RBC_Personal_Accounts[[#This Row],[If Balance is]],1)&lt;&gt;"$",0,VALUE(LEFT(RBC_Personal_Accounts[[#This Row],[If Balance is]],FIND(" ",RBC_Personal_Accounts[[#This Row],[If Balance is]]))))</f>
        <v>500</v>
      </c>
      <c r="H54">
        <v>105</v>
      </c>
    </row>
    <row r="55" spans="1:9" x14ac:dyDescent="0.25">
      <c r="B55" s="21" t="s">
        <v>85</v>
      </c>
      <c r="C55" s="21" t="s">
        <v>82</v>
      </c>
      <c r="E55">
        <f>IF(LEFT(RBC_Personal_Accounts[[#This Row],[If Balance is]],1)&lt;&gt;"$",0,VALUE(LEFT(RBC_Personal_Accounts[[#This Row],[If Balance is]],FIND(" ",RBC_Personal_Accounts[[#This Row],[If Balance is]]))))</f>
        <v>1000</v>
      </c>
      <c r="H55">
        <v>104</v>
      </c>
    </row>
    <row r="56" spans="1:9" x14ac:dyDescent="0.25">
      <c r="B56" s="21" t="s">
        <v>84</v>
      </c>
      <c r="C56" s="21" t="s">
        <v>80</v>
      </c>
      <c r="E56">
        <f>IF(LEFT(RBC_Personal_Accounts[[#This Row],[If Balance is]],1)&lt;&gt;"$",0,VALUE(LEFT(RBC_Personal_Accounts[[#This Row],[If Balance is]],FIND(" ",RBC_Personal_Accounts[[#This Row],[If Balance is]]))))</f>
        <v>3000</v>
      </c>
      <c r="H56">
        <v>103</v>
      </c>
    </row>
    <row r="57" spans="1:9" x14ac:dyDescent="0.25">
      <c r="B57" s="21" t="s">
        <v>83</v>
      </c>
      <c r="C57" s="21" t="s">
        <v>343</v>
      </c>
      <c r="E57">
        <f>IF(LEFT(RBC_Personal_Accounts[[#This Row],[If Balance is]],1)&lt;&gt;"$",0,VALUE(LEFT(RBC_Personal_Accounts[[#This Row],[If Balance is]],FIND(" ",RBC_Personal_Accounts[[#This Row],[If Balance is]]))))</f>
        <v>5000</v>
      </c>
      <c r="H57">
        <v>102</v>
      </c>
      <c r="I57" t="s">
        <v>369</v>
      </c>
    </row>
    <row r="58" spans="1:9" x14ac:dyDescent="0.25">
      <c r="A58" t="s">
        <v>368</v>
      </c>
      <c r="B58" s="21" t="s">
        <v>86</v>
      </c>
      <c r="C58" s="21" t="s">
        <v>82</v>
      </c>
      <c r="E58">
        <f>IF(LEFT(RBC_Personal_Accounts[[#This Row],[If Balance is]],1)&lt;&gt;"$",0,VALUE(LEFT(RBC_Personal_Accounts[[#This Row],[If Balance is]],FIND(" ",RBC_Personal_Accounts[[#This Row],[If Balance is]]))))</f>
        <v>0</v>
      </c>
      <c r="H58">
        <v>101</v>
      </c>
    </row>
    <row r="59" spans="1:9" x14ac:dyDescent="0.25">
      <c r="B59" s="21" t="s">
        <v>85</v>
      </c>
      <c r="C59" s="21" t="s">
        <v>82</v>
      </c>
      <c r="E59">
        <f>IF(LEFT(RBC_Personal_Accounts[[#This Row],[If Balance is]],1)&lt;&gt;"$",0,VALUE(LEFT(RBC_Personal_Accounts[[#This Row],[If Balance is]],FIND(" ",RBC_Personal_Accounts[[#This Row],[If Balance is]]))))</f>
        <v>1000</v>
      </c>
      <c r="H59">
        <v>100</v>
      </c>
    </row>
    <row r="60" spans="1:9" x14ac:dyDescent="0.25">
      <c r="B60" s="21" t="s">
        <v>84</v>
      </c>
      <c r="C60" s="21" t="s">
        <v>82</v>
      </c>
      <c r="E60">
        <f>IF(LEFT(RBC_Personal_Accounts[[#This Row],[If Balance is]],1)&lt;&gt;"$",0,VALUE(LEFT(RBC_Personal_Accounts[[#This Row],[If Balance is]],FIND(" ",RBC_Personal_Accounts[[#This Row],[If Balance is]]))))</f>
        <v>3000</v>
      </c>
      <c r="H60">
        <v>99</v>
      </c>
    </row>
    <row r="61" spans="1:9" x14ac:dyDescent="0.25">
      <c r="B61" s="21" t="s">
        <v>344</v>
      </c>
      <c r="C61" s="21" t="s">
        <v>80</v>
      </c>
      <c r="E61">
        <f>IF(LEFT(RBC_Personal_Accounts[[#This Row],[If Balance is]],1)&lt;&gt;"$",0,VALUE(LEFT(RBC_Personal_Accounts[[#This Row],[If Balance is]],FIND(" ",RBC_Personal_Accounts[[#This Row],[If Balance is]]))))</f>
        <v>5000</v>
      </c>
      <c r="H61">
        <v>98</v>
      </c>
    </row>
    <row r="62" spans="1:9" x14ac:dyDescent="0.25">
      <c r="B62" s="21" t="s">
        <v>75</v>
      </c>
      <c r="C62" s="21" t="s">
        <v>80</v>
      </c>
      <c r="E62">
        <f>IF(LEFT(RBC_Personal_Accounts[[#This Row],[If Balance is]],1)&lt;&gt;"$",0,VALUE(LEFT(RBC_Personal_Accounts[[#This Row],[If Balance is]],FIND(" ",RBC_Personal_Accounts[[#This Row],[If Balance is]]))))</f>
        <v>25000</v>
      </c>
      <c r="H62">
        <v>97</v>
      </c>
    </row>
    <row r="63" spans="1:9" x14ac:dyDescent="0.25">
      <c r="B63" s="21" t="s">
        <v>342</v>
      </c>
      <c r="C63" s="21" t="s">
        <v>343</v>
      </c>
      <c r="E63">
        <f>IF(LEFT(RBC_Personal_Accounts[[#This Row],[If Balance is]],1)&lt;&gt;"$",0,VALUE(LEFT(RBC_Personal_Accounts[[#This Row],[If Balance is]],FIND(" ",RBC_Personal_Accounts[[#This Row],[If Balance is]]))))</f>
        <v>60000</v>
      </c>
      <c r="H63">
        <v>96</v>
      </c>
      <c r="I63" t="s">
        <v>368</v>
      </c>
    </row>
    <row r="64" spans="1:9" x14ac:dyDescent="0.25">
      <c r="A64" t="s">
        <v>367</v>
      </c>
      <c r="B64" s="21" t="s">
        <v>341</v>
      </c>
      <c r="C64" s="21" t="s">
        <v>80</v>
      </c>
      <c r="E64">
        <f>IF(LEFT(RBC_Personal_Accounts[[#This Row],[If Balance is]],1)&lt;&gt;"$",0,VALUE(LEFT(RBC_Personal_Accounts[[#This Row],[If Balance is]],FIND(" ",RBC_Personal_Accounts[[#This Row],[If Balance is]]))))</f>
        <v>0</v>
      </c>
      <c r="H64">
        <v>95</v>
      </c>
    </row>
    <row r="65" spans="1:9" x14ac:dyDescent="0.25">
      <c r="B65" s="21" t="s">
        <v>340</v>
      </c>
      <c r="C65" s="21" t="s">
        <v>80</v>
      </c>
      <c r="E65">
        <f>IF(LEFT(RBC_Personal_Accounts[[#This Row],[If Balance is]],1)&lt;&gt;"$",0,VALUE(LEFT(RBC_Personal_Accounts[[#This Row],[If Balance is]],FIND(" ",RBC_Personal_Accounts[[#This Row],[If Balance is]]))))</f>
        <v>500</v>
      </c>
      <c r="H65">
        <v>94</v>
      </c>
    </row>
    <row r="66" spans="1:9" x14ac:dyDescent="0.25">
      <c r="B66" s="21" t="s">
        <v>85</v>
      </c>
      <c r="C66" s="21" t="s">
        <v>80</v>
      </c>
      <c r="E66">
        <f>IF(LEFT(RBC_Personal_Accounts[[#This Row],[If Balance is]],1)&lt;&gt;"$",0,VALUE(LEFT(RBC_Personal_Accounts[[#This Row],[If Balance is]],FIND(" ",RBC_Personal_Accounts[[#This Row],[If Balance is]]))))</f>
        <v>1000</v>
      </c>
      <c r="H66">
        <v>93</v>
      </c>
    </row>
    <row r="67" spans="1:9" x14ac:dyDescent="0.25">
      <c r="B67" s="21" t="s">
        <v>84</v>
      </c>
      <c r="C67" s="21" t="s">
        <v>343</v>
      </c>
      <c r="E67">
        <f>IF(LEFT(RBC_Personal_Accounts[[#This Row],[If Balance is]],1)&lt;&gt;"$",0,VALUE(LEFT(RBC_Personal_Accounts[[#This Row],[If Balance is]],FIND(" ",RBC_Personal_Accounts[[#This Row],[If Balance is]]))))</f>
        <v>3000</v>
      </c>
      <c r="H67">
        <v>92</v>
      </c>
    </row>
    <row r="68" spans="1:9" x14ac:dyDescent="0.25">
      <c r="B68" s="21" t="s">
        <v>83</v>
      </c>
      <c r="C68" s="21" t="s">
        <v>343</v>
      </c>
      <c r="E68">
        <f>IF(LEFT(RBC_Personal_Accounts[[#This Row],[If Balance is]],1)&lt;&gt;"$",0,VALUE(LEFT(RBC_Personal_Accounts[[#This Row],[If Balance is]],FIND(" ",RBC_Personal_Accounts[[#This Row],[If Balance is]]))))</f>
        <v>5000</v>
      </c>
      <c r="H68">
        <v>91</v>
      </c>
      <c r="I68" t="s">
        <v>367</v>
      </c>
    </row>
    <row r="69" spans="1:9" x14ac:dyDescent="0.25">
      <c r="A69" t="s">
        <v>366</v>
      </c>
      <c r="B69" s="21" t="s">
        <v>86</v>
      </c>
      <c r="C69" s="21" t="s">
        <v>78</v>
      </c>
      <c r="E69">
        <f>IF(LEFT(RBC_Personal_Accounts[[#This Row],[If Balance is]],1)&lt;&gt;"$",0,VALUE(LEFT(RBC_Personal_Accounts[[#This Row],[If Balance is]],FIND(" ",RBC_Personal_Accounts[[#This Row],[If Balance is]]))))</f>
        <v>0</v>
      </c>
      <c r="H69">
        <v>90</v>
      </c>
    </row>
    <row r="70" spans="1:9" x14ac:dyDescent="0.25">
      <c r="B70" s="21" t="s">
        <v>85</v>
      </c>
      <c r="C70" s="21" t="s">
        <v>76</v>
      </c>
      <c r="E70">
        <f>IF(LEFT(RBC_Personal_Accounts[[#This Row],[If Balance is]],1)&lt;&gt;"$",0,VALUE(LEFT(RBC_Personal_Accounts[[#This Row],[If Balance is]],FIND(" ",RBC_Personal_Accounts[[#This Row],[If Balance is]]))))</f>
        <v>1000</v>
      </c>
      <c r="H70">
        <v>89</v>
      </c>
    </row>
    <row r="71" spans="1:9" x14ac:dyDescent="0.25">
      <c r="B71" s="21" t="s">
        <v>84</v>
      </c>
      <c r="C71" s="21" t="s">
        <v>87</v>
      </c>
      <c r="E71">
        <f>IF(LEFT(RBC_Personal_Accounts[[#This Row],[If Balance is]],1)&lt;&gt;"$",0,VALUE(LEFT(RBC_Personal_Accounts[[#This Row],[If Balance is]],FIND(" ",RBC_Personal_Accounts[[#This Row],[If Balance is]]))))</f>
        <v>3000</v>
      </c>
      <c r="H71">
        <v>88</v>
      </c>
    </row>
    <row r="72" spans="1:9" x14ac:dyDescent="0.25">
      <c r="B72" s="21" t="s">
        <v>83</v>
      </c>
      <c r="C72" s="21" t="s">
        <v>87</v>
      </c>
      <c r="E72">
        <f>IF(LEFT(RBC_Personal_Accounts[[#This Row],[If Balance is]],1)&lt;&gt;"$",0,VALUE(LEFT(RBC_Personal_Accounts[[#This Row],[If Balance is]],FIND(" ",RBC_Personal_Accounts[[#This Row],[If Balance is]]))))</f>
        <v>5000</v>
      </c>
      <c r="H72">
        <v>87</v>
      </c>
      <c r="I72" t="s">
        <v>366</v>
      </c>
    </row>
    <row r="73" spans="1:9" x14ac:dyDescent="0.25">
      <c r="A73" t="s">
        <v>365</v>
      </c>
      <c r="B73" s="21" t="s">
        <v>81</v>
      </c>
      <c r="C73" s="21" t="s">
        <v>82</v>
      </c>
      <c r="E73">
        <f>IF(LEFT(RBC_Personal_Accounts[[#This Row],[If Balance is]],1)&lt;&gt;"$",0,VALUE(LEFT(RBC_Personal_Accounts[[#This Row],[If Balance is]],FIND(" ",RBC_Personal_Accounts[[#This Row],[If Balance is]]))))</f>
        <v>0</v>
      </c>
      <c r="H73">
        <v>86</v>
      </c>
    </row>
    <row r="74" spans="1:9" x14ac:dyDescent="0.25">
      <c r="B74" s="21" t="s">
        <v>79</v>
      </c>
      <c r="C74" s="21" t="s">
        <v>80</v>
      </c>
      <c r="E74">
        <f>IF(LEFT(RBC_Personal_Accounts[[#This Row],[If Balance is]],1)&lt;&gt;"$",0,VALUE(LEFT(RBC_Personal_Accounts[[#This Row],[If Balance is]],FIND(" ",RBC_Personal_Accounts[[#This Row],[If Balance is]]))))</f>
        <v>5000</v>
      </c>
      <c r="H74">
        <v>85</v>
      </c>
    </row>
    <row r="75" spans="1:9" x14ac:dyDescent="0.25">
      <c r="B75" s="21" t="s">
        <v>77</v>
      </c>
      <c r="C75" s="21" t="s">
        <v>78</v>
      </c>
      <c r="E75">
        <f>IF(LEFT(RBC_Personal_Accounts[[#This Row],[If Balance is]],1)&lt;&gt;"$",0,VALUE(LEFT(RBC_Personal_Accounts[[#This Row],[If Balance is]],FIND(" ",RBC_Personal_Accounts[[#This Row],[If Balance is]]))))</f>
        <v>10000</v>
      </c>
      <c r="H75">
        <v>84</v>
      </c>
    </row>
    <row r="76" spans="1:9" x14ac:dyDescent="0.25">
      <c r="B76" s="21" t="s">
        <v>75</v>
      </c>
      <c r="C76" s="21" t="s">
        <v>76</v>
      </c>
      <c r="E76">
        <f>IF(LEFT(RBC_Personal_Accounts[[#This Row],[If Balance is]],1)&lt;&gt;"$",0,VALUE(LEFT(RBC_Personal_Accounts[[#This Row],[If Balance is]],FIND(" ",RBC_Personal_Accounts[[#This Row],[If Balance is]]))))</f>
        <v>25000</v>
      </c>
      <c r="H76">
        <v>83</v>
      </c>
    </row>
    <row r="77" spans="1:9" x14ac:dyDescent="0.25">
      <c r="B77" s="21" t="s">
        <v>73</v>
      </c>
      <c r="C77" s="21" t="s">
        <v>74</v>
      </c>
      <c r="E77">
        <f>IF(LEFT(RBC_Personal_Accounts[[#This Row],[If Balance is]],1)&lt;&gt;"$",0,VALUE(LEFT(RBC_Personal_Accounts[[#This Row],[If Balance is]],FIND(" ",RBC_Personal_Accounts[[#This Row],[If Balance is]]))))</f>
        <v>60000</v>
      </c>
      <c r="H77">
        <v>82</v>
      </c>
    </row>
    <row r="78" spans="1:9" x14ac:dyDescent="0.25">
      <c r="B78" s="21" t="s">
        <v>71</v>
      </c>
      <c r="C78" s="21" t="s">
        <v>72</v>
      </c>
      <c r="E78">
        <f>IF(LEFT(RBC_Personal_Accounts[[#This Row],[If Balance is]],1)&lt;&gt;"$",0,VALUE(LEFT(RBC_Personal_Accounts[[#This Row],[If Balance is]],FIND(" ",RBC_Personal_Accounts[[#This Row],[If Balance is]]))))</f>
        <v>100000</v>
      </c>
      <c r="H78">
        <v>81</v>
      </c>
    </row>
    <row r="79" spans="1:9" x14ac:dyDescent="0.25">
      <c r="B79" s="21" t="s">
        <v>70</v>
      </c>
      <c r="C79" s="21" t="s">
        <v>69</v>
      </c>
      <c r="E79">
        <f>IF(LEFT(RBC_Personal_Accounts[[#This Row],[If Balance is]],1)&lt;&gt;"$",0,VALUE(LEFT(RBC_Personal_Accounts[[#This Row],[If Balance is]],FIND(" ",RBC_Personal_Accounts[[#This Row],[If Balance is]]))))</f>
        <v>150000</v>
      </c>
      <c r="H79">
        <v>80</v>
      </c>
    </row>
    <row r="80" spans="1:9" x14ac:dyDescent="0.25">
      <c r="B80" s="21" t="s">
        <v>68</v>
      </c>
      <c r="C80" s="21" t="s">
        <v>69</v>
      </c>
      <c r="E80">
        <f>IF(LEFT(RBC_Personal_Accounts[[#This Row],[If Balance is]],1)&lt;&gt;"$",0,VALUE(LEFT(RBC_Personal_Accounts[[#This Row],[If Balance is]],FIND(" ",RBC_Personal_Accounts[[#This Row],[If Balance is]]))))</f>
        <v>250000</v>
      </c>
      <c r="H80">
        <v>79</v>
      </c>
      <c r="I80" t="s">
        <v>365</v>
      </c>
    </row>
    <row r="81" spans="1:9" x14ac:dyDescent="0.25">
      <c r="A81" t="s">
        <v>364</v>
      </c>
      <c r="B81" s="21" t="s">
        <v>345</v>
      </c>
      <c r="C81" s="21" t="s">
        <v>82</v>
      </c>
      <c r="E81">
        <f>IF(LEFT(RBC_Personal_Accounts[[#This Row],[If Balance is]],1)&lt;&gt;"$",0,VALUE(LEFT(RBC_Personal_Accounts[[#This Row],[If Balance is]],FIND(" ",RBC_Personal_Accounts[[#This Row],[If Balance is]]))))</f>
        <v>0</v>
      </c>
      <c r="H81">
        <v>78</v>
      </c>
    </row>
    <row r="82" spans="1:9" x14ac:dyDescent="0.25">
      <c r="B82" s="21" t="s">
        <v>84</v>
      </c>
      <c r="C82" s="21" t="s">
        <v>82</v>
      </c>
      <c r="E82">
        <f>IF(LEFT(RBC_Personal_Accounts[[#This Row],[If Balance is]],1)&lt;&gt;"$",0,VALUE(LEFT(RBC_Personal_Accounts[[#This Row],[If Balance is]],FIND(" ",RBC_Personal_Accounts[[#This Row],[If Balance is]]))))</f>
        <v>3000</v>
      </c>
      <c r="H82">
        <v>77</v>
      </c>
    </row>
    <row r="83" spans="1:9" x14ac:dyDescent="0.25">
      <c r="B83" s="21" t="s">
        <v>79</v>
      </c>
      <c r="C83" s="21" t="s">
        <v>80</v>
      </c>
      <c r="E83">
        <f>IF(LEFT(RBC_Personal_Accounts[[#This Row],[If Balance is]],1)&lt;&gt;"$",0,VALUE(LEFT(RBC_Personal_Accounts[[#This Row],[If Balance is]],FIND(" ",RBC_Personal_Accounts[[#This Row],[If Balance is]]))))</f>
        <v>5000</v>
      </c>
      <c r="H83">
        <v>76</v>
      </c>
    </row>
    <row r="84" spans="1:9" x14ac:dyDescent="0.25">
      <c r="B84" s="21" t="s">
        <v>77</v>
      </c>
      <c r="C84" s="21" t="s">
        <v>78</v>
      </c>
      <c r="E84">
        <f>IF(LEFT(RBC_Personal_Accounts[[#This Row],[If Balance is]],1)&lt;&gt;"$",0,VALUE(LEFT(RBC_Personal_Accounts[[#This Row],[If Balance is]],FIND(" ",RBC_Personal_Accounts[[#This Row],[If Balance is]]))))</f>
        <v>10000</v>
      </c>
      <c r="H84">
        <v>75</v>
      </c>
    </row>
    <row r="85" spans="1:9" x14ac:dyDescent="0.25">
      <c r="B85" s="21" t="s">
        <v>75</v>
      </c>
      <c r="C85" s="21" t="s">
        <v>76</v>
      </c>
      <c r="E85">
        <f>IF(LEFT(RBC_Personal_Accounts[[#This Row],[If Balance is]],1)&lt;&gt;"$",0,VALUE(LEFT(RBC_Personal_Accounts[[#This Row],[If Balance is]],FIND(" ",RBC_Personal_Accounts[[#This Row],[If Balance is]]))))</f>
        <v>25000</v>
      </c>
      <c r="H85">
        <v>74</v>
      </c>
    </row>
    <row r="86" spans="1:9" x14ac:dyDescent="0.25">
      <c r="B86" s="21" t="s">
        <v>73</v>
      </c>
      <c r="C86" s="21" t="s">
        <v>72</v>
      </c>
      <c r="E86">
        <f>IF(LEFT(RBC_Personal_Accounts[[#This Row],[If Balance is]],1)&lt;&gt;"$",0,VALUE(LEFT(RBC_Personal_Accounts[[#This Row],[If Balance is]],FIND(" ",RBC_Personal_Accounts[[#This Row],[If Balance is]]))))</f>
        <v>60000</v>
      </c>
      <c r="H86">
        <v>73</v>
      </c>
    </row>
    <row r="87" spans="1:9" x14ac:dyDescent="0.25">
      <c r="B87" s="21" t="s">
        <v>287</v>
      </c>
      <c r="C87" s="21" t="s">
        <v>328</v>
      </c>
      <c r="E87">
        <f>IF(LEFT(RBC_Personal_Accounts[[#This Row],[If Balance is]],1)&lt;&gt;"$",0,VALUE(LEFT(RBC_Personal_Accounts[[#This Row],[If Balance is]],FIND(" ",RBC_Personal_Accounts[[#This Row],[If Balance is]]))))</f>
        <v>100000</v>
      </c>
      <c r="H87">
        <v>72</v>
      </c>
      <c r="I87" t="s">
        <v>364</v>
      </c>
    </row>
    <row r="88" spans="1:9" x14ac:dyDescent="0.25">
      <c r="A88" t="s">
        <v>363</v>
      </c>
      <c r="B88" s="21" t="s">
        <v>86</v>
      </c>
      <c r="C88" s="21" t="s">
        <v>82</v>
      </c>
      <c r="E88">
        <f>IF(LEFT(RBC_Personal_Accounts[[#This Row],[If Balance is]],1)&lt;&gt;"$",0,VALUE(LEFT(RBC_Personal_Accounts[[#This Row],[If Balance is]],FIND(" ",RBC_Personal_Accounts[[#This Row],[If Balance is]]))))</f>
        <v>0</v>
      </c>
      <c r="H88">
        <v>71</v>
      </c>
    </row>
    <row r="89" spans="1:9" x14ac:dyDescent="0.25">
      <c r="B89" s="21" t="s">
        <v>85</v>
      </c>
      <c r="C89" s="21" t="s">
        <v>82</v>
      </c>
      <c r="E89">
        <f>IF(LEFT(RBC_Personal_Accounts[[#This Row],[If Balance is]],1)&lt;&gt;"$",0,VALUE(LEFT(RBC_Personal_Accounts[[#This Row],[If Balance is]],FIND(" ",RBC_Personal_Accounts[[#This Row],[If Balance is]]))))</f>
        <v>1000</v>
      </c>
      <c r="H89">
        <v>70</v>
      </c>
    </row>
    <row r="90" spans="1:9" x14ac:dyDescent="0.25">
      <c r="B90" s="21" t="s">
        <v>84</v>
      </c>
      <c r="C90" s="21" t="s">
        <v>82</v>
      </c>
      <c r="E90">
        <f>IF(LEFT(RBC_Personal_Accounts[[#This Row],[If Balance is]],1)&lt;&gt;"$",0,VALUE(LEFT(RBC_Personal_Accounts[[#This Row],[If Balance is]],FIND(" ",RBC_Personal_Accounts[[#This Row],[If Balance is]]))))</f>
        <v>3000</v>
      </c>
      <c r="H90">
        <v>69</v>
      </c>
    </row>
    <row r="91" spans="1:9" x14ac:dyDescent="0.25">
      <c r="B91" s="21" t="s">
        <v>344</v>
      </c>
      <c r="C91" s="21" t="s">
        <v>80</v>
      </c>
      <c r="E91">
        <f>IF(LEFT(RBC_Personal_Accounts[[#This Row],[If Balance is]],1)&lt;&gt;"$",0,VALUE(LEFT(RBC_Personal_Accounts[[#This Row],[If Balance is]],FIND(" ",RBC_Personal_Accounts[[#This Row],[If Balance is]]))))</f>
        <v>5000</v>
      </c>
      <c r="H91">
        <v>68</v>
      </c>
    </row>
    <row r="92" spans="1:9" x14ac:dyDescent="0.25">
      <c r="B92" s="21" t="s">
        <v>75</v>
      </c>
      <c r="C92" s="21" t="s">
        <v>80</v>
      </c>
      <c r="E92">
        <f>IF(LEFT(RBC_Personal_Accounts[[#This Row],[If Balance is]],1)&lt;&gt;"$",0,VALUE(LEFT(RBC_Personal_Accounts[[#This Row],[If Balance is]],FIND(" ",RBC_Personal_Accounts[[#This Row],[If Balance is]]))))</f>
        <v>25000</v>
      </c>
      <c r="H92">
        <v>67</v>
      </c>
    </row>
    <row r="93" spans="1:9" x14ac:dyDescent="0.25">
      <c r="B93" s="21" t="s">
        <v>342</v>
      </c>
      <c r="C93" s="21" t="s">
        <v>343</v>
      </c>
      <c r="E93">
        <f>IF(LEFT(RBC_Personal_Accounts[[#This Row],[If Balance is]],1)&lt;&gt;"$",0,VALUE(LEFT(RBC_Personal_Accounts[[#This Row],[If Balance is]],FIND(" ",RBC_Personal_Accounts[[#This Row],[If Balance is]]))))</f>
        <v>60000</v>
      </c>
      <c r="H93">
        <v>66</v>
      </c>
      <c r="I93" t="s">
        <v>363</v>
      </c>
    </row>
    <row r="94" spans="1:9" x14ac:dyDescent="0.25">
      <c r="A94" t="s">
        <v>362</v>
      </c>
      <c r="B94" s="21" t="s">
        <v>81</v>
      </c>
      <c r="C94" s="21" t="s">
        <v>82</v>
      </c>
      <c r="E94">
        <f>IF(LEFT(RBC_Personal_Accounts[[#This Row],[If Balance is]],1)&lt;&gt;"$",0,VALUE(LEFT(RBC_Personal_Accounts[[#This Row],[If Balance is]],FIND(" ",RBC_Personal_Accounts[[#This Row],[If Balance is]]))))</f>
        <v>0</v>
      </c>
      <c r="H94">
        <v>65</v>
      </c>
    </row>
    <row r="95" spans="1:9" x14ac:dyDescent="0.25">
      <c r="B95" s="21" t="s">
        <v>79</v>
      </c>
      <c r="C95" s="21" t="s">
        <v>80</v>
      </c>
      <c r="E95">
        <f>IF(LEFT(RBC_Personal_Accounts[[#This Row],[If Balance is]],1)&lt;&gt;"$",0,VALUE(LEFT(RBC_Personal_Accounts[[#This Row],[If Balance is]],FIND(" ",RBC_Personal_Accounts[[#This Row],[If Balance is]]))))</f>
        <v>5000</v>
      </c>
      <c r="H95">
        <v>64</v>
      </c>
    </row>
    <row r="96" spans="1:9" x14ac:dyDescent="0.25">
      <c r="B96" s="21" t="s">
        <v>77</v>
      </c>
      <c r="C96" s="21" t="s">
        <v>78</v>
      </c>
      <c r="E96">
        <f>IF(LEFT(RBC_Personal_Accounts[[#This Row],[If Balance is]],1)&lt;&gt;"$",0,VALUE(LEFT(RBC_Personal_Accounts[[#This Row],[If Balance is]],FIND(" ",RBC_Personal_Accounts[[#This Row],[If Balance is]]))))</f>
        <v>10000</v>
      </c>
      <c r="H96">
        <v>63</v>
      </c>
    </row>
    <row r="97" spans="1:9" x14ac:dyDescent="0.25">
      <c r="B97" s="21" t="s">
        <v>75</v>
      </c>
      <c r="C97" s="21" t="s">
        <v>76</v>
      </c>
      <c r="E97">
        <f>IF(LEFT(RBC_Personal_Accounts[[#This Row],[If Balance is]],1)&lt;&gt;"$",0,VALUE(LEFT(RBC_Personal_Accounts[[#This Row],[If Balance is]],FIND(" ",RBC_Personal_Accounts[[#This Row],[If Balance is]]))))</f>
        <v>25000</v>
      </c>
      <c r="H97">
        <v>62</v>
      </c>
    </row>
    <row r="98" spans="1:9" x14ac:dyDescent="0.25">
      <c r="B98" s="21" t="s">
        <v>73</v>
      </c>
      <c r="C98" s="21" t="s">
        <v>74</v>
      </c>
      <c r="E98">
        <f>IF(LEFT(RBC_Personal_Accounts[[#This Row],[If Balance is]],1)&lt;&gt;"$",0,VALUE(LEFT(RBC_Personal_Accounts[[#This Row],[If Balance is]],FIND(" ",RBC_Personal_Accounts[[#This Row],[If Balance is]]))))</f>
        <v>60000</v>
      </c>
      <c r="H98">
        <v>61</v>
      </c>
    </row>
    <row r="99" spans="1:9" x14ac:dyDescent="0.25">
      <c r="B99" s="21" t="s">
        <v>71</v>
      </c>
      <c r="C99" s="21" t="s">
        <v>72</v>
      </c>
      <c r="E99">
        <f>IF(LEFT(RBC_Personal_Accounts[[#This Row],[If Balance is]],1)&lt;&gt;"$",0,VALUE(LEFT(RBC_Personal_Accounts[[#This Row],[If Balance is]],FIND(" ",RBC_Personal_Accounts[[#This Row],[If Balance is]]))))</f>
        <v>100000</v>
      </c>
      <c r="H99">
        <v>60</v>
      </c>
    </row>
    <row r="100" spans="1:9" x14ac:dyDescent="0.25">
      <c r="B100" s="21" t="s">
        <v>70</v>
      </c>
      <c r="C100" s="21" t="s">
        <v>69</v>
      </c>
      <c r="E100">
        <f>IF(LEFT(RBC_Personal_Accounts[[#This Row],[If Balance is]],1)&lt;&gt;"$",0,VALUE(LEFT(RBC_Personal_Accounts[[#This Row],[If Balance is]],FIND(" ",RBC_Personal_Accounts[[#This Row],[If Balance is]]))))</f>
        <v>150000</v>
      </c>
      <c r="H100">
        <v>59</v>
      </c>
    </row>
    <row r="101" spans="1:9" x14ac:dyDescent="0.25">
      <c r="B101" s="21" t="s">
        <v>68</v>
      </c>
      <c r="C101" s="21" t="s">
        <v>69</v>
      </c>
      <c r="E101">
        <f>IF(LEFT(RBC_Personal_Accounts[[#This Row],[If Balance is]],1)&lt;&gt;"$",0,VALUE(LEFT(RBC_Personal_Accounts[[#This Row],[If Balance is]],FIND(" ",RBC_Personal_Accounts[[#This Row],[If Balance is]]))))</f>
        <v>250000</v>
      </c>
      <c r="H101">
        <v>58</v>
      </c>
      <c r="I101" t="s">
        <v>362</v>
      </c>
    </row>
    <row r="102" spans="1:9" x14ac:dyDescent="0.25">
      <c r="A102" t="s">
        <v>361</v>
      </c>
      <c r="B102" s="21" t="s">
        <v>86</v>
      </c>
      <c r="C102" s="21" t="s">
        <v>78</v>
      </c>
      <c r="E102">
        <f>IF(LEFT(RBC_Personal_Accounts[[#This Row],[If Balance is]],1)&lt;&gt;"$",0,VALUE(LEFT(RBC_Personal_Accounts[[#This Row],[If Balance is]],FIND(" ",RBC_Personal_Accounts[[#This Row],[If Balance is]]))))</f>
        <v>0</v>
      </c>
      <c r="H102">
        <v>57</v>
      </c>
    </row>
    <row r="103" spans="1:9" x14ac:dyDescent="0.25">
      <c r="B103" s="21" t="s">
        <v>85</v>
      </c>
      <c r="C103" s="21" t="s">
        <v>76</v>
      </c>
      <c r="E103">
        <f>IF(LEFT(RBC_Personal_Accounts[[#This Row],[If Balance is]],1)&lt;&gt;"$",0,VALUE(LEFT(RBC_Personal_Accounts[[#This Row],[If Balance is]],FIND(" ",RBC_Personal_Accounts[[#This Row],[If Balance is]]))))</f>
        <v>1000</v>
      </c>
      <c r="H103">
        <v>56</v>
      </c>
    </row>
    <row r="104" spans="1:9" x14ac:dyDescent="0.25">
      <c r="B104" s="21" t="s">
        <v>84</v>
      </c>
      <c r="C104" s="21" t="s">
        <v>87</v>
      </c>
      <c r="E104">
        <f>IF(LEFT(RBC_Personal_Accounts[[#This Row],[If Balance is]],1)&lt;&gt;"$",0,VALUE(LEFT(RBC_Personal_Accounts[[#This Row],[If Balance is]],FIND(" ",RBC_Personal_Accounts[[#This Row],[If Balance is]]))))</f>
        <v>3000</v>
      </c>
      <c r="H104">
        <v>55</v>
      </c>
    </row>
    <row r="105" spans="1:9" x14ac:dyDescent="0.25">
      <c r="B105" s="21" t="s">
        <v>83</v>
      </c>
      <c r="C105" s="21" t="s">
        <v>87</v>
      </c>
      <c r="E105">
        <f>IF(LEFT(RBC_Personal_Accounts[[#This Row],[If Balance is]],1)&lt;&gt;"$",0,VALUE(LEFT(RBC_Personal_Accounts[[#This Row],[If Balance is]],FIND(" ",RBC_Personal_Accounts[[#This Row],[If Balance is]]))))</f>
        <v>5000</v>
      </c>
      <c r="H105">
        <v>54</v>
      </c>
      <c r="I105" t="s">
        <v>361</v>
      </c>
    </row>
    <row r="106" spans="1:9" x14ac:dyDescent="0.25">
      <c r="A106" t="s">
        <v>360</v>
      </c>
      <c r="B106" s="21" t="s">
        <v>341</v>
      </c>
      <c r="C106" s="21" t="s">
        <v>82</v>
      </c>
      <c r="E106">
        <f>IF(LEFT(RBC_Personal_Accounts[[#This Row],[If Balance is]],1)&lt;&gt;"$",0,VALUE(LEFT(RBC_Personal_Accounts[[#This Row],[If Balance is]],FIND(" ",RBC_Personal_Accounts[[#This Row],[If Balance is]]))))</f>
        <v>0</v>
      </c>
      <c r="H106">
        <v>53</v>
      </c>
    </row>
    <row r="107" spans="1:9" x14ac:dyDescent="0.25">
      <c r="B107" s="21" t="s">
        <v>340</v>
      </c>
      <c r="C107" s="21" t="s">
        <v>82</v>
      </c>
      <c r="E107">
        <f>IF(LEFT(RBC_Personal_Accounts[[#This Row],[If Balance is]],1)&lt;&gt;"$",0,VALUE(LEFT(RBC_Personal_Accounts[[#This Row],[If Balance is]],FIND(" ",RBC_Personal_Accounts[[#This Row],[If Balance is]]))))</f>
        <v>500</v>
      </c>
      <c r="H107">
        <v>52</v>
      </c>
    </row>
    <row r="108" spans="1:9" x14ac:dyDescent="0.25">
      <c r="B108" s="21" t="s">
        <v>85</v>
      </c>
      <c r="C108" s="21" t="s">
        <v>82</v>
      </c>
      <c r="E108">
        <f>IF(LEFT(RBC_Personal_Accounts[[#This Row],[If Balance is]],1)&lt;&gt;"$",0,VALUE(LEFT(RBC_Personal_Accounts[[#This Row],[If Balance is]],FIND(" ",RBC_Personal_Accounts[[#This Row],[If Balance is]]))))</f>
        <v>1000</v>
      </c>
      <c r="H108">
        <v>51</v>
      </c>
    </row>
    <row r="109" spans="1:9" x14ac:dyDescent="0.25">
      <c r="B109" s="21" t="s">
        <v>84</v>
      </c>
      <c r="C109" s="21" t="s">
        <v>80</v>
      </c>
      <c r="E109">
        <f>IF(LEFT(RBC_Personal_Accounts[[#This Row],[If Balance is]],1)&lt;&gt;"$",0,VALUE(LEFT(RBC_Personal_Accounts[[#This Row],[If Balance is]],FIND(" ",RBC_Personal_Accounts[[#This Row],[If Balance is]]))))</f>
        <v>3000</v>
      </c>
      <c r="H109">
        <v>50</v>
      </c>
    </row>
    <row r="110" spans="1:9" x14ac:dyDescent="0.25">
      <c r="B110" s="21" t="s">
        <v>83</v>
      </c>
      <c r="C110" s="21" t="s">
        <v>80</v>
      </c>
      <c r="E110">
        <f>IF(LEFT(RBC_Personal_Accounts[[#This Row],[If Balance is]],1)&lt;&gt;"$",0,VALUE(LEFT(RBC_Personal_Accounts[[#This Row],[If Balance is]],FIND(" ",RBC_Personal_Accounts[[#This Row],[If Balance is]]))))</f>
        <v>5000</v>
      </c>
      <c r="H110">
        <v>49</v>
      </c>
      <c r="I110" t="s">
        <v>360</v>
      </c>
    </row>
    <row r="111" spans="1:9" x14ac:dyDescent="0.25">
      <c r="A111" t="s">
        <v>359</v>
      </c>
      <c r="B111" s="21" t="s">
        <v>339</v>
      </c>
      <c r="C111" s="21" t="s">
        <v>82</v>
      </c>
      <c r="E111">
        <f>IF(LEFT(RBC_Personal_Accounts[[#This Row],[If Balance is]],1)&lt;&gt;"$",0,VALUE(LEFT(RBC_Personal_Accounts[[#This Row],[If Balance is]],FIND(" ",RBC_Personal_Accounts[[#This Row],[If Balance is]]))))</f>
        <v>0</v>
      </c>
      <c r="H111">
        <v>48</v>
      </c>
    </row>
    <row r="112" spans="1:9" x14ac:dyDescent="0.25">
      <c r="B112" s="21" t="s">
        <v>338</v>
      </c>
      <c r="C112" s="21" t="s">
        <v>82</v>
      </c>
      <c r="E112">
        <f>IF(LEFT(RBC_Personal_Accounts[[#This Row],[If Balance is]],1)&lt;&gt;"$",0,VALUE(LEFT(RBC_Personal_Accounts[[#This Row],[If Balance is]],FIND(" ",RBC_Personal_Accounts[[#This Row],[If Balance is]]))))</f>
        <v>1000</v>
      </c>
      <c r="H112">
        <v>47</v>
      </c>
    </row>
    <row r="113" spans="1:9" x14ac:dyDescent="0.25">
      <c r="B113" s="21" t="s">
        <v>337</v>
      </c>
      <c r="C113" s="21" t="s">
        <v>82</v>
      </c>
      <c r="E113">
        <f>IF(LEFT(RBC_Personal_Accounts[[#This Row],[If Balance is]],1)&lt;&gt;"$",0,VALUE(LEFT(RBC_Personal_Accounts[[#This Row],[If Balance is]],FIND(" ",RBC_Personal_Accounts[[#This Row],[If Balance is]]))))</f>
        <v>3000</v>
      </c>
      <c r="H113">
        <v>46</v>
      </c>
    </row>
    <row r="114" spans="1:9" x14ac:dyDescent="0.25">
      <c r="B114" s="21" t="s">
        <v>336</v>
      </c>
      <c r="C114" s="21" t="s">
        <v>80</v>
      </c>
      <c r="E114">
        <f>IF(LEFT(RBC_Personal_Accounts[[#This Row],[If Balance is]],1)&lt;&gt;"$",0,VALUE(LEFT(RBC_Personal_Accounts[[#This Row],[If Balance is]],FIND(" ",RBC_Personal_Accounts[[#This Row],[If Balance is]]))))</f>
        <v>5000</v>
      </c>
      <c r="H114">
        <v>45</v>
      </c>
    </row>
    <row r="115" spans="1:9" x14ac:dyDescent="0.25">
      <c r="B115" s="21" t="s">
        <v>335</v>
      </c>
      <c r="C115" s="21" t="s">
        <v>78</v>
      </c>
      <c r="E115">
        <f>IF(LEFT(RBC_Personal_Accounts[[#This Row],[If Balance is]],1)&lt;&gt;"$",0,VALUE(LEFT(RBC_Personal_Accounts[[#This Row],[If Balance is]],FIND(" ",RBC_Personal_Accounts[[#This Row],[If Balance is]]))))</f>
        <v>10000</v>
      </c>
      <c r="H115">
        <v>44</v>
      </c>
    </row>
    <row r="116" spans="1:9" x14ac:dyDescent="0.25">
      <c r="B116" s="21" t="s">
        <v>334</v>
      </c>
      <c r="C116" s="21" t="s">
        <v>76</v>
      </c>
      <c r="E116">
        <f>IF(LEFT(RBC_Personal_Accounts[[#This Row],[If Balance is]],1)&lt;&gt;"$",0,VALUE(LEFT(RBC_Personal_Accounts[[#This Row],[If Balance is]],FIND(" ",RBC_Personal_Accounts[[#This Row],[If Balance is]]))))</f>
        <v>25000</v>
      </c>
      <c r="H116">
        <v>43</v>
      </c>
    </row>
    <row r="117" spans="1:9" x14ac:dyDescent="0.25">
      <c r="B117" s="21" t="s">
        <v>333</v>
      </c>
      <c r="C117" s="21" t="s">
        <v>328</v>
      </c>
      <c r="E117">
        <f>IF(LEFT(RBC_Personal_Accounts[[#This Row],[If Balance is]],1)&lt;&gt;"$",0,VALUE(LEFT(RBC_Personal_Accounts[[#This Row],[If Balance is]],FIND(" ",RBC_Personal_Accounts[[#This Row],[If Balance is]]))))</f>
        <v>60000</v>
      </c>
      <c r="H117">
        <v>42</v>
      </c>
    </row>
    <row r="118" spans="1:9" x14ac:dyDescent="0.25">
      <c r="B118" s="21" t="s">
        <v>332</v>
      </c>
      <c r="C118" s="21" t="s">
        <v>328</v>
      </c>
      <c r="E118">
        <f>IF(LEFT(RBC_Personal_Accounts[[#This Row],[If Balance is]],1)&lt;&gt;"$",0,VALUE(LEFT(RBC_Personal_Accounts[[#This Row],[If Balance is]],FIND(" ",RBC_Personal_Accounts[[#This Row],[If Balance is]]))))</f>
        <v>100000</v>
      </c>
      <c r="H118">
        <v>41</v>
      </c>
    </row>
    <row r="119" spans="1:9" x14ac:dyDescent="0.25">
      <c r="B119" s="21" t="s">
        <v>331</v>
      </c>
      <c r="C119" s="21" t="s">
        <v>328</v>
      </c>
      <c r="E119">
        <f>IF(LEFT(RBC_Personal_Accounts[[#This Row],[If Balance is]],1)&lt;&gt;"$",0,VALUE(LEFT(RBC_Personal_Accounts[[#This Row],[If Balance is]],FIND(" ",RBC_Personal_Accounts[[#This Row],[If Balance is]]))))</f>
        <v>150000</v>
      </c>
      <c r="H119">
        <v>40</v>
      </c>
    </row>
    <row r="120" spans="1:9" x14ac:dyDescent="0.25">
      <c r="B120" s="21" t="s">
        <v>330</v>
      </c>
      <c r="C120" s="21" t="s">
        <v>328</v>
      </c>
      <c r="E120">
        <f>IF(LEFT(RBC_Personal_Accounts[[#This Row],[If Balance is]],1)&lt;&gt;"$",0,VALUE(LEFT(RBC_Personal_Accounts[[#This Row],[If Balance is]],FIND(" ",RBC_Personal_Accounts[[#This Row],[If Balance is]]))))</f>
        <v>250000</v>
      </c>
      <c r="H120">
        <v>39</v>
      </c>
    </row>
    <row r="121" spans="1:9" x14ac:dyDescent="0.25">
      <c r="B121" s="21" t="s">
        <v>329</v>
      </c>
      <c r="C121" s="21" t="s">
        <v>328</v>
      </c>
      <c r="E121">
        <f>IF(LEFT(RBC_Personal_Accounts[[#This Row],[If Balance is]],1)&lt;&gt;"$",0,VALUE(LEFT(RBC_Personal_Accounts[[#This Row],[If Balance is]],FIND(" ",RBC_Personal_Accounts[[#This Row],[If Balance is]]))))</f>
        <v>500000</v>
      </c>
      <c r="H121">
        <v>38</v>
      </c>
    </row>
    <row r="122" spans="1:9" x14ac:dyDescent="0.25">
      <c r="B122" s="21" t="s">
        <v>327</v>
      </c>
      <c r="C122" s="21" t="s">
        <v>328</v>
      </c>
      <c r="E122">
        <f>IF(LEFT(RBC_Personal_Accounts[[#This Row],[If Balance is]],1)&lt;&gt;"$",0,VALUE(LEFT(RBC_Personal_Accounts[[#This Row],[If Balance is]],FIND(" ",RBC_Personal_Accounts[[#This Row],[If Balance is]]))))</f>
        <v>1000000</v>
      </c>
      <c r="H122">
        <v>37</v>
      </c>
      <c r="I122" t="s">
        <v>359</v>
      </c>
    </row>
    <row r="123" spans="1:9" x14ac:dyDescent="0.25">
      <c r="A123" t="s">
        <v>358</v>
      </c>
      <c r="B123" s="21" t="s">
        <v>66</v>
      </c>
      <c r="C123" s="21" t="s">
        <v>82</v>
      </c>
      <c r="E123">
        <f>IF(LEFT(RBC_Personal_Accounts[[#This Row],[If Balance is]],1)&lt;&gt;"$",0,VALUE(LEFT(RBC_Personal_Accounts[[#This Row],[If Balance is]],FIND(" ",RBC_Personal_Accounts[[#This Row],[If Balance is]]))))</f>
        <v>0</v>
      </c>
      <c r="H123">
        <v>36</v>
      </c>
      <c r="I123" t="s">
        <v>358</v>
      </c>
    </row>
    <row r="124" spans="1:9" x14ac:dyDescent="0.25">
      <c r="A124" t="s">
        <v>357</v>
      </c>
      <c r="B124" s="21" t="s">
        <v>66</v>
      </c>
      <c r="C124" s="21" t="s">
        <v>141</v>
      </c>
      <c r="E124">
        <f>IF(LEFT(RBC_Personal_Accounts[[#This Row],[If Balance is]],1)&lt;&gt;"$",0,VALUE(LEFT(RBC_Personal_Accounts[[#This Row],[If Balance is]],FIND(" ",RBC_Personal_Accounts[[#This Row],[If Balance is]]))))</f>
        <v>0</v>
      </c>
      <c r="H124">
        <v>35</v>
      </c>
      <c r="I124" t="s">
        <v>357</v>
      </c>
    </row>
    <row r="125" spans="1:9" x14ac:dyDescent="0.25">
      <c r="A125" t="s">
        <v>356</v>
      </c>
      <c r="B125" s="21" t="s">
        <v>66</v>
      </c>
      <c r="C125" s="21" t="s">
        <v>82</v>
      </c>
      <c r="E125">
        <f>IF(LEFT(RBC_Personal_Accounts[[#This Row],[If Balance is]],1)&lt;&gt;"$",0,VALUE(LEFT(RBC_Personal_Accounts[[#This Row],[If Balance is]],FIND(" ",RBC_Personal_Accounts[[#This Row],[If Balance is]]))))</f>
        <v>0</v>
      </c>
      <c r="H125">
        <v>34</v>
      </c>
      <c r="I125" t="s">
        <v>356</v>
      </c>
    </row>
    <row r="126" spans="1:9" x14ac:dyDescent="0.25">
      <c r="A126" t="s">
        <v>355</v>
      </c>
      <c r="B126" s="21" t="s">
        <v>81</v>
      </c>
      <c r="C126" s="21" t="s">
        <v>82</v>
      </c>
      <c r="E126">
        <f>IF(LEFT(RBC_Personal_Accounts[[#This Row],[If Balance is]],1)&lt;&gt;"$",0,VALUE(LEFT(RBC_Personal_Accounts[[#This Row],[If Balance is]],FIND(" ",RBC_Personal_Accounts[[#This Row],[If Balance is]]))))</f>
        <v>0</v>
      </c>
      <c r="H126">
        <v>33</v>
      </c>
    </row>
    <row r="127" spans="1:9" x14ac:dyDescent="0.25">
      <c r="B127" s="21" t="s">
        <v>79</v>
      </c>
      <c r="C127" s="21" t="s">
        <v>80</v>
      </c>
      <c r="E127">
        <f>IF(LEFT(RBC_Personal_Accounts[[#This Row],[If Balance is]],1)&lt;&gt;"$",0,VALUE(LEFT(RBC_Personal_Accounts[[#This Row],[If Balance is]],FIND(" ",RBC_Personal_Accounts[[#This Row],[If Balance is]]))))</f>
        <v>5000</v>
      </c>
      <c r="H127">
        <v>32</v>
      </c>
    </row>
    <row r="128" spans="1:9" x14ac:dyDescent="0.25">
      <c r="B128" s="21" t="s">
        <v>77</v>
      </c>
      <c r="C128" s="21" t="s">
        <v>78</v>
      </c>
      <c r="E128">
        <f>IF(LEFT(RBC_Personal_Accounts[[#This Row],[If Balance is]],1)&lt;&gt;"$",0,VALUE(LEFT(RBC_Personal_Accounts[[#This Row],[If Balance is]],FIND(" ",RBC_Personal_Accounts[[#This Row],[If Balance is]]))))</f>
        <v>10000</v>
      </c>
      <c r="H128">
        <v>31</v>
      </c>
    </row>
    <row r="129" spans="1:9" x14ac:dyDescent="0.25">
      <c r="B129" s="21" t="s">
        <v>75</v>
      </c>
      <c r="C129" s="21" t="s">
        <v>76</v>
      </c>
      <c r="E129">
        <f>IF(LEFT(RBC_Personal_Accounts[[#This Row],[If Balance is]],1)&lt;&gt;"$",0,VALUE(LEFT(RBC_Personal_Accounts[[#This Row],[If Balance is]],FIND(" ",RBC_Personal_Accounts[[#This Row],[If Balance is]]))))</f>
        <v>25000</v>
      </c>
      <c r="H129">
        <v>30</v>
      </c>
    </row>
    <row r="130" spans="1:9" x14ac:dyDescent="0.25">
      <c r="B130" s="21" t="s">
        <v>73</v>
      </c>
      <c r="C130" s="21" t="s">
        <v>74</v>
      </c>
      <c r="E130">
        <f>IF(LEFT(RBC_Personal_Accounts[[#This Row],[If Balance is]],1)&lt;&gt;"$",0,VALUE(LEFT(RBC_Personal_Accounts[[#This Row],[If Balance is]],FIND(" ",RBC_Personal_Accounts[[#This Row],[If Balance is]]))))</f>
        <v>60000</v>
      </c>
      <c r="H130">
        <v>29</v>
      </c>
    </row>
    <row r="131" spans="1:9" x14ac:dyDescent="0.25">
      <c r="B131" s="21" t="s">
        <v>71</v>
      </c>
      <c r="C131" s="21" t="s">
        <v>72</v>
      </c>
      <c r="E131">
        <f>IF(LEFT(RBC_Personal_Accounts[[#This Row],[If Balance is]],1)&lt;&gt;"$",0,VALUE(LEFT(RBC_Personal_Accounts[[#This Row],[If Balance is]],FIND(" ",RBC_Personal_Accounts[[#This Row],[If Balance is]]))))</f>
        <v>100000</v>
      </c>
      <c r="H131">
        <v>28</v>
      </c>
    </row>
    <row r="132" spans="1:9" x14ac:dyDescent="0.25">
      <c r="B132" s="21" t="s">
        <v>70</v>
      </c>
      <c r="C132" s="21" t="s">
        <v>69</v>
      </c>
      <c r="E132">
        <f>IF(LEFT(RBC_Personal_Accounts[[#This Row],[If Balance is]],1)&lt;&gt;"$",0,VALUE(LEFT(RBC_Personal_Accounts[[#This Row],[If Balance is]],FIND(" ",RBC_Personal_Accounts[[#This Row],[If Balance is]]))))</f>
        <v>150000</v>
      </c>
      <c r="H132">
        <v>27</v>
      </c>
    </row>
    <row r="133" spans="1:9" x14ac:dyDescent="0.25">
      <c r="B133" s="21" t="s">
        <v>68</v>
      </c>
      <c r="C133" s="21" t="s">
        <v>69</v>
      </c>
      <c r="E133">
        <f>IF(LEFT(RBC_Personal_Accounts[[#This Row],[If Balance is]],1)&lt;&gt;"$",0,VALUE(LEFT(RBC_Personal_Accounts[[#This Row],[If Balance is]],FIND(" ",RBC_Personal_Accounts[[#This Row],[If Balance is]]))))</f>
        <v>250000</v>
      </c>
      <c r="H133">
        <v>26</v>
      </c>
      <c r="I133" t="s">
        <v>355</v>
      </c>
    </row>
    <row r="134" spans="1:9" x14ac:dyDescent="0.25">
      <c r="A134" t="s">
        <v>354</v>
      </c>
      <c r="B134" s="21" t="s">
        <v>86</v>
      </c>
      <c r="C134" s="21" t="s">
        <v>78</v>
      </c>
      <c r="E134">
        <f>IF(LEFT(RBC_Personal_Accounts[[#This Row],[If Balance is]],1)&lt;&gt;"$",0,VALUE(LEFT(RBC_Personal_Accounts[[#This Row],[If Balance is]],FIND(" ",RBC_Personal_Accounts[[#This Row],[If Balance is]]))))</f>
        <v>0</v>
      </c>
      <c r="H134">
        <v>25</v>
      </c>
    </row>
    <row r="135" spans="1:9" x14ac:dyDescent="0.25">
      <c r="B135" s="21" t="s">
        <v>85</v>
      </c>
      <c r="C135" s="21" t="s">
        <v>76</v>
      </c>
      <c r="E135">
        <f>IF(LEFT(RBC_Personal_Accounts[[#This Row],[If Balance is]],1)&lt;&gt;"$",0,VALUE(LEFT(RBC_Personal_Accounts[[#This Row],[If Balance is]],FIND(" ",RBC_Personal_Accounts[[#This Row],[If Balance is]]))))</f>
        <v>1000</v>
      </c>
      <c r="H135">
        <v>24</v>
      </c>
    </row>
    <row r="136" spans="1:9" x14ac:dyDescent="0.25">
      <c r="B136" s="21" t="s">
        <v>84</v>
      </c>
      <c r="C136" s="21" t="s">
        <v>87</v>
      </c>
      <c r="E136">
        <f>IF(LEFT(RBC_Personal_Accounts[[#This Row],[If Balance is]],1)&lt;&gt;"$",0,VALUE(LEFT(RBC_Personal_Accounts[[#This Row],[If Balance is]],FIND(" ",RBC_Personal_Accounts[[#This Row],[If Balance is]]))))</f>
        <v>3000</v>
      </c>
      <c r="H136">
        <v>23</v>
      </c>
    </row>
    <row r="137" spans="1:9" x14ac:dyDescent="0.25">
      <c r="B137" s="21" t="s">
        <v>83</v>
      </c>
      <c r="C137" s="21" t="s">
        <v>87</v>
      </c>
      <c r="E137">
        <f>IF(LEFT(RBC_Personal_Accounts[[#This Row],[If Balance is]],1)&lt;&gt;"$",0,VALUE(LEFT(RBC_Personal_Accounts[[#This Row],[If Balance is]],FIND(" ",RBC_Personal_Accounts[[#This Row],[If Balance is]]))))</f>
        <v>5000</v>
      </c>
      <c r="H137">
        <v>22</v>
      </c>
      <c r="I137" t="s">
        <v>354</v>
      </c>
    </row>
    <row r="138" spans="1:9" x14ac:dyDescent="0.25">
      <c r="A138" t="s">
        <v>353</v>
      </c>
      <c r="B138" s="21" t="s">
        <v>66</v>
      </c>
      <c r="C138" s="21" t="s">
        <v>82</v>
      </c>
      <c r="E138">
        <f>IF(LEFT(RBC_Personal_Accounts[[#This Row],[If Balance is]],1)&lt;&gt;"$",0,VALUE(LEFT(RBC_Personal_Accounts[[#This Row],[If Balance is]],FIND(" ",RBC_Personal_Accounts[[#This Row],[If Balance is]]))))</f>
        <v>0</v>
      </c>
      <c r="H138">
        <v>21</v>
      </c>
      <c r="I138" t="s">
        <v>353</v>
      </c>
    </row>
    <row r="139" spans="1:9" x14ac:dyDescent="0.25">
      <c r="A139" t="s">
        <v>352</v>
      </c>
      <c r="B139" s="21" t="s">
        <v>66</v>
      </c>
      <c r="C139" s="21" t="s">
        <v>82</v>
      </c>
      <c r="E139">
        <f>IF(LEFT(RBC_Personal_Accounts[[#This Row],[If Balance is]],1)&lt;&gt;"$",0,VALUE(LEFT(RBC_Personal_Accounts[[#This Row],[If Balance is]],FIND(" ",RBC_Personal_Accounts[[#This Row],[If Balance is]]))))</f>
        <v>0</v>
      </c>
      <c r="H139">
        <v>20</v>
      </c>
      <c r="I139" t="s">
        <v>352</v>
      </c>
    </row>
    <row r="140" spans="1:9" x14ac:dyDescent="0.25">
      <c r="A140" t="s">
        <v>351</v>
      </c>
      <c r="B140" s="21" t="s">
        <v>66</v>
      </c>
      <c r="C140" s="21" t="s">
        <v>82</v>
      </c>
      <c r="E140">
        <f>IF(LEFT(RBC_Personal_Accounts[[#This Row],[If Balance is]],1)&lt;&gt;"$",0,VALUE(LEFT(RBC_Personal_Accounts[[#This Row],[If Balance is]],FIND(" ",RBC_Personal_Accounts[[#This Row],[If Balance is]]))))</f>
        <v>0</v>
      </c>
      <c r="H140">
        <v>19</v>
      </c>
      <c r="I140" t="s">
        <v>351</v>
      </c>
    </row>
    <row r="141" spans="1:9" x14ac:dyDescent="0.25">
      <c r="A141" t="s">
        <v>350</v>
      </c>
      <c r="B141" s="21" t="s">
        <v>86</v>
      </c>
      <c r="C141" s="21" t="s">
        <v>76</v>
      </c>
      <c r="E141">
        <f>IF(LEFT(RBC_Personal_Accounts[[#This Row],[If Balance is]],1)&lt;&gt;"$",0,VALUE(LEFT(RBC_Personal_Accounts[[#This Row],[If Balance is]],FIND(" ",RBC_Personal_Accounts[[#This Row],[If Balance is]]))))</f>
        <v>0</v>
      </c>
      <c r="H141">
        <v>18</v>
      </c>
    </row>
    <row r="142" spans="1:9" x14ac:dyDescent="0.25">
      <c r="B142" s="21" t="s">
        <v>85</v>
      </c>
      <c r="C142" s="21" t="s">
        <v>76</v>
      </c>
      <c r="E142">
        <f>IF(LEFT(RBC_Personal_Accounts[[#This Row],[If Balance is]],1)&lt;&gt;"$",0,VALUE(LEFT(RBC_Personal_Accounts[[#This Row],[If Balance is]],FIND(" ",RBC_Personal_Accounts[[#This Row],[If Balance is]]))))</f>
        <v>1000</v>
      </c>
      <c r="H142">
        <v>17</v>
      </c>
    </row>
    <row r="143" spans="1:9" x14ac:dyDescent="0.25">
      <c r="B143" s="21" t="s">
        <v>84</v>
      </c>
      <c r="C143" s="21" t="s">
        <v>87</v>
      </c>
      <c r="E143">
        <f>IF(LEFT(RBC_Personal_Accounts[[#This Row],[If Balance is]],1)&lt;&gt;"$",0,VALUE(LEFT(RBC_Personal_Accounts[[#This Row],[If Balance is]],FIND(" ",RBC_Personal_Accounts[[#This Row],[If Balance is]]))))</f>
        <v>3000</v>
      </c>
      <c r="H143">
        <v>16</v>
      </c>
    </row>
    <row r="144" spans="1:9" x14ac:dyDescent="0.25">
      <c r="B144" s="21" t="s">
        <v>83</v>
      </c>
      <c r="C144" s="21" t="s">
        <v>87</v>
      </c>
      <c r="E144">
        <f>IF(LEFT(RBC_Personal_Accounts[[#This Row],[If Balance is]],1)&lt;&gt;"$",0,VALUE(LEFT(RBC_Personal_Accounts[[#This Row],[If Balance is]],FIND(" ",RBC_Personal_Accounts[[#This Row],[If Balance is]]))))</f>
        <v>5000</v>
      </c>
      <c r="H144">
        <v>15</v>
      </c>
      <c r="I144" t="s">
        <v>350</v>
      </c>
    </row>
    <row r="145" spans="1:9" x14ac:dyDescent="0.25">
      <c r="A145" t="s">
        <v>349</v>
      </c>
      <c r="B145" s="21" t="s">
        <v>66</v>
      </c>
      <c r="C145" s="21" t="s">
        <v>326</v>
      </c>
      <c r="E145">
        <f>IF(LEFT(RBC_Personal_Accounts[[#This Row],[If Balance is]],1)&lt;&gt;"$",0,VALUE(LEFT(RBC_Personal_Accounts[[#This Row],[If Balance is]],FIND(" ",RBC_Personal_Accounts[[#This Row],[If Balance is]]))))</f>
        <v>0</v>
      </c>
      <c r="H145">
        <v>14</v>
      </c>
      <c r="I145" t="s">
        <v>349</v>
      </c>
    </row>
    <row r="146" spans="1:9" x14ac:dyDescent="0.25">
      <c r="A146" t="s">
        <v>348</v>
      </c>
      <c r="B146" s="21" t="s">
        <v>86</v>
      </c>
      <c r="C146" s="21" t="s">
        <v>78</v>
      </c>
      <c r="E146">
        <f>IF(LEFT(RBC_Personal_Accounts[[#This Row],[If Balance is]],1)&lt;&gt;"$",0,VALUE(LEFT(RBC_Personal_Accounts[[#This Row],[If Balance is]],FIND(" ",RBC_Personal_Accounts[[#This Row],[If Balance is]]))))</f>
        <v>0</v>
      </c>
      <c r="H146">
        <v>13</v>
      </c>
    </row>
    <row r="147" spans="1:9" x14ac:dyDescent="0.25">
      <c r="B147" s="21" t="s">
        <v>85</v>
      </c>
      <c r="C147" s="21" t="s">
        <v>76</v>
      </c>
      <c r="E147">
        <f>IF(LEFT(RBC_Personal_Accounts[[#This Row],[If Balance is]],1)&lt;&gt;"$",0,VALUE(LEFT(RBC_Personal_Accounts[[#This Row],[If Balance is]],FIND(" ",RBC_Personal_Accounts[[#This Row],[If Balance is]]))))</f>
        <v>1000</v>
      </c>
      <c r="H147">
        <v>12</v>
      </c>
    </row>
    <row r="148" spans="1:9" x14ac:dyDescent="0.25">
      <c r="B148" s="21" t="s">
        <v>84</v>
      </c>
      <c r="C148" s="21" t="s">
        <v>87</v>
      </c>
      <c r="E148">
        <f>IF(LEFT(RBC_Personal_Accounts[[#This Row],[If Balance is]],1)&lt;&gt;"$",0,VALUE(LEFT(RBC_Personal_Accounts[[#This Row],[If Balance is]],FIND(" ",RBC_Personal_Accounts[[#This Row],[If Balance is]]))))</f>
        <v>3000</v>
      </c>
      <c r="H148">
        <v>11</v>
      </c>
    </row>
    <row r="149" spans="1:9" x14ac:dyDescent="0.25">
      <c r="B149" s="21" t="s">
        <v>83</v>
      </c>
      <c r="C149" s="21" t="s">
        <v>87</v>
      </c>
      <c r="E149">
        <f>IF(LEFT(RBC_Personal_Accounts[[#This Row],[If Balance is]],1)&lt;&gt;"$",0,VALUE(LEFT(RBC_Personal_Accounts[[#This Row],[If Balance is]],FIND(" ",RBC_Personal_Accounts[[#This Row],[If Balance is]]))))</f>
        <v>5000</v>
      </c>
      <c r="H149">
        <v>10</v>
      </c>
      <c r="I149" t="s">
        <v>348</v>
      </c>
    </row>
    <row r="150" spans="1:9" x14ac:dyDescent="0.25">
      <c r="A150" t="s">
        <v>347</v>
      </c>
      <c r="B150" s="21" t="s">
        <v>81</v>
      </c>
      <c r="C150" s="21" t="s">
        <v>82</v>
      </c>
      <c r="E150">
        <f>IF(LEFT(RBC_Personal_Accounts[[#This Row],[If Balance is]],1)&lt;&gt;"$",0,VALUE(LEFT(RBC_Personal_Accounts[[#This Row],[If Balance is]],FIND(" ",RBC_Personal_Accounts[[#This Row],[If Balance is]]))))</f>
        <v>0</v>
      </c>
      <c r="H150">
        <v>9</v>
      </c>
    </row>
    <row r="151" spans="1:9" x14ac:dyDescent="0.25">
      <c r="B151" s="21" t="s">
        <v>79</v>
      </c>
      <c r="C151" s="21" t="s">
        <v>80</v>
      </c>
      <c r="E151">
        <f>IF(LEFT(RBC_Personal_Accounts[[#This Row],[If Balance is]],1)&lt;&gt;"$",0,VALUE(LEFT(RBC_Personal_Accounts[[#This Row],[If Balance is]],FIND(" ",RBC_Personal_Accounts[[#This Row],[If Balance is]]))))</f>
        <v>5000</v>
      </c>
      <c r="H151">
        <v>8</v>
      </c>
    </row>
    <row r="152" spans="1:9" x14ac:dyDescent="0.25">
      <c r="B152" s="21" t="s">
        <v>77</v>
      </c>
      <c r="C152" s="21" t="s">
        <v>78</v>
      </c>
      <c r="E152">
        <f>IF(LEFT(RBC_Personal_Accounts[[#This Row],[If Balance is]],1)&lt;&gt;"$",0,VALUE(LEFT(RBC_Personal_Accounts[[#This Row],[If Balance is]],FIND(" ",RBC_Personal_Accounts[[#This Row],[If Balance is]]))))</f>
        <v>10000</v>
      </c>
      <c r="H152">
        <v>7</v>
      </c>
    </row>
    <row r="153" spans="1:9" x14ac:dyDescent="0.25">
      <c r="B153" s="21" t="s">
        <v>75</v>
      </c>
      <c r="C153" s="21" t="s">
        <v>76</v>
      </c>
      <c r="E153">
        <f>IF(LEFT(RBC_Personal_Accounts[[#This Row],[If Balance is]],1)&lt;&gt;"$",0,VALUE(LEFT(RBC_Personal_Accounts[[#This Row],[If Balance is]],FIND(" ",RBC_Personal_Accounts[[#This Row],[If Balance is]]))))</f>
        <v>25000</v>
      </c>
      <c r="H153">
        <v>6</v>
      </c>
    </row>
    <row r="154" spans="1:9" x14ac:dyDescent="0.25">
      <c r="B154" s="21" t="s">
        <v>73</v>
      </c>
      <c r="C154" s="21" t="s">
        <v>74</v>
      </c>
      <c r="E154">
        <f>IF(LEFT(RBC_Personal_Accounts[[#This Row],[If Balance is]],1)&lt;&gt;"$",0,VALUE(LEFT(RBC_Personal_Accounts[[#This Row],[If Balance is]],FIND(" ",RBC_Personal_Accounts[[#This Row],[If Balance is]]))))</f>
        <v>60000</v>
      </c>
      <c r="H154">
        <v>5</v>
      </c>
    </row>
    <row r="155" spans="1:9" x14ac:dyDescent="0.25">
      <c r="B155" s="21" t="s">
        <v>71</v>
      </c>
      <c r="C155" s="21" t="s">
        <v>72</v>
      </c>
      <c r="E155">
        <f>IF(LEFT(RBC_Personal_Accounts[[#This Row],[If Balance is]],1)&lt;&gt;"$",0,VALUE(LEFT(RBC_Personal_Accounts[[#This Row],[If Balance is]],FIND(" ",RBC_Personal_Accounts[[#This Row],[If Balance is]]))))</f>
        <v>100000</v>
      </c>
      <c r="H155">
        <v>4</v>
      </c>
    </row>
    <row r="156" spans="1:9" x14ac:dyDescent="0.25">
      <c r="B156" s="21" t="s">
        <v>70</v>
      </c>
      <c r="C156" s="21" t="s">
        <v>69</v>
      </c>
      <c r="E156">
        <f>IF(LEFT(RBC_Personal_Accounts[[#This Row],[If Balance is]],1)&lt;&gt;"$",0,VALUE(LEFT(RBC_Personal_Accounts[[#This Row],[If Balance is]],FIND(" ",RBC_Personal_Accounts[[#This Row],[If Balance is]]))))</f>
        <v>150000</v>
      </c>
      <c r="H156">
        <v>3</v>
      </c>
    </row>
    <row r="157" spans="1:9" x14ac:dyDescent="0.25">
      <c r="B157" s="21" t="s">
        <v>68</v>
      </c>
      <c r="C157" s="21" t="s">
        <v>69</v>
      </c>
      <c r="E157">
        <f>IF(LEFT(RBC_Personal_Accounts[[#This Row],[If Balance is]],1)&lt;&gt;"$",0,VALUE(LEFT(RBC_Personal_Accounts[[#This Row],[If Balance is]],FIND(" ",RBC_Personal_Accounts[[#This Row],[If Balance is]]))))</f>
        <v>250000</v>
      </c>
      <c r="H157">
        <v>2</v>
      </c>
      <c r="I157" t="s">
        <v>347</v>
      </c>
    </row>
    <row r="158" spans="1:9" x14ac:dyDescent="0.25">
      <c r="A158" t="s">
        <v>60</v>
      </c>
      <c r="B158" s="21" t="s">
        <v>66</v>
      </c>
      <c r="C158" s="21" t="s">
        <v>553</v>
      </c>
      <c r="E158">
        <f>IF(LEFT(RBC_Personal_Accounts[[#This Row],[If Balance is]],1)&lt;&gt;"$",0,VALUE(LEFT(RBC_Personal_Accounts[[#This Row],[If Balance is]],FIND(" ",RBC_Personal_Accounts[[#This Row],[If Balance is]]))))</f>
        <v>0</v>
      </c>
      <c r="H158">
        <v>1</v>
      </c>
      <c r="I158" t="s">
        <v>60</v>
      </c>
    </row>
    <row r="161" spans="1:5" x14ac:dyDescent="0.25">
      <c r="A161" t="s">
        <v>413</v>
      </c>
      <c r="B161" t="s">
        <v>217</v>
      </c>
      <c r="C161" t="s">
        <v>218</v>
      </c>
      <c r="D161" t="s">
        <v>219</v>
      </c>
      <c r="E161" t="s">
        <v>311</v>
      </c>
    </row>
    <row r="162" spans="1:5" x14ac:dyDescent="0.25">
      <c r="B162" s="21" t="s">
        <v>220</v>
      </c>
      <c r="C162">
        <v>1.6E-2</v>
      </c>
      <c r="D162">
        <v>1.7000000000000001E-2</v>
      </c>
      <c r="E162">
        <v>500</v>
      </c>
    </row>
    <row r="163" spans="1:5" x14ac:dyDescent="0.25">
      <c r="B163" s="21" t="s">
        <v>221</v>
      </c>
      <c r="C163">
        <v>1.8499999999999999E-2</v>
      </c>
      <c r="D163">
        <v>1.95E-2</v>
      </c>
    </row>
    <row r="164" spans="1:5" x14ac:dyDescent="0.25">
      <c r="B164" s="21" t="s">
        <v>222</v>
      </c>
      <c r="C164">
        <v>1.4500000000000001E-2</v>
      </c>
      <c r="D164">
        <v>1.7000000000000001E-2</v>
      </c>
    </row>
    <row r="165" spans="1:5" x14ac:dyDescent="0.25">
      <c r="B165" s="21" t="s">
        <v>223</v>
      </c>
      <c r="C165">
        <v>1.55E-2</v>
      </c>
      <c r="D165">
        <v>1.7999999999999999E-2</v>
      </c>
    </row>
    <row r="166" spans="1:5" x14ac:dyDescent="0.25">
      <c r="B166" s="21" t="s">
        <v>224</v>
      </c>
      <c r="C166">
        <v>1.6E-2</v>
      </c>
      <c r="D166">
        <v>1.7000000000000001E-2</v>
      </c>
    </row>
    <row r="167" spans="1:5" x14ac:dyDescent="0.25">
      <c r="B167" s="21" t="s">
        <v>225</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9"/>
  <sheetViews>
    <sheetView workbookViewId="0">
      <selection activeCell="B10" sqref="B10"/>
    </sheetView>
  </sheetViews>
  <sheetFormatPr defaultRowHeight="15" x14ac:dyDescent="0.25"/>
  <cols>
    <col min="1" max="1" width="30.42578125" bestFit="1" customWidth="1"/>
    <col min="2" max="2" width="33.28515625" bestFit="1" customWidth="1"/>
    <col min="3" max="3" width="53.140625" bestFit="1" customWidth="1"/>
    <col min="4" max="4" width="15" bestFit="1" customWidth="1"/>
    <col min="5" max="5" width="17.5703125" bestFit="1" customWidth="1"/>
  </cols>
  <sheetData>
    <row r="1" spans="1:5" x14ac:dyDescent="0.25">
      <c r="A1" t="s">
        <v>89</v>
      </c>
      <c r="B1" t="s">
        <v>90</v>
      </c>
      <c r="C1" t="s">
        <v>91</v>
      </c>
      <c r="E1" s="42"/>
    </row>
    <row r="2" spans="1:5" x14ac:dyDescent="0.25">
      <c r="A2" t="s">
        <v>92</v>
      </c>
      <c r="B2" s="45" t="s">
        <v>424</v>
      </c>
      <c r="C2" s="45" t="s">
        <v>425</v>
      </c>
    </row>
    <row r="3" spans="1:5" x14ac:dyDescent="0.25">
      <c r="B3" s="45" t="s">
        <v>426</v>
      </c>
      <c r="C3" s="45" t="s">
        <v>427</v>
      </c>
    </row>
    <row r="4" spans="1:5" x14ac:dyDescent="0.25">
      <c r="B4" s="45" t="s">
        <v>428</v>
      </c>
      <c r="C4" s="45" t="s">
        <v>429</v>
      </c>
    </row>
    <row r="5" spans="1:5" x14ac:dyDescent="0.25">
      <c r="B5" s="45" t="s">
        <v>430</v>
      </c>
      <c r="C5" s="45" t="s">
        <v>431</v>
      </c>
    </row>
    <row r="6" spans="1:5" x14ac:dyDescent="0.25">
      <c r="B6" s="45" t="s">
        <v>432</v>
      </c>
      <c r="C6" s="45" t="s">
        <v>431</v>
      </c>
    </row>
    <row r="7" spans="1:5" x14ac:dyDescent="0.25">
      <c r="B7" s="45" t="s">
        <v>433</v>
      </c>
      <c r="C7" s="45" t="s">
        <v>434</v>
      </c>
    </row>
    <row r="8" spans="1:5" x14ac:dyDescent="0.25">
      <c r="A8" t="s">
        <v>93</v>
      </c>
      <c r="B8" s="45" t="s">
        <v>435</v>
      </c>
      <c r="C8" s="45" t="s">
        <v>425</v>
      </c>
    </row>
    <row r="9" spans="1:5" x14ac:dyDescent="0.25">
      <c r="B9" s="45" t="s">
        <v>436</v>
      </c>
      <c r="C9" s="45" t="s">
        <v>437</v>
      </c>
    </row>
    <row r="10" spans="1:5" x14ac:dyDescent="0.25">
      <c r="A10" t="s">
        <v>21</v>
      </c>
      <c r="B10" s="45" t="s">
        <v>435</v>
      </c>
      <c r="C10" s="45" t="s">
        <v>425</v>
      </c>
    </row>
    <row r="11" spans="1:5" x14ac:dyDescent="0.25">
      <c r="B11" s="45" t="s">
        <v>438</v>
      </c>
      <c r="C11" s="45" t="s">
        <v>533</v>
      </c>
    </row>
    <row r="12" spans="1:5" x14ac:dyDescent="0.25">
      <c r="A12" t="s">
        <v>94</v>
      </c>
      <c r="B12" s="45"/>
      <c r="C12" s="45"/>
    </row>
    <row r="13" spans="1:5" x14ac:dyDescent="0.25">
      <c r="B13" s="45" t="s">
        <v>439</v>
      </c>
      <c r="C13" s="45" t="s">
        <v>440</v>
      </c>
    </row>
    <row r="14" spans="1:5" x14ac:dyDescent="0.25">
      <c r="A14" t="s">
        <v>95</v>
      </c>
      <c r="B14" s="45" t="s">
        <v>441</v>
      </c>
      <c r="C14" s="45" t="s">
        <v>442</v>
      </c>
    </row>
    <row r="15" spans="1:5" x14ac:dyDescent="0.25">
      <c r="B15" s="45" t="s">
        <v>443</v>
      </c>
      <c r="C15" s="45" t="s">
        <v>444</v>
      </c>
    </row>
    <row r="16" spans="1:5" x14ac:dyDescent="0.25">
      <c r="B16" s="45" t="s">
        <v>445</v>
      </c>
      <c r="C16" s="45" t="s">
        <v>446</v>
      </c>
    </row>
    <row r="17" spans="1:3" x14ac:dyDescent="0.25">
      <c r="B17" s="45" t="s">
        <v>447</v>
      </c>
      <c r="C17" s="45" t="s">
        <v>448</v>
      </c>
    </row>
    <row r="18" spans="1:3" x14ac:dyDescent="0.25">
      <c r="B18" s="45" t="s">
        <v>449</v>
      </c>
      <c r="C18" s="45" t="s">
        <v>450</v>
      </c>
    </row>
    <row r="19" spans="1:3" x14ac:dyDescent="0.25">
      <c r="B19" s="45" t="s">
        <v>451</v>
      </c>
      <c r="C19" s="45" t="s">
        <v>452</v>
      </c>
    </row>
    <row r="20" spans="1:3" x14ac:dyDescent="0.25">
      <c r="B20" s="45"/>
      <c r="C20" s="45"/>
    </row>
    <row r="21" spans="1:3" x14ac:dyDescent="0.25">
      <c r="B21" s="45" t="s">
        <v>439</v>
      </c>
      <c r="C21" s="45" t="s">
        <v>534</v>
      </c>
    </row>
    <row r="22" spans="1:3" x14ac:dyDescent="0.25">
      <c r="A22" t="s">
        <v>96</v>
      </c>
      <c r="B22" s="45" t="s">
        <v>447</v>
      </c>
      <c r="C22" s="45" t="s">
        <v>454</v>
      </c>
    </row>
    <row r="23" spans="1:3" x14ac:dyDescent="0.25">
      <c r="B23" s="45" t="s">
        <v>447</v>
      </c>
      <c r="C23" s="45" t="s">
        <v>455</v>
      </c>
    </row>
    <row r="24" spans="1:3" x14ac:dyDescent="0.25">
      <c r="B24" s="45" t="s">
        <v>447</v>
      </c>
      <c r="C24" s="45" t="s">
        <v>456</v>
      </c>
    </row>
    <row r="25" spans="1:3" x14ac:dyDescent="0.25">
      <c r="B25" s="45" t="s">
        <v>447</v>
      </c>
      <c r="C25" s="45" t="s">
        <v>457</v>
      </c>
    </row>
    <row r="26" spans="1:3" x14ac:dyDescent="0.25">
      <c r="B26" s="45" t="s">
        <v>449</v>
      </c>
      <c r="C26" s="45" t="s">
        <v>458</v>
      </c>
    </row>
    <row r="27" spans="1:3" x14ac:dyDescent="0.25">
      <c r="B27" s="45" t="s">
        <v>449</v>
      </c>
      <c r="C27" s="45" t="s">
        <v>457</v>
      </c>
    </row>
    <row r="28" spans="1:3" x14ac:dyDescent="0.25">
      <c r="B28" s="45" t="s">
        <v>451</v>
      </c>
      <c r="C28" s="45" t="s">
        <v>457</v>
      </c>
    </row>
    <row r="29" spans="1:3" x14ac:dyDescent="0.25">
      <c r="B29" s="45" t="s">
        <v>439</v>
      </c>
      <c r="C29" s="45" t="s">
        <v>440</v>
      </c>
    </row>
    <row r="30" spans="1:3" x14ac:dyDescent="0.25">
      <c r="A30" t="s">
        <v>97</v>
      </c>
      <c r="B30" s="45" t="s">
        <v>459</v>
      </c>
      <c r="C30" s="45" t="s">
        <v>460</v>
      </c>
    </row>
    <row r="31" spans="1:3" x14ac:dyDescent="0.25">
      <c r="B31" s="45" t="s">
        <v>461</v>
      </c>
      <c r="C31" s="45" t="s">
        <v>462</v>
      </c>
    </row>
    <row r="32" spans="1:3" x14ac:dyDescent="0.25">
      <c r="B32" s="45" t="s">
        <v>439</v>
      </c>
      <c r="C32" s="45" t="s">
        <v>440</v>
      </c>
    </row>
    <row r="33" spans="1:3" x14ac:dyDescent="0.25">
      <c r="A33" t="s">
        <v>98</v>
      </c>
      <c r="B33" s="45" t="s">
        <v>463</v>
      </c>
      <c r="C33" s="45" t="s">
        <v>464</v>
      </c>
    </row>
    <row r="34" spans="1:3" x14ac:dyDescent="0.25">
      <c r="B34" s="45" t="s">
        <v>441</v>
      </c>
      <c r="C34" s="45" t="s">
        <v>465</v>
      </c>
    </row>
    <row r="35" spans="1:3" x14ac:dyDescent="0.25">
      <c r="B35" s="45" t="s">
        <v>443</v>
      </c>
      <c r="C35" s="45" t="s">
        <v>466</v>
      </c>
    </row>
    <row r="36" spans="1:3" x14ac:dyDescent="0.25">
      <c r="B36" s="45" t="s">
        <v>445</v>
      </c>
      <c r="C36" s="45" t="s">
        <v>467</v>
      </c>
    </row>
    <row r="37" spans="1:3" x14ac:dyDescent="0.25">
      <c r="B37" s="45" t="s">
        <v>447</v>
      </c>
      <c r="C37" s="45" t="s">
        <v>468</v>
      </c>
    </row>
    <row r="38" spans="1:3" x14ac:dyDescent="0.25">
      <c r="B38" s="45" t="s">
        <v>449</v>
      </c>
      <c r="C38" s="45" t="s">
        <v>469</v>
      </c>
    </row>
    <row r="39" spans="1:3" x14ac:dyDescent="0.25">
      <c r="B39" s="45" t="s">
        <v>451</v>
      </c>
      <c r="C39" s="45" t="s">
        <v>470</v>
      </c>
    </row>
    <row r="40" spans="1:3" x14ac:dyDescent="0.25">
      <c r="B40" s="45" t="s">
        <v>471</v>
      </c>
      <c r="C40" s="45" t="s">
        <v>472</v>
      </c>
    </row>
    <row r="41" spans="1:3" x14ac:dyDescent="0.25">
      <c r="A41" t="s">
        <v>99</v>
      </c>
      <c r="B41" s="45" t="s">
        <v>473</v>
      </c>
      <c r="C41" s="45" t="s">
        <v>535</v>
      </c>
    </row>
    <row r="42" spans="1:3" x14ac:dyDescent="0.25">
      <c r="B42" s="45" t="s">
        <v>441</v>
      </c>
      <c r="C42" s="45" t="s">
        <v>536</v>
      </c>
    </row>
    <row r="43" spans="1:3" x14ac:dyDescent="0.25">
      <c r="B43" s="45" t="s">
        <v>443</v>
      </c>
      <c r="C43" s="45" t="s">
        <v>474</v>
      </c>
    </row>
    <row r="44" spans="1:3" x14ac:dyDescent="0.25">
      <c r="B44" s="45" t="s">
        <v>445</v>
      </c>
      <c r="C44" s="45" t="s">
        <v>537</v>
      </c>
    </row>
    <row r="45" spans="1:3" x14ac:dyDescent="0.25">
      <c r="B45" s="45" t="s">
        <v>447</v>
      </c>
      <c r="C45" s="45" t="s">
        <v>537</v>
      </c>
    </row>
    <row r="46" spans="1:3" x14ac:dyDescent="0.25">
      <c r="B46" s="45" t="s">
        <v>435</v>
      </c>
      <c r="C46" s="45" t="s">
        <v>425</v>
      </c>
    </row>
    <row r="47" spans="1:3" x14ac:dyDescent="0.25">
      <c r="A47" t="s">
        <v>100</v>
      </c>
      <c r="B47" s="45" t="s">
        <v>438</v>
      </c>
      <c r="C47" s="45" t="s">
        <v>533</v>
      </c>
    </row>
    <row r="48" spans="1:3" x14ac:dyDescent="0.25">
      <c r="B48" s="45" t="s">
        <v>435</v>
      </c>
      <c r="C48" s="45" t="s">
        <v>425</v>
      </c>
    </row>
    <row r="49" spans="1:3" x14ac:dyDescent="0.25">
      <c r="A49" t="s">
        <v>101</v>
      </c>
      <c r="B49" s="45" t="s">
        <v>438</v>
      </c>
      <c r="C49" s="45" t="s">
        <v>533</v>
      </c>
    </row>
    <row r="50" spans="1:3" x14ac:dyDescent="0.25">
      <c r="B50" s="45"/>
      <c r="C50" s="45"/>
    </row>
    <row r="51" spans="1:3" x14ac:dyDescent="0.25">
      <c r="B51" s="45" t="s">
        <v>435</v>
      </c>
      <c r="C51" s="45" t="s">
        <v>475</v>
      </c>
    </row>
    <row r="52" spans="1:3" x14ac:dyDescent="0.25">
      <c r="B52" s="45" t="s">
        <v>476</v>
      </c>
      <c r="C52" s="45" t="s">
        <v>477</v>
      </c>
    </row>
    <row r="53" spans="1:3" x14ac:dyDescent="0.25">
      <c r="B53" s="45" t="s">
        <v>435</v>
      </c>
      <c r="C53" s="45" t="s">
        <v>425</v>
      </c>
    </row>
    <row r="54" spans="1:3" x14ac:dyDescent="0.25">
      <c r="B54" s="45" t="s">
        <v>476</v>
      </c>
      <c r="C54" s="45" t="s">
        <v>478</v>
      </c>
    </row>
    <row r="55" spans="1:3" x14ac:dyDescent="0.25">
      <c r="B55" s="45" t="s">
        <v>479</v>
      </c>
      <c r="C55" s="45" t="s">
        <v>480</v>
      </c>
    </row>
    <row r="56" spans="1:3" x14ac:dyDescent="0.25">
      <c r="B56" s="45" t="s">
        <v>476</v>
      </c>
      <c r="C56" s="45" t="s">
        <v>481</v>
      </c>
    </row>
    <row r="57" spans="1:3" x14ac:dyDescent="0.25">
      <c r="A57" t="s">
        <v>102</v>
      </c>
      <c r="B57" s="45" t="s">
        <v>482</v>
      </c>
      <c r="C57" s="45" t="s">
        <v>483</v>
      </c>
    </row>
    <row r="58" spans="1:3" x14ac:dyDescent="0.25">
      <c r="B58" s="45" t="s">
        <v>484</v>
      </c>
      <c r="C58" s="45" t="s">
        <v>453</v>
      </c>
    </row>
    <row r="59" spans="1:3" x14ac:dyDescent="0.25">
      <c r="B59" s="45"/>
      <c r="C59" s="45"/>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86"/>
  <sheetViews>
    <sheetView workbookViewId="0">
      <selection activeCell="D14" sqref="D14"/>
    </sheetView>
  </sheetViews>
  <sheetFormatPr defaultRowHeight="15" x14ac:dyDescent="0.25"/>
  <cols>
    <col min="1" max="1" width="56.7109375" bestFit="1" customWidth="1"/>
    <col min="3" max="3" width="28" bestFit="1" customWidth="1"/>
    <col min="4" max="4" width="11.140625" bestFit="1" customWidth="1"/>
  </cols>
  <sheetData>
    <row r="1" spans="1:4" x14ac:dyDescent="0.25">
      <c r="C1" t="s">
        <v>415</v>
      </c>
      <c r="D1" t="s">
        <v>65</v>
      </c>
    </row>
    <row r="2" spans="1:4" x14ac:dyDescent="0.25">
      <c r="A2" t="s">
        <v>148</v>
      </c>
      <c r="C2" s="21" t="s">
        <v>25</v>
      </c>
      <c r="D2" s="21">
        <v>1.2E-2</v>
      </c>
    </row>
    <row r="3" spans="1:4" x14ac:dyDescent="0.25">
      <c r="C3" s="21" t="s">
        <v>557</v>
      </c>
      <c r="D3" s="21">
        <v>0</v>
      </c>
    </row>
    <row r="4" spans="1:4" x14ac:dyDescent="0.25">
      <c r="A4" t="s">
        <v>149</v>
      </c>
      <c r="C4" s="21" t="s">
        <v>558</v>
      </c>
      <c r="D4" s="21">
        <v>0.15</v>
      </c>
    </row>
    <row r="6" spans="1:4" x14ac:dyDescent="0.25">
      <c r="C6" s="45"/>
      <c r="D6" s="45"/>
    </row>
    <row r="7" spans="1:4" x14ac:dyDescent="0.25">
      <c r="C7" s="42" t="s">
        <v>10</v>
      </c>
    </row>
    <row r="8" spans="1:4" x14ac:dyDescent="0.25">
      <c r="C8" s="79" t="s">
        <v>415</v>
      </c>
      <c r="D8" s="79" t="s">
        <v>62</v>
      </c>
    </row>
    <row r="9" spans="1:4" x14ac:dyDescent="0.25">
      <c r="C9" s="79" t="s">
        <v>529</v>
      </c>
      <c r="D9" s="80">
        <v>1.6</v>
      </c>
    </row>
    <row r="10" spans="1:4" x14ac:dyDescent="0.25">
      <c r="A10" t="s">
        <v>150</v>
      </c>
    </row>
    <row r="11" spans="1:4" s="45" customFormat="1" x14ac:dyDescent="0.25">
      <c r="C11"/>
      <c r="D11"/>
    </row>
    <row r="12" spans="1:4" x14ac:dyDescent="0.25">
      <c r="A12" s="45" t="s">
        <v>55</v>
      </c>
    </row>
    <row r="13" spans="1:4" x14ac:dyDescent="0.25">
      <c r="A13" s="45"/>
    </row>
    <row r="14" spans="1:4" x14ac:dyDescent="0.25">
      <c r="A14" s="45"/>
    </row>
    <row r="16" spans="1:4" x14ac:dyDescent="0.25">
      <c r="A16" t="s">
        <v>151</v>
      </c>
    </row>
    <row r="22" spans="1:1" x14ac:dyDescent="0.25">
      <c r="A22" t="s">
        <v>152</v>
      </c>
    </row>
    <row r="28" spans="1:1" x14ac:dyDescent="0.25">
      <c r="A28" t="s">
        <v>153</v>
      </c>
    </row>
    <row r="34" spans="1:1" x14ac:dyDescent="0.25">
      <c r="A34" t="s">
        <v>154</v>
      </c>
    </row>
    <row r="48" spans="1:1" x14ac:dyDescent="0.25">
      <c r="A48" t="s">
        <v>155</v>
      </c>
    </row>
    <row r="61" spans="1:1" x14ac:dyDescent="0.25">
      <c r="A61" t="s">
        <v>156</v>
      </c>
    </row>
    <row r="71" spans="1:1" x14ac:dyDescent="0.25">
      <c r="A71" t="s">
        <v>157</v>
      </c>
    </row>
    <row r="74" spans="1:1" x14ac:dyDescent="0.25">
      <c r="A74" t="s">
        <v>158</v>
      </c>
    </row>
    <row r="76" spans="1:1" x14ac:dyDescent="0.25">
      <c r="A76" t="s">
        <v>159</v>
      </c>
    </row>
    <row r="78" spans="1:1" x14ac:dyDescent="0.25">
      <c r="A78" t="s">
        <v>160</v>
      </c>
    </row>
    <row r="86" spans="1:1" x14ac:dyDescent="0.25">
      <c r="A86" s="2"/>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289</v>
      </c>
      <c r="C1" t="s">
        <v>59</v>
      </c>
      <c r="E1" s="42" t="s">
        <v>311</v>
      </c>
    </row>
    <row r="2" spans="1:5" x14ac:dyDescent="0.25">
      <c r="A2" t="s">
        <v>122</v>
      </c>
      <c r="B2" s="21" t="s">
        <v>322</v>
      </c>
      <c r="C2">
        <v>1E-3</v>
      </c>
      <c r="E2">
        <f>IF(LEFT(NBC_Bank_Accounts[[#This Row],[Balance]],1)&lt;&gt;"$",0,VALUE(LEFT(NBC_Bank_Accounts[[#This Row],[Balance]],FIND(" ",NBC_Bank_Accounts[[#This Row],[Balance]])-1)))</f>
        <v>0</v>
      </c>
    </row>
    <row r="3" spans="1:5" x14ac:dyDescent="0.25">
      <c r="B3" s="21" t="s">
        <v>123</v>
      </c>
      <c r="C3">
        <v>1E-4</v>
      </c>
      <c r="E3">
        <f>IF(LEFT(NBC_Bank_Accounts[[#This Row],[Balance]],1)&lt;&gt;"$",0,VALUE(LEFT(NBC_Bank_Accounts[[#This Row],[Balance]],FIND(" ",NBC_Bank_Accounts[[#This Row],[Balance]])-1)))</f>
        <v>0</v>
      </c>
    </row>
    <row r="4" spans="1:5" x14ac:dyDescent="0.25">
      <c r="B4" s="21" t="s">
        <v>124</v>
      </c>
      <c r="C4">
        <v>1E-4</v>
      </c>
      <c r="E4">
        <f>IF(LEFT(NBC_Bank_Accounts[[#This Row],[Balance]],1)&lt;&gt;"$",0,VALUE(LEFT(NBC_Bank_Accounts[[#This Row],[Balance]],FIND(" ",NBC_Bank_Accounts[[#This Row],[Balance]])-1)))</f>
        <v>0</v>
      </c>
    </row>
    <row r="5" spans="1:5" x14ac:dyDescent="0.25">
      <c r="B5" s="21" t="s">
        <v>125</v>
      </c>
      <c r="C5">
        <v>5.0000000000000001E-4</v>
      </c>
      <c r="E5">
        <f>IF(LEFT(NBC_Bank_Accounts[[#This Row],[Balance]],1)&lt;&gt;"$",0,VALUE(LEFT(NBC_Bank_Accounts[[#This Row],[Balance]],FIND(" ",NBC_Bank_Accounts[[#This Row],[Balance]])-1)))</f>
        <v>0</v>
      </c>
    </row>
    <row r="6" spans="1:5" x14ac:dyDescent="0.25">
      <c r="B6" s="21" t="s">
        <v>126</v>
      </c>
      <c r="C6">
        <v>5.0000000000000001E-4</v>
      </c>
      <c r="E6">
        <f>IF(LEFT(NBC_Bank_Accounts[[#This Row],[Balance]],1)&lt;&gt;"$",0,VALUE(LEFT(NBC_Bank_Accounts[[#This Row],[Balance]],FIND(" ",NBC_Bank_Accounts[[#This Row],[Balance]])-1)))</f>
        <v>0</v>
      </c>
    </row>
    <row r="7" spans="1:5" x14ac:dyDescent="0.25">
      <c r="A7" t="s">
        <v>127</v>
      </c>
      <c r="B7" s="21" t="s">
        <v>128</v>
      </c>
      <c r="C7">
        <v>0</v>
      </c>
      <c r="E7">
        <f>IF(LEFT(NBC_Bank_Accounts[[#This Row],[Balance]],1)&lt;&gt;"$",0,VALUE(LEFT(NBC_Bank_Accounts[[#This Row],[Balance]],FIND(" ",NBC_Bank_Accounts[[#This Row],[Balance]])-1)))</f>
        <v>0</v>
      </c>
    </row>
    <row r="8" spans="1:5" x14ac:dyDescent="0.25">
      <c r="B8" s="21" t="s">
        <v>129</v>
      </c>
      <c r="C8">
        <v>2.0000000000000001E-4</v>
      </c>
      <c r="E8">
        <f>IF(LEFT(NBC_Bank_Accounts[[#This Row],[Balance]],1)&lt;&gt;"$",0,VALUE(LEFT(NBC_Bank_Accounts[[#This Row],[Balance]],FIND(" ",NBC_Bank_Accounts[[#This Row],[Balance]])-1)))</f>
        <v>2000</v>
      </c>
    </row>
    <row r="9" spans="1:5" x14ac:dyDescent="0.25">
      <c r="B9" s="21" t="s">
        <v>77</v>
      </c>
      <c r="C9">
        <v>2.0000000000000001E-4</v>
      </c>
      <c r="E9">
        <f>IF(LEFT(NBC_Bank_Accounts[[#This Row],[Balance]],1)&lt;&gt;"$",0,VALUE(LEFT(NBC_Bank_Accounts[[#This Row],[Balance]],FIND(" ",NBC_Bank_Accounts[[#This Row],[Balance]])-1)))</f>
        <v>10000</v>
      </c>
    </row>
    <row r="10" spans="1:5" x14ac:dyDescent="0.25">
      <c r="B10" s="21" t="s">
        <v>75</v>
      </c>
      <c r="C10">
        <v>5.0000000000000001E-4</v>
      </c>
      <c r="E10">
        <f>IF(LEFT(NBC_Bank_Accounts[[#This Row],[Balance]],1)&lt;&gt;"$",0,VALUE(LEFT(NBC_Bank_Accounts[[#This Row],[Balance]],FIND(" ",NBC_Bank_Accounts[[#This Row],[Balance]])-1)))</f>
        <v>25000</v>
      </c>
    </row>
    <row r="11" spans="1:5" x14ac:dyDescent="0.25">
      <c r="B11" s="21" t="s">
        <v>73</v>
      </c>
      <c r="C11">
        <v>1E-3</v>
      </c>
      <c r="E11">
        <f>IF(LEFT(NBC_Bank_Accounts[[#This Row],[Balance]],1)&lt;&gt;"$",0,VALUE(LEFT(NBC_Bank_Accounts[[#This Row],[Balance]],FIND(" ",NBC_Bank_Accounts[[#This Row],[Balance]])-1)))</f>
        <v>60000</v>
      </c>
    </row>
    <row r="12" spans="1:5" x14ac:dyDescent="0.25">
      <c r="B12" s="21" t="s">
        <v>130</v>
      </c>
      <c r="C12">
        <v>1.5E-3</v>
      </c>
      <c r="E12">
        <f>IF(LEFT(NBC_Bank_Accounts[[#This Row],[Balance]],1)&lt;&gt;"$",0,VALUE(LEFT(NBC_Bank_Accounts[[#This Row],[Balance]],FIND(" ",NBC_Bank_Accounts[[#This Row],[Balance]])-1)))</f>
        <v>100000</v>
      </c>
    </row>
    <row r="13" spans="1:5" x14ac:dyDescent="0.25">
      <c r="A13" t="s">
        <v>133</v>
      </c>
      <c r="B13" s="21" t="s">
        <v>134</v>
      </c>
      <c r="C13">
        <v>0</v>
      </c>
      <c r="E13">
        <f>IF(LEFT(NBC_Bank_Accounts[[#This Row],[Balance]],1)&lt;&gt;"$",0,VALUE(LEFT(NBC_Bank_Accounts[[#This Row],[Balance]],FIND(" ",NBC_Bank_Accounts[[#This Row],[Balance]])-1)))</f>
        <v>0</v>
      </c>
    </row>
    <row r="14" spans="1:5" x14ac:dyDescent="0.25">
      <c r="B14" s="21" t="s">
        <v>135</v>
      </c>
      <c r="C14">
        <v>0</v>
      </c>
      <c r="E14">
        <f>IF(LEFT(NBC_Bank_Accounts[[#This Row],[Balance]],1)&lt;&gt;"$",0,VALUE(LEFT(NBC_Bank_Accounts[[#This Row],[Balance]],FIND(" ",NBC_Bank_Accounts[[#This Row],[Balance]])-1)))</f>
        <v>1000</v>
      </c>
    </row>
    <row r="15" spans="1:5" x14ac:dyDescent="0.25">
      <c r="B15" s="21" t="s">
        <v>136</v>
      </c>
      <c r="C15">
        <v>0</v>
      </c>
      <c r="E15">
        <f>IF(LEFT(NBC_Bank_Accounts[[#This Row],[Balance]],1)&lt;&gt;"$",0,VALUE(LEFT(NBC_Bank_Accounts[[#This Row],[Balance]],FIND(" ",NBC_Bank_Accounts[[#This Row],[Balance]])-1)))</f>
        <v>2000</v>
      </c>
    </row>
    <row r="16" spans="1:5" x14ac:dyDescent="0.25">
      <c r="B16" s="21" t="s">
        <v>132</v>
      </c>
      <c r="C16">
        <v>1E-3</v>
      </c>
      <c r="E16">
        <f>IF(LEFT(NBC_Bank_Accounts[[#This Row],[Balance]],1)&lt;&gt;"$",0,VALUE(LEFT(NBC_Bank_Accounts[[#This Row],[Balance]],FIND(" ",NBC_Bank_Accounts[[#This Row],[Balance]])-1)))</f>
        <v>5000</v>
      </c>
    </row>
    <row r="17" spans="1:5" x14ac:dyDescent="0.25">
      <c r="B17" s="21" t="s">
        <v>137</v>
      </c>
      <c r="C17">
        <v>1.5E-3</v>
      </c>
      <c r="E17">
        <f>IF(LEFT(NBC_Bank_Accounts[[#This Row],[Balance]],1)&lt;&gt;"$",0,VALUE(LEFT(NBC_Bank_Accounts[[#This Row],[Balance]],FIND(" ",NBC_Bank_Accounts[[#This Row],[Balance]])-1)))</f>
        <v>10000</v>
      </c>
    </row>
    <row r="18" spans="1:5" x14ac:dyDescent="0.25">
      <c r="A18" t="s">
        <v>138</v>
      </c>
      <c r="B18" s="21" t="s">
        <v>134</v>
      </c>
      <c r="C18">
        <v>2.0000000000000001E-4</v>
      </c>
      <c r="E18">
        <f>IF(LEFT(NBC_Bank_Accounts[[#This Row],[Balance]],1)&lt;&gt;"$",0,VALUE(LEFT(NBC_Bank_Accounts[[#This Row],[Balance]],FIND(" ",NBC_Bank_Accounts[[#This Row],[Balance]])-1)))</f>
        <v>0</v>
      </c>
    </row>
    <row r="19" spans="1:5" x14ac:dyDescent="0.25">
      <c r="B19" s="21" t="s">
        <v>132</v>
      </c>
      <c r="C19">
        <v>1E-3</v>
      </c>
      <c r="E19">
        <f>IF(LEFT(NBC_Bank_Accounts[[#This Row],[Balance]],1)&lt;&gt;"$",0,VALUE(LEFT(NBC_Bank_Accounts[[#This Row],[Balance]],FIND(" ",NBC_Bank_Accounts[[#This Row],[Balance]])-1)))</f>
        <v>5000</v>
      </c>
    </row>
    <row r="20" spans="1:5" x14ac:dyDescent="0.25">
      <c r="B20" s="21" t="s">
        <v>139</v>
      </c>
      <c r="C20">
        <v>1E-3</v>
      </c>
      <c r="E20">
        <f>IF(LEFT(NBC_Bank_Accounts[[#This Row],[Balance]],1)&lt;&gt;"$",0,VALUE(LEFT(NBC_Bank_Accounts[[#This Row],[Balance]],FIND(" ",NBC_Bank_Accounts[[#This Row],[Balance]])-1)))</f>
        <v>25000</v>
      </c>
    </row>
    <row r="21" spans="1:5" x14ac:dyDescent="0.25">
      <c r="B21" s="21" t="s">
        <v>140</v>
      </c>
      <c r="C21">
        <v>1.5E-3</v>
      </c>
      <c r="E21">
        <f>IF(LEFT(NBC_Bank_Accounts[[#This Row],[Balance]],1)&lt;&gt;"$",0,VALUE(LEFT(NBC_Bank_Accounts[[#This Row],[Balance]],FIND(" ",NBC_Bank_Accounts[[#This Row],[Balance]])-1)))</f>
        <v>60000</v>
      </c>
    </row>
    <row r="22" spans="1:5" x14ac:dyDescent="0.25">
      <c r="B22" s="21" t="s">
        <v>323</v>
      </c>
      <c r="C22">
        <v>2.5000000000000001E-3</v>
      </c>
      <c r="E22">
        <f>IF(LEFT(NBC_Bank_Accounts[[#This Row],[Balance]],1)&lt;&gt;"$",0,VALUE(LEFT(NBC_Bank_Accounts[[#This Row],[Balance]],FIND(" ",NBC_Bank_Accounts[[#This Row],[Balance]])-1)))</f>
        <v>100000</v>
      </c>
    </row>
    <row r="23" spans="1:5" x14ac:dyDescent="0.25">
      <c r="A23" t="s">
        <v>142</v>
      </c>
      <c r="B23" s="21" t="s">
        <v>134</v>
      </c>
      <c r="C23">
        <v>5.0000000000000001E-4</v>
      </c>
      <c r="E23">
        <f>IF(LEFT(NBC_Bank_Accounts[[#This Row],[Balance]],1)&lt;&gt;"$",0,VALUE(LEFT(NBC_Bank_Accounts[[#This Row],[Balance]],FIND(" ",NBC_Bank_Accounts[[#This Row],[Balance]])-1)))</f>
        <v>0</v>
      </c>
    </row>
    <row r="24" spans="1:5" x14ac:dyDescent="0.25">
      <c r="B24" s="21" t="s">
        <v>143</v>
      </c>
      <c r="C24">
        <v>2E-3</v>
      </c>
      <c r="E24">
        <f>IF(LEFT(NBC_Bank_Accounts[[#This Row],[Balance]],1)&lt;&gt;"$",0,VALUE(LEFT(NBC_Bank_Accounts[[#This Row],[Balance]],FIND(" ",NBC_Bank_Accounts[[#This Row],[Balance]])-1)))</f>
        <v>3000</v>
      </c>
    </row>
    <row r="25" spans="1:5" x14ac:dyDescent="0.25">
      <c r="B25" s="21" t="s">
        <v>144</v>
      </c>
      <c r="C25">
        <v>4.0000000000000001E-3</v>
      </c>
      <c r="E25">
        <f>IF(LEFT(NBC_Bank_Accounts[[#This Row],[Balance]],1)&lt;&gt;"$",0,VALUE(LEFT(NBC_Bank_Accounts[[#This Row],[Balance]],FIND(" ",NBC_Bank_Accounts[[#This Row],[Balance]])-1)))</f>
        <v>30000</v>
      </c>
    </row>
    <row r="26" spans="1:5" x14ac:dyDescent="0.25">
      <c r="A26" t="s">
        <v>145</v>
      </c>
      <c r="B26" s="21" t="s">
        <v>146</v>
      </c>
      <c r="C26">
        <v>0.21</v>
      </c>
      <c r="E26">
        <f>IF(LEFT(NBC_Bank_Accounts[[#This Row],[Balance]],1)&lt;&gt;"$",0,VALUE(LEFT(NBC_Bank_Accounts[[#This Row],[Balance]],FIND(" ",NBC_Bank_Accounts[[#This Row],[Balance]])-1)))</f>
        <v>0</v>
      </c>
    </row>
    <row r="27" spans="1:5" x14ac:dyDescent="0.25">
      <c r="B27" s="21" t="s">
        <v>147</v>
      </c>
      <c r="C27">
        <v>0.21</v>
      </c>
      <c r="E27">
        <f>IF(LEFT(NBC_Bank_Accounts[[#This Row],[Balance]],1)&lt;&gt;"$",0,VALUE(LEFT(NBC_Bank_Accounts[[#This Row],[Balance]],FIND(" ",NBC_Bank_Accounts[[#This Row],[Balance]])-1)))</f>
        <v>0</v>
      </c>
    </row>
    <row r="28" spans="1:5" x14ac:dyDescent="0.25">
      <c r="A28" t="s">
        <v>131</v>
      </c>
      <c r="B28" s="21" t="s">
        <v>134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B5"/>
  <sheetViews>
    <sheetView workbookViewId="0"/>
  </sheetViews>
  <sheetFormatPr defaultRowHeight="15" x14ac:dyDescent="0.25"/>
  <cols>
    <col min="1" max="1" width="30" bestFit="1" customWidth="1"/>
    <col min="2" max="3" width="23.140625" bestFit="1" customWidth="1"/>
  </cols>
  <sheetData>
    <row r="1" spans="1:2" x14ac:dyDescent="0.25">
      <c r="A1" t="s">
        <v>109</v>
      </c>
      <c r="B1" t="s">
        <v>206</v>
      </c>
    </row>
    <row r="2" spans="1:2" x14ac:dyDescent="0.25">
      <c r="A2" s="21" t="s">
        <v>284</v>
      </c>
      <c r="B2">
        <v>5.4999999999999997E-3</v>
      </c>
    </row>
    <row r="3" spans="1:2" x14ac:dyDescent="0.25">
      <c r="A3" s="21" t="s">
        <v>285</v>
      </c>
      <c r="B3">
        <v>1.0500000000000001E-2</v>
      </c>
    </row>
    <row r="4" spans="1:2" x14ac:dyDescent="0.25">
      <c r="A4" s="21" t="s">
        <v>286</v>
      </c>
      <c r="B4">
        <v>1.15E-2</v>
      </c>
    </row>
    <row r="5" spans="1:2" x14ac:dyDescent="0.25">
      <c r="A5" s="21" t="s">
        <v>287</v>
      </c>
      <c r="B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161</v>
      </c>
      <c r="B1" t="s">
        <v>88</v>
      </c>
    </row>
    <row r="2" spans="1:2" x14ac:dyDescent="0.25">
      <c r="A2" s="21" t="s">
        <v>28</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5" bestFit="1" customWidth="1"/>
    <col min="3" max="3" width="77.28515625" style="45" bestFit="1" customWidth="1"/>
    <col min="4" max="5" width="11.140625" style="45"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62</v>
      </c>
      <c r="C1" t="s">
        <v>63</v>
      </c>
      <c r="D1" t="s">
        <v>64</v>
      </c>
      <c r="E1" t="s">
        <v>230</v>
      </c>
    </row>
    <row r="2" spans="1:5" x14ac:dyDescent="0.25">
      <c r="A2" t="s">
        <v>181</v>
      </c>
      <c r="B2" s="21" t="s">
        <v>179</v>
      </c>
      <c r="C2" s="21" t="s">
        <v>180</v>
      </c>
      <c r="D2">
        <v>1.6E-2</v>
      </c>
      <c r="E2">
        <v>1.8499999999999999E-2</v>
      </c>
    </row>
    <row r="3" spans="1:5" x14ac:dyDescent="0.25">
      <c r="A3" t="s">
        <v>182</v>
      </c>
      <c r="B3" s="21" t="s">
        <v>179</v>
      </c>
      <c r="C3" s="21" t="s">
        <v>181</v>
      </c>
      <c r="D3">
        <v>8.5000000000000006E-3</v>
      </c>
      <c r="E3"/>
    </row>
    <row r="4" spans="1:5" x14ac:dyDescent="0.25">
      <c r="A4" t="s">
        <v>183</v>
      </c>
      <c r="B4" s="21" t="s">
        <v>179</v>
      </c>
      <c r="C4" s="21" t="s">
        <v>182</v>
      </c>
      <c r="D4">
        <v>1.2500000000000001E-2</v>
      </c>
      <c r="E4"/>
    </row>
    <row r="5" spans="1:5" x14ac:dyDescent="0.25">
      <c r="A5" t="s">
        <v>184</v>
      </c>
      <c r="B5" s="21" t="s">
        <v>179</v>
      </c>
      <c r="C5" s="21" t="s">
        <v>183</v>
      </c>
      <c r="D5">
        <v>1.2500000000000001E-2</v>
      </c>
      <c r="E5"/>
    </row>
    <row r="6" spans="1:5" x14ac:dyDescent="0.25">
      <c r="B6" s="21" t="s">
        <v>179</v>
      </c>
      <c r="C6" s="21" t="s">
        <v>393</v>
      </c>
      <c r="D6">
        <v>1.5E-3</v>
      </c>
      <c r="E6"/>
    </row>
    <row r="7" spans="1:5" x14ac:dyDescent="0.25">
      <c r="B7" s="21" t="s">
        <v>179</v>
      </c>
      <c r="C7" s="21" t="s">
        <v>394</v>
      </c>
      <c r="D7">
        <v>5.4999999999999997E-3</v>
      </c>
      <c r="E7"/>
    </row>
    <row r="8" spans="1:5" x14ac:dyDescent="0.25">
      <c r="B8" s="21" t="s">
        <v>179</v>
      </c>
      <c r="C8" s="21" t="s">
        <v>395</v>
      </c>
      <c r="D8" s="45">
        <v>6.4999999999999997E-3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59</v>
      </c>
      <c r="B1" t="s">
        <v>207</v>
      </c>
      <c r="C1" t="s">
        <v>208</v>
      </c>
    </row>
    <row r="2" spans="1:3" x14ac:dyDescent="0.25">
      <c r="A2">
        <v>2.8500000000000001E-2</v>
      </c>
      <c r="B2" s="21" t="s">
        <v>28</v>
      </c>
      <c r="C2" s="21" t="s">
        <v>209</v>
      </c>
    </row>
    <row r="3" spans="1:3" x14ac:dyDescent="0.25">
      <c r="A3">
        <v>2.8500000000000001E-2</v>
      </c>
      <c r="B3" s="21" t="s">
        <v>210</v>
      </c>
      <c r="C3" s="21" t="s">
        <v>209</v>
      </c>
    </row>
    <row r="4" spans="1:3" x14ac:dyDescent="0.25">
      <c r="A4">
        <v>2.8500000000000001E-2</v>
      </c>
      <c r="B4" s="21" t="s">
        <v>211</v>
      </c>
      <c r="C4" s="21" t="s">
        <v>209</v>
      </c>
    </row>
    <row r="5" spans="1:3" x14ac:dyDescent="0.25">
      <c r="A5">
        <v>2.8500000000000001E-2</v>
      </c>
      <c r="B5" s="21" t="s">
        <v>212</v>
      </c>
      <c r="C5" s="21" t="s">
        <v>213</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activeCell="B7" sqref="B7"/>
    </sheetView>
  </sheetViews>
  <sheetFormatPr defaultRowHeight="15" x14ac:dyDescent="0.25"/>
  <cols>
    <col min="1" max="2" width="80.28515625" bestFit="1" customWidth="1"/>
    <col min="3" max="6" width="38.28515625" bestFit="1" customWidth="1"/>
  </cols>
  <sheetData>
    <row r="1" spans="1:6" x14ac:dyDescent="0.25">
      <c r="A1" t="s">
        <v>62</v>
      </c>
      <c r="B1" t="s">
        <v>63</v>
      </c>
      <c r="C1" t="s">
        <v>64</v>
      </c>
      <c r="D1" t="s">
        <v>230</v>
      </c>
      <c r="E1" t="s">
        <v>231</v>
      </c>
      <c r="F1" t="s">
        <v>232</v>
      </c>
    </row>
    <row r="2" spans="1:6" x14ac:dyDescent="0.25">
      <c r="A2" s="21" t="s">
        <v>233</v>
      </c>
      <c r="B2" s="21" t="s">
        <v>233</v>
      </c>
      <c r="C2" s="21" t="s">
        <v>234</v>
      </c>
      <c r="D2" s="21" t="s">
        <v>235</v>
      </c>
      <c r="E2" s="21" t="s">
        <v>236</v>
      </c>
      <c r="F2" s="21" t="s">
        <v>237</v>
      </c>
    </row>
    <row r="3" spans="1:6" x14ac:dyDescent="0.25">
      <c r="A3" s="21" t="s">
        <v>238</v>
      </c>
      <c r="B3" s="21" t="s">
        <v>238</v>
      </c>
      <c r="C3" s="21" t="s">
        <v>238</v>
      </c>
      <c r="D3" s="21" t="s">
        <v>238</v>
      </c>
      <c r="E3" s="21" t="s">
        <v>238</v>
      </c>
      <c r="F3" s="21" t="s">
        <v>238</v>
      </c>
    </row>
    <row r="4" spans="1:6" x14ac:dyDescent="0.25">
      <c r="A4" s="21" t="s">
        <v>239</v>
      </c>
      <c r="B4" s="21" t="s">
        <v>239</v>
      </c>
      <c r="C4" s="21" t="s">
        <v>240</v>
      </c>
      <c r="D4" s="21" t="s">
        <v>245</v>
      </c>
      <c r="E4" s="21" t="s">
        <v>241</v>
      </c>
      <c r="F4" s="21" t="s">
        <v>242</v>
      </c>
    </row>
    <row r="5" spans="1:6" x14ac:dyDescent="0.25">
      <c r="A5" s="21" t="s">
        <v>243</v>
      </c>
      <c r="B5" s="21" t="s">
        <v>243</v>
      </c>
      <c r="C5" s="21" t="s">
        <v>244</v>
      </c>
      <c r="D5" s="21" t="s">
        <v>396</v>
      </c>
      <c r="E5" s="21" t="s">
        <v>241</v>
      </c>
      <c r="F5" s="21" t="s">
        <v>242</v>
      </c>
    </row>
    <row r="6" spans="1:6" x14ac:dyDescent="0.25">
      <c r="A6" s="21" t="s">
        <v>246</v>
      </c>
      <c r="B6" s="21" t="s">
        <v>246</v>
      </c>
      <c r="C6" s="21" t="s">
        <v>247</v>
      </c>
      <c r="D6" s="21" t="s">
        <v>245</v>
      </c>
      <c r="E6" s="21" t="s">
        <v>241</v>
      </c>
      <c r="F6" s="21" t="s">
        <v>248</v>
      </c>
    </row>
    <row r="7" spans="1:6" x14ac:dyDescent="0.25">
      <c r="A7" s="21" t="s">
        <v>249</v>
      </c>
      <c r="B7" s="21" t="s">
        <v>249</v>
      </c>
      <c r="C7" s="21" t="s">
        <v>250</v>
      </c>
      <c r="D7" s="21" t="s">
        <v>396</v>
      </c>
      <c r="E7" s="21" t="s">
        <v>241</v>
      </c>
      <c r="F7" s="21" t="s">
        <v>248</v>
      </c>
    </row>
    <row r="8" spans="1:6" x14ac:dyDescent="0.25">
      <c r="A8" s="21" t="s">
        <v>251</v>
      </c>
      <c r="B8" s="21" t="s">
        <v>251</v>
      </c>
      <c r="C8" s="21" t="s">
        <v>252</v>
      </c>
      <c r="D8" s="21" t="s">
        <v>245</v>
      </c>
      <c r="E8" s="21" t="s">
        <v>241</v>
      </c>
      <c r="F8" s="21" t="s">
        <v>248</v>
      </c>
    </row>
    <row r="9" spans="1:6" x14ac:dyDescent="0.25">
      <c r="A9" s="21" t="s">
        <v>253</v>
      </c>
      <c r="B9" s="21" t="s">
        <v>253</v>
      </c>
      <c r="C9" s="21" t="s">
        <v>254</v>
      </c>
      <c r="D9" s="21" t="s">
        <v>396</v>
      </c>
      <c r="E9" s="21" t="s">
        <v>241</v>
      </c>
      <c r="F9" s="21" t="s">
        <v>248</v>
      </c>
    </row>
    <row r="10" spans="1:6" x14ac:dyDescent="0.25">
      <c r="A10" s="21" t="s">
        <v>255</v>
      </c>
      <c r="B10" s="21" t="s">
        <v>255</v>
      </c>
      <c r="C10" s="21" t="s">
        <v>255</v>
      </c>
      <c r="D10" s="21" t="s">
        <v>255</v>
      </c>
      <c r="E10" s="21" t="s">
        <v>255</v>
      </c>
      <c r="F10" s="21" t="s">
        <v>255</v>
      </c>
    </row>
    <row r="11" spans="1:6" x14ac:dyDescent="0.25">
      <c r="A11" s="21" t="s">
        <v>256</v>
      </c>
      <c r="B11" s="21" t="s">
        <v>256</v>
      </c>
      <c r="C11" s="21" t="s">
        <v>257</v>
      </c>
      <c r="D11" s="21" t="s">
        <v>397</v>
      </c>
      <c r="E11" s="21" t="s">
        <v>241</v>
      </c>
      <c r="F11" s="21" t="s">
        <v>242</v>
      </c>
    </row>
    <row r="12" spans="1:6" x14ac:dyDescent="0.25">
      <c r="A12" s="21" t="s">
        <v>258</v>
      </c>
      <c r="B12" s="21" t="s">
        <v>258</v>
      </c>
      <c r="C12" s="21" t="s">
        <v>259</v>
      </c>
      <c r="D12" s="21" t="s">
        <v>398</v>
      </c>
      <c r="E12" s="21" t="s">
        <v>241</v>
      </c>
      <c r="F12" s="21" t="s">
        <v>242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heetViews>
  <sheetFormatPr defaultRowHeight="15" x14ac:dyDescent="0.25"/>
  <cols>
    <col min="1" max="1" width="19.5703125" bestFit="1" customWidth="1"/>
    <col min="2" max="2" width="7.28515625" bestFit="1" customWidth="1"/>
    <col min="3" max="3" width="7.140625" bestFit="1" customWidth="1"/>
  </cols>
  <sheetData>
    <row r="1" spans="1:2" x14ac:dyDescent="0.25">
      <c r="B1" t="s">
        <v>59</v>
      </c>
    </row>
    <row r="2" spans="1:2" x14ac:dyDescent="0.25">
      <c r="A2" t="s">
        <v>31</v>
      </c>
      <c r="B2" s="34">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103</v>
      </c>
    </row>
    <row r="2" spans="1:4" x14ac:dyDescent="0.25">
      <c r="B2" t="s">
        <v>104</v>
      </c>
      <c r="C2" t="s">
        <v>105</v>
      </c>
      <c r="D2" t="s">
        <v>106</v>
      </c>
    </row>
    <row r="3" spans="1:4" x14ac:dyDescent="0.25">
      <c r="A3" t="s">
        <v>107</v>
      </c>
      <c r="B3" t="s">
        <v>567</v>
      </c>
      <c r="C3" t="s">
        <v>568</v>
      </c>
      <c r="D3" t="s">
        <v>108</v>
      </c>
    </row>
    <row r="4" spans="1:4" x14ac:dyDescent="0.25">
      <c r="B4" t="s">
        <v>109</v>
      </c>
      <c r="C4" t="s">
        <v>109</v>
      </c>
      <c r="D4" t="s">
        <v>109</v>
      </c>
    </row>
    <row r="5" spans="1:4" x14ac:dyDescent="0.25">
      <c r="B5" t="s">
        <v>110</v>
      </c>
      <c r="C5" t="s">
        <v>110</v>
      </c>
      <c r="D5" t="s">
        <v>110</v>
      </c>
    </row>
    <row r="6" spans="1:4" x14ac:dyDescent="0.25">
      <c r="A6" t="s">
        <v>111</v>
      </c>
      <c r="B6" t="s">
        <v>112</v>
      </c>
      <c r="C6" t="s">
        <v>108</v>
      </c>
      <c r="D6" t="s">
        <v>113</v>
      </c>
    </row>
    <row r="7" spans="1:4" x14ac:dyDescent="0.25">
      <c r="B7" t="s">
        <v>109</v>
      </c>
      <c r="C7" t="s">
        <v>109</v>
      </c>
      <c r="D7" t="s">
        <v>109</v>
      </c>
    </row>
    <row r="8" spans="1:4" x14ac:dyDescent="0.25">
      <c r="B8" t="s">
        <v>110</v>
      </c>
      <c r="C8" t="s">
        <v>110</v>
      </c>
      <c r="D8" t="s">
        <v>110</v>
      </c>
    </row>
    <row r="11" spans="1:4" s="1" customFormat="1" x14ac:dyDescent="0.25">
      <c r="A11" s="1" t="s">
        <v>114</v>
      </c>
    </row>
    <row r="12" spans="1:4" x14ac:dyDescent="0.25">
      <c r="B12" t="s">
        <v>486</v>
      </c>
    </row>
    <row r="19" spans="1:2" s="1" customFormat="1" x14ac:dyDescent="0.25">
      <c r="A19" s="1" t="s">
        <v>61</v>
      </c>
    </row>
    <row r="20" spans="1:2" x14ac:dyDescent="0.25">
      <c r="B20" t="s">
        <v>486</v>
      </c>
    </row>
    <row r="35" spans="1:2" s="1" customFormat="1" x14ac:dyDescent="0.25">
      <c r="A35" s="1" t="s">
        <v>116</v>
      </c>
    </row>
    <row r="37" spans="1:2" x14ac:dyDescent="0.25">
      <c r="A37" t="s">
        <v>117</v>
      </c>
      <c r="B37" t="s">
        <v>486</v>
      </c>
    </row>
    <row r="44" spans="1:2" s="1" customFormat="1" x14ac:dyDescent="0.25">
      <c r="A44" s="1" t="s">
        <v>118</v>
      </c>
    </row>
    <row r="45" spans="1:2" x14ac:dyDescent="0.25">
      <c r="A45" t="s">
        <v>119</v>
      </c>
      <c r="B45" t="s">
        <v>486</v>
      </c>
    </row>
    <row r="48" spans="1:2" x14ac:dyDescent="0.25">
      <c r="A48" t="s">
        <v>120</v>
      </c>
      <c r="B48" t="s">
        <v>486</v>
      </c>
    </row>
    <row r="55" spans="1:2" s="1" customFormat="1" x14ac:dyDescent="0.25">
      <c r="A55" s="1" t="s">
        <v>121</v>
      </c>
    </row>
    <row r="56" spans="1:2" x14ac:dyDescent="0.25">
      <c r="B56" t="s">
        <v>486</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activeCell="C13" sqref="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276</v>
      </c>
      <c r="B1" t="s">
        <v>530</v>
      </c>
      <c r="C1" t="s">
        <v>311</v>
      </c>
    </row>
    <row r="2" spans="1:3" x14ac:dyDescent="0.25">
      <c r="A2" s="20">
        <v>41151</v>
      </c>
      <c r="B2" s="45">
        <v>1.35E-2</v>
      </c>
    </row>
    <row r="3" spans="1:3" x14ac:dyDescent="0.25">
      <c r="A3" s="20">
        <v>41213</v>
      </c>
      <c r="B3" s="45">
        <v>1.4E-2</v>
      </c>
    </row>
    <row r="4" spans="1:3" x14ac:dyDescent="0.25">
      <c r="A4" s="20">
        <v>42212</v>
      </c>
      <c r="B4" s="45">
        <v>1.2999999999999999E-2</v>
      </c>
    </row>
    <row r="5" spans="1:3" x14ac:dyDescent="0.25">
      <c r="A5" s="20">
        <v>42397</v>
      </c>
      <c r="B5" s="45">
        <v>1.2E-2</v>
      </c>
    </row>
    <row r="6" spans="1:3" x14ac:dyDescent="0.25">
      <c r="A6" s="20">
        <v>42402</v>
      </c>
      <c r="B6" s="45">
        <v>1.0500000000000001E-2</v>
      </c>
    </row>
    <row r="7" spans="1:3" x14ac:dyDescent="0.25">
      <c r="A7" s="20">
        <v>42649</v>
      </c>
      <c r="B7" s="45">
        <v>8.9999999999999993E-3</v>
      </c>
    </row>
    <row r="8" spans="1:3" x14ac:dyDescent="0.25">
      <c r="A8" s="20">
        <v>42850</v>
      </c>
      <c r="B8" s="45">
        <v>0.01</v>
      </c>
    </row>
    <row r="9" spans="1:3" x14ac:dyDescent="0.25">
      <c r="A9" s="20">
        <v>42886</v>
      </c>
      <c r="B9" s="45">
        <v>1.4999999999999999E-2</v>
      </c>
    </row>
    <row r="10" spans="1:3" x14ac:dyDescent="0.25">
      <c r="A10" s="20">
        <v>42978</v>
      </c>
      <c r="B10" s="45">
        <v>0.01</v>
      </c>
    </row>
    <row r="11" spans="1:3" x14ac:dyDescent="0.25">
      <c r="A11" s="20">
        <v>43125</v>
      </c>
      <c r="B11" s="45">
        <v>1.15E-2</v>
      </c>
    </row>
    <row r="12" spans="1:3" x14ac:dyDescent="0.25">
      <c r="A12" s="20">
        <v>43301</v>
      </c>
      <c r="B12" s="45">
        <v>1.35E-2</v>
      </c>
    </row>
    <row r="13" spans="1:3" x14ac:dyDescent="0.25">
      <c r="A13" s="20">
        <v>43410</v>
      </c>
      <c r="B13" s="45">
        <v>1.6E-2</v>
      </c>
      <c r="C13">
        <v>1000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TD_rates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HomeTrust_rates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2019-07-09T18:19:49Z</dcterms:modified>
  <cp:category/>
  <cp:contentStatus/>
</cp:coreProperties>
</file>