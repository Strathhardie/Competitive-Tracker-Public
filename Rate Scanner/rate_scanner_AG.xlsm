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tables/table29.xml" ContentType="application/vnd.openxmlformats-officedocument.spreadsheetml.table+xml"/>
  <Override PartName="/xl/queryTables/queryTable28.xml" ContentType="application/vnd.openxmlformats-officedocument.spreadsheetml.queryTable+xml"/>
  <Override PartName="/xl/tables/table30.xml" ContentType="application/vnd.openxmlformats-officedocument.spreadsheetml.table+xml"/>
  <Override PartName="/xl/queryTables/queryTable29.xml" ContentType="application/vnd.openxmlformats-officedocument.spreadsheetml.queryTable+xml"/>
  <Override PartName="/xl/tables/table31.xml" ContentType="application/vnd.openxmlformats-officedocument.spreadsheetml.table+xml"/>
  <Override PartName="/xl/queryTables/queryTable30.xml" ContentType="application/vnd.openxmlformats-officedocument.spreadsheetml.queryTable+xml"/>
  <Override PartName="/xl/tables/table32.xml" ContentType="application/vnd.openxmlformats-officedocument.spreadsheetml.table+xml"/>
  <Override PartName="/xl/queryTables/queryTable31.xml" ContentType="application/vnd.openxmlformats-officedocument.spreadsheetml.queryTable+xml"/>
  <Override PartName="/xl/tables/table33.xml" ContentType="application/vnd.openxmlformats-officedocument.spreadsheetml.table+xml"/>
  <Override PartName="/xl/queryTables/queryTable32.xml" ContentType="application/vnd.openxmlformats-officedocument.spreadsheetml.queryTable+xml"/>
  <Override PartName="/xl/tables/table34.xml" ContentType="application/vnd.openxmlformats-officedocument.spreadsheetml.table+xml"/>
  <Override PartName="/xl/queryTables/queryTable33.xml" ContentType="application/vnd.openxmlformats-officedocument.spreadsheetml.queryTable+xml"/>
  <Override PartName="/xl/tables/table35.xml" ContentType="application/vnd.openxmlformats-officedocument.spreadsheetml.table+xml"/>
  <Override PartName="/xl/queryTables/queryTable34.xml" ContentType="application/vnd.openxmlformats-officedocument.spreadsheetml.queryTable+xml"/>
  <Override PartName="/xl/tables/table36.xml" ContentType="application/vnd.openxmlformats-officedocument.spreadsheetml.table+xml"/>
  <Override PartName="/xl/queryTables/queryTable35.xml" ContentType="application/vnd.openxmlformats-officedocument.spreadsheetml.queryTable+xml"/>
  <Override PartName="/xl/tables/table37.xml" ContentType="application/vnd.openxmlformats-officedocument.spreadsheetml.table+xml"/>
  <Override PartName="/xl/queryTables/queryTable36.xml" ContentType="application/vnd.openxmlformats-officedocument.spreadsheetml.queryTable+xml"/>
  <Override PartName="/xl/tables/table38.xml" ContentType="application/vnd.openxmlformats-officedocument.spreadsheetml.table+xml"/>
  <Override PartName="/xl/queryTables/queryTable37.xml" ContentType="application/vnd.openxmlformats-officedocument.spreadsheetml.queryTable+xml"/>
  <Override PartName="/xl/tables/table39.xml" ContentType="application/vnd.openxmlformats-officedocument.spreadsheetml.table+xml"/>
  <Override PartName="/xl/queryTables/queryTable38.xml" ContentType="application/vnd.openxmlformats-officedocument.spreadsheetml.queryTable+xml"/>
  <Override PartName="/xl/tables/table40.xml" ContentType="application/vnd.openxmlformats-officedocument.spreadsheetml.table+xml"/>
  <Override PartName="/xl/queryTables/queryTable3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Gjinaj\Desktop\"/>
    </mc:Choice>
  </mc:AlternateContent>
  <xr:revisionPtr revIDLastSave="0" documentId="8_{44A90E73-BF1A-4242-BD4F-2DBCFBA7AEEC}" xr6:coauthVersionLast="41" xr6:coauthVersionMax="41" xr10:uidLastSave="{00000000-0000-0000-0000-000000000000}"/>
  <bookViews>
    <workbookView xWindow="255" yWindow="0" windowWidth="10710" windowHeight="10755" tabRatio="931" firstSheet="6" activeTab="20"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Sheet13" sheetId="73" r:id="rId8"/>
    <sheet name="Sheet12" sheetId="72" r:id="rId9"/>
    <sheet name="Sheet11" sheetId="71" r:id="rId10"/>
    <sheet name="Sheet10" sheetId="70" r:id="rId11"/>
    <sheet name="Sheet9" sheetId="69" r:id="rId12"/>
    <sheet name="Sheet8" sheetId="68" r:id="rId13"/>
    <sheet name="Sheet7" sheetId="67" r:id="rId14"/>
    <sheet name="Sheet6" sheetId="66" r:id="rId15"/>
    <sheet name="Sheet5" sheetId="65" r:id="rId16"/>
    <sheet name="Sheet4" sheetId="64" r:id="rId17"/>
    <sheet name="Sheet3" sheetId="63" r:id="rId18"/>
    <sheet name="Sheet1" sheetId="61" r:id="rId19"/>
    <sheet name="Sheet2" sheetId="62" r:id="rId20"/>
    <sheet name="BNS_Rates" sheetId="60" r:id="rId21"/>
    <sheet name="Simplii_rates" sheetId="20" r:id="rId22"/>
    <sheet name="NBC_rates" sheetId="22" r:id="rId23"/>
    <sheet name="HSBC_rates" sheetId="32" r:id="rId24"/>
    <sheet name="B2B_rates" sheetId="28" r:id="rId25"/>
    <sheet name="Meridian_rates" sheetId="33" r:id="rId26"/>
    <sheet name="Altamira_rates" sheetId="37" r:id="rId27"/>
    <sheet name="HomeTrust_rates" sheetId="59" r:id="rId28"/>
    <sheet name="EQ_rates" sheetId="39" r:id="rId29"/>
    <sheet name="ICICI_rates" sheetId="21" r:id="rId30"/>
    <sheet name="CT_rates" sheetId="5" r:id="rId31"/>
    <sheet name="TD_rates" sheetId="12" r:id="rId32"/>
    <sheet name="RBC_Rates" sheetId="41" r:id="rId33"/>
    <sheet name="Manulife_rates" sheetId="23" r:id="rId34"/>
  </sheets>
  <functionGroups builtInGroupCount="19"/>
  <definedNames>
    <definedName name="ExternalData_1" localSheetId="26" hidden="1">Altamira_rates!$A$1:$F$12</definedName>
    <definedName name="ExternalData_1" localSheetId="24" hidden="1">B2B_rates!$B$1:$E$8</definedName>
    <definedName name="ExternalData_1" localSheetId="20" hidden="1">BNS_Rates!$B$1:$J$36</definedName>
    <definedName name="ExternalData_1" localSheetId="30" hidden="1">CT_rates!$A$1:$B$2</definedName>
    <definedName name="ExternalData_1" localSheetId="28" hidden="1">EQ_rates!$B$1:$B$2</definedName>
    <definedName name="ExternalData_1" localSheetId="27" hidden="1">HomeTrust_rates!$A$1:$B$13</definedName>
    <definedName name="ExternalData_1" localSheetId="23" hidden="1">HSBC_rates!$B$1:$C$5</definedName>
    <definedName name="ExternalData_1" localSheetId="29" hidden="1">ICICI_rates!$B$2:$D$9</definedName>
    <definedName name="ExternalData_1" localSheetId="25" hidden="1">Meridian_rates!$A$1:$C$5</definedName>
    <definedName name="ExternalData_1" localSheetId="22" hidden="1">NBC_rates!$B$1:$C$28</definedName>
    <definedName name="ExternalData_1" localSheetId="21" hidden="1">Simplii_rates!$B$10:$C$12</definedName>
    <definedName name="ExternalData_1" localSheetId="31" hidden="1">TD_rates!$B$2:$C$26</definedName>
    <definedName name="ExternalData_10" localSheetId="16" hidden="1">Sheet4!$A$1:$B$3</definedName>
    <definedName name="ExternalData_11" localSheetId="15" hidden="1">Sheet5!$A$1:$B$3</definedName>
    <definedName name="ExternalData_12" localSheetId="32" hidden="1">RBC_Rates!$B$1:$D$7</definedName>
    <definedName name="ExternalData_12" localSheetId="14" hidden="1">Sheet6!$A$1:$B$3</definedName>
    <definedName name="ExternalData_12" localSheetId="31" hidden="1">TD_rates!$B$39:$F$44</definedName>
    <definedName name="ExternalData_13" localSheetId="32" hidden="1">RBC_Rates!$B$12:$C$168</definedName>
    <definedName name="ExternalData_13" localSheetId="13" hidden="1">Sheet7!$A$1:$B$4</definedName>
    <definedName name="ExternalData_14" localSheetId="12" hidden="1">Sheet8!$A$1:$B$3</definedName>
    <definedName name="ExternalData_14" localSheetId="31" hidden="1">TD_rates!$B$29:$C$35</definedName>
    <definedName name="ExternalData_15" localSheetId="5" hidden="1">CIBC_rates!$B$20:$C$22</definedName>
    <definedName name="ExternalData_15" localSheetId="11" hidden="1">Sheet9!$A$1:$B$7</definedName>
    <definedName name="ExternalData_16" localSheetId="5" hidden="1">CIBC_rates!$B$24:$B$25</definedName>
    <definedName name="ExternalData_16" localSheetId="10" hidden="1">Sheet10!$A$1:$B$6</definedName>
    <definedName name="ExternalData_17" localSheetId="9" hidden="1">Sheet11!$A$1:$B$3</definedName>
    <definedName name="ExternalData_18" localSheetId="8" hidden="1">Sheet12!$A$1:$B$3</definedName>
    <definedName name="ExternalData_19" localSheetId="7" hidden="1">Sheet13!$A$1:$B$3</definedName>
    <definedName name="ExternalData_2" localSheetId="5" hidden="1">CIBC_rates!$B$1:$C$13</definedName>
    <definedName name="ExternalData_2" localSheetId="23" hidden="1">HSBC_rates!$B$9:$G$13</definedName>
    <definedName name="ExternalData_2" localSheetId="33" hidden="1">Manulife_rates!$B$1:$C$4</definedName>
    <definedName name="ExternalData_4" localSheetId="33" hidden="1">Manulife_rates!$B$16:$B$17</definedName>
    <definedName name="ExternalData_5" localSheetId="33" hidden="1">Manulife_rates!$B$6:$C$13</definedName>
    <definedName name="ExternalData_6" localSheetId="33" hidden="1">Manulife_rates!$C$16:$C$17</definedName>
    <definedName name="ExternalData_7" localSheetId="20" hidden="1">BNS_Rates!$B$39:$D$41</definedName>
    <definedName name="ExternalData_8" localSheetId="18" hidden="1">Sheet1!$A$1:$H$6</definedName>
    <definedName name="ExternalData_8" localSheetId="19" hidden="1">Sheet2!$A$1:$V$36</definedName>
    <definedName name="ExternalData_9" localSheetId="17" hidden="1">Sheet3!$A$1:$D$3</definedName>
    <definedName name="Query___BMO___SBA_SSA_PRSA" localSheetId="6" hidden="1">BMO_rates!$B$1:$C$14</definedName>
    <definedName name="Query___Column1" localSheetId="28"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L22" i="60" l="1"/>
  <c r="L23" i="60"/>
  <c r="L24" i="60"/>
  <c r="L25" i="60"/>
  <c r="L26" i="60"/>
  <c r="L27" i="60"/>
  <c r="L28" i="60"/>
  <c r="L29" i="60"/>
  <c r="L30" i="60"/>
  <c r="L31" i="60"/>
  <c r="L3" i="60"/>
  <c r="L4" i="60"/>
  <c r="L5" i="60"/>
  <c r="L6" i="60"/>
  <c r="L7" i="60"/>
  <c r="L8" i="60"/>
  <c r="L9" i="60"/>
  <c r="L10" i="60"/>
  <c r="L11" i="60"/>
  <c r="L12" i="60"/>
  <c r="L13" i="60"/>
  <c r="L14" i="60"/>
  <c r="L15" i="60"/>
  <c r="L16" i="60"/>
  <c r="L17" i="60"/>
  <c r="L18" i="60"/>
  <c r="L19" i="60"/>
  <c r="L20" i="60"/>
  <c r="L21" i="60"/>
  <c r="L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6540E806-83F6-4EEC-B739-02123A145F1F}" keepAlive="1" name="Query - Table 0" description="Connection to the 'Table 0' query in the workbook." type="5" refreshedVersion="6" background="1" saveData="1">
    <dbPr connection="Provider=Microsoft.Mashup.OleDb.1;Data Source=$Workbook$;Location=Table 0;Extended Properties=&quot;&quot;" command="SELECT * FROM [Table 0]"/>
  </connection>
  <connection id="33" xr16:uid="{67A12C64-2D02-4E98-98C2-A8D596D57647}" keepAlive="1" name="Query - Table 0 (2)" description="Connection to the 'Table 0 (2)' query in the workbook." type="5" refreshedVersion="6" background="1" saveData="1">
    <dbPr connection="Provider=Microsoft.Mashup.OleDb.1;Data Source=$Workbook$;Location=Table 0 (2);Extended Properties=&quot;&quot;" command="SELECT * FROM [Table 0 (2)]"/>
  </connection>
  <connection id="34" xr16:uid="{BE77C6B5-3925-4635-9418-850663A64C6F}" keepAlive="1" name="Query - Table 1" description="Connection to the 'Table 1' query in the workbook." type="5" refreshedVersion="6" background="1" saveData="1">
    <dbPr connection="Provider=Microsoft.Mashup.OleDb.1;Data Source=$Workbook$;Location=Table 1;Extended Properties=&quot;&quot;" command="SELECT * FROM [Table 1]"/>
  </connection>
  <connection id="35" xr16:uid="{9A18E3E8-656E-4C83-9F75-CBDB8A20E0F3}" keepAlive="1" name="Query - Table 10" description="Connection to the 'Table 10' query in the workbook." type="5" refreshedVersion="6" background="1" saveData="1">
    <dbPr connection="Provider=Microsoft.Mashup.OleDb.1;Data Source=$Workbook$;Location=Table 10;Extended Properties=&quot;&quot;" command="SELECT * FROM [Table 10]"/>
  </connection>
  <connection id="36" xr16:uid="{CEE0BC45-B2DE-4CB7-9C92-B1C1B19963B2}" keepAlive="1" name="Query - Table 11" description="Connection to the 'Table 11' query in the workbook." type="5" refreshedVersion="6" background="1" saveData="1">
    <dbPr connection="Provider=Microsoft.Mashup.OleDb.1;Data Source=$Workbook$;Location=Table 11;Extended Properties=&quot;&quot;" command="SELECT * FROM [Table 11]"/>
  </connection>
  <connection id="37" xr16:uid="{3642625C-3283-4314-A006-6766422F9BAA}" keepAlive="1" name="Query - Table 2" description="Connection to the 'Table 2' query in the workbook." type="5" refreshedVersion="6" background="1" saveData="1">
    <dbPr connection="Provider=Microsoft.Mashup.OleDb.1;Data Source=$Workbook$;Location=Table 2;Extended Properties=&quot;&quot;" command="SELECT * FROM [Table 2]"/>
  </connection>
  <connection id="38" xr16:uid="{15B731EE-BB5D-44F9-9875-89CE415FD1DA}" keepAlive="1" name="Query - Table 3" description="Connection to the 'Table 3' query in the workbook." type="5" refreshedVersion="6" background="1" saveData="1">
    <dbPr connection="Provider=Microsoft.Mashup.OleDb.1;Data Source=$Workbook$;Location=Table 3;Extended Properties=&quot;&quot;" command="SELECT * FROM [Table 3]"/>
  </connection>
  <connection id="39" xr16:uid="{A680CEE5-BE54-401D-B3BF-690B58FEDD0E}" keepAlive="1" name="Query - Table 4" description="Connection to the 'Table 4' query in the workbook." type="5" refreshedVersion="6" background="1" saveData="1">
    <dbPr connection="Provider=Microsoft.Mashup.OleDb.1;Data Source=$Workbook$;Location=Table 4;Extended Properties=&quot;&quot;" command="SELECT * FROM [Table 4]"/>
  </connection>
  <connection id="40" xr16:uid="{167958BF-91AC-4E86-A313-88D27C2B1C10}" keepAlive="1" name="Query - Table 5" description="Connection to the 'Table 5' query in the workbook." type="5" refreshedVersion="6" background="1" saveData="1">
    <dbPr connection="Provider=Microsoft.Mashup.OleDb.1;Data Source=$Workbook$;Location=Table 5;Extended Properties=&quot;&quot;" command="SELECT * FROM [Table 5]"/>
  </connection>
  <connection id="41" xr16:uid="{344D3FF7-80EA-4B7D-81D6-B4C22EBFE387}" keepAlive="1" name="Query - Table 6" description="Connection to the 'Table 6' query in the workbook." type="5" refreshedVersion="6" background="1" saveData="1">
    <dbPr connection="Provider=Microsoft.Mashup.OleDb.1;Data Source=$Workbook$;Location=Table 6;Extended Properties=&quot;&quot;" command="SELECT * FROM [Table 6]"/>
  </connection>
  <connection id="42" xr16:uid="{2760C9F8-C58A-4FA2-AEA1-D8E80DC92151}" keepAlive="1" name="Query - Table 7" description="Connection to the 'Table 7' query in the workbook." type="5" refreshedVersion="6" background="1" saveData="1">
    <dbPr connection="Provider=Microsoft.Mashup.OleDb.1;Data Source=$Workbook$;Location=Table 7;Extended Properties=&quot;&quot;" command="SELECT * FROM [Table 7]"/>
  </connection>
  <connection id="43" xr16:uid="{5F82EE75-D92F-4D91-A67F-E68C4092A66E}" keepAlive="1" name="Query - Table 8" description="Connection to the 'Table 8' query in the workbook." type="5" refreshedVersion="6" background="1" saveData="1">
    <dbPr connection="Provider=Microsoft.Mashup.OleDb.1;Data Source=$Workbook$;Location=Table 8;Extended Properties=&quot;&quot;" command="SELECT * FROM [Table 8]"/>
  </connection>
  <connection id="44" xr16:uid="{E085F569-EEE4-42A6-8C2E-DADAE5AF82C9}" keepAlive="1" name="Query - Table 9" description="Connection to the 'Table 9' query in the workbook." type="5" refreshedVersion="6" background="1" saveData="1">
    <dbPr connection="Provider=Microsoft.Mashup.OleDb.1;Data Source=$Workbook$;Location=Table 9;Extended Properties=&quot;&quot;" command="SELECT * FROM [Table 9]"/>
  </connection>
  <connection id="45"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46"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47"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48"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<sst xmlns="http://schemas.openxmlformats.org/spreadsheetml/2006/main" count="1262" uniqueCount="564">
  <si>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</si>
  <si>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</si>
  <si>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</si>
  <si>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</si>
  <si>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</si>
  <si>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</si>
  <si>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</si>
  <si>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</si>
  <si>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</si>
  <si>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</si>
  <si>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</si>
  <si>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</si>
  <si>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</si>
  <si>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</si>
  <si>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</si>
  <si>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</si>
  <si>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</si>
  <si>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</si>
  <si>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</si>
  <si>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</si>
  <si>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</si>
  <si>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</si>
  <si>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</si>
  <si>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</si>
  <si>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</si>
  <si>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</si>
  <si>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</si>
  <si>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</si>
  <si>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</si>
  <si>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</si>
  <si>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</si>
  <si>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</si>
  <si>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</si>
  <si>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</si>
  <si>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</si>
  <si>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</si>
  <si>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</si>
  <si>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</si>
  <si>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</si>
  <si>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</si>
  <si>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</si>
  <si>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</si>
  <si>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</si>
  <si>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</si>
  <si>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</si>
  <si>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</si>
  <si>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</si>
  <si>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</si>
  <si>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</si>
  <si>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</si>
  <si>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</si>
  <si>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</si>
  <si>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</si>
  <si>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</si>
  <si>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</si>
  <si>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</si>
  <si>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</si>
  <si>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</si>
  <si>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</si>
  <si>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</si>
  <si>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</si>
  <si>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</si>
  <si>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</si>
  <si>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</si>
  <si>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</si>
  <si>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</si>
  <si>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</si>
  <si>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</si>
  <si>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</si>
  <si>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</si>
  <si>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</si>
  <si>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</si>
  <si>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</si>
  <si>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</si>
  <si>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</si>
  <si>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</si>
  <si>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</si>
  <si>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</si>
  <si>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</si>
  <si>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</si>
  <si>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</si>
  <si>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</si>
  <si>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</si>
  <si>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</si>
  <si>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</si>
  <si>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</si>
  <si>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</si>
  <si>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</si>
  <si>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</si>
  <si>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</si>
  <si>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</si>
  <si>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</si>
  <si>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</si>
  <si>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</si>
  <si>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</si>
  <si>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</si>
  <si>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</si>
  <si>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</si>
  <si>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</si>
  <si>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</si>
  <si>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</si>
  <si>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</si>
  <si>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</si>
  <si>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</si>
  <si>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</si>
  <si>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</si>
  <si>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</si>
  <si>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</si>
  <si>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</si>
  <si>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</si>
  <si>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</si>
  <si>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</si>
  <si>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</si>
  <si>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</si>
  <si>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</si>
  <si>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</si>
  <si>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</si>
  <si>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</si>
  <si>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</si>
  <si>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</si>
  <si>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</si>
  <si>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</si>
  <si>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</si>
  <si>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</si>
  <si>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</si>
  <si>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</si>
  <si>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</si>
  <si>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</si>
  <si>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</si>
  <si>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</si>
  <si>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</si>
  <si>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</si>
  <si>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</si>
  <si>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</si>
  <si>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</si>
  <si>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</si>
  <si>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</si>
  <si>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</si>
  <si>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</si>
  <si>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</si>
  <si>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</si>
  <si>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</si>
  <si>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</si>
  <si>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</si>
  <si>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</si>
  <si>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</si>
  <si>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</si>
  <si>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</si>
  <si>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</si>
  <si>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</si>
  <si>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</si>
  <si>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</si>
  <si>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</si>
  <si>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</si>
  <si>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</si>
  <si>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</si>
  <si>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</si>
  <si>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</si>
  <si>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</si>
  <si>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</si>
  <si>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</si>
  <si>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</si>
  <si>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</si>
  <si>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</si>
  <si>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</si>
  <si>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</si>
  <si>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</si>
  <si>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</si>
  <si>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</si>
  <si>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</si>
  <si>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</si>
  <si>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</si>
  <si>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</si>
  <si>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</si>
  <si>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</si>
  <si>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</si>
  <si>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</si>
  <si>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</si>
  <si>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</si>
  <si>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</si>
  <si>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</si>
  <si>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</si>
  <si>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</si>
  <si>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</si>
  <si>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</si>
  <si>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</si>
  <si>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</si>
  <si>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</si>
  <si>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</si>
  <si>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</si>
  <si>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</si>
  <si>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</si>
  <si>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</si>
  <si>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</si>
  <si>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</si>
  <si>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</si>
  <si>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</si>
  <si>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</si>
  <si>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</si>
  <si>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</si>
  <si>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</si>
  <si>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</si>
  <si>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</si>
  <si>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</si>
  <si>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</si>
  <si>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</si>
  <si>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</si>
  <si>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</si>
  <si>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</si>
  <si>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</si>
  <si>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</si>
  <si>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</si>
  <si>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</si>
  <si>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</si>
  <si>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</si>
  <si>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</si>
  <si>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</si>
  <si>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</si>
  <si>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</si>
  <si>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</si>
  <si>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</si>
  <si>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</si>
  <si>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</si>
  <si>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</si>
  <si>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</si>
  <si>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</si>
  <si>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</si>
  <si>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</si>
  <si>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</si>
  <si>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</si>
  <si>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</si>
  <si>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</si>
  <si>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</si>
  <si>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</si>
  <si>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</si>
  <si>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</si>
  <si>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</si>
  <si>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</si>
  <si>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</si>
  <si>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</si>
  <si>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</si>
  <si>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</si>
  <si>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</si>
  <si>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</si>
  <si>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</si>
  <si>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</si>
  <si>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</si>
  <si>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</si>
  <si>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</si>
  <si>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</si>
  <si>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</si>
  <si>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</si>
  <si>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</si>
  <si>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</si>
  <si>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</si>
  <si>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</si>
  <si>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</si>
  <si>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</si>
  <si>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</si>
  <si>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</si>
  <si>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</si>
  <si>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</si>
  <si>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</si>
  <si>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</si>
  <si>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</si>
  <si>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</si>
  <si>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</si>
  <si>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</si>
  <si>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</si>
  <si>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</si>
  <si>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</si>
  <si>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</si>
  <si>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</si>
  <si>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</si>
  <si>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</si>
  <si>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</si>
  <si>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</si>
  <si>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</si>
  <si>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</si>
  <si>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</si>
  <si>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</si>
  <si>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</si>
  <si>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</si>
  <si>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</si>
  <si>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</si>
  <si>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</si>
  <si>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</si>
  <si>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</si>
  <si>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</si>
  <si>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</si>
  <si>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</si>
  <si>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</si>
  <si>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</si>
  <si>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</si>
  <si>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</si>
  <si>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</si>
  <si>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</si>
  <si>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</si>
  <si>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</si>
  <si>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</si>
  <si>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</si>
  <si>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</si>
  <si>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</si>
  <si>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</si>
  <si>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</si>
  <si>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</si>
  <si>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</si>
  <si>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</si>
  <si>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</si>
  <si>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</si>
  <si>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</si>
  <si>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</si>
  <si>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</si>
  <si>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</si>
  <si>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</si>
  <si>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</si>
  <si>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</si>
  <si>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</si>
  <si>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</si>
  <si>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</si>
  <si>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</si>
  <si>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</si>
  <si>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</si>
  <si>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</si>
  <si>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</si>
  <si>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</si>
  <si>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</si>
  <si>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</si>
  <si>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</si>
  <si>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</si>
  <si>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</si>
  <si>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</si>
  <si>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</si>
  <si>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</si>
  <si>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</si>
  <si>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</si>
  <si>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</si>
  <si>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</si>
  <si>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</si>
  <si>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</si>
  <si>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</si>
  <si>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</si>
  <si>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</si>
  <si>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</si>
  <si>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</si>
  <si>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</si>
  <si>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</si>
  <si>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</si>
  <si>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</si>
  <si>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</si>
  <si>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</si>
  <si>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</si>
  <si>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</si>
  <si>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</si>
  <si>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</si>
  <si>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</si>
  <si>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</si>
  <si>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</si>
  <si>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</si>
  <si>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</si>
  <si>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</si>
  <si>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</si>
  <si>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</si>
  <si>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</si>
  <si>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</si>
  <si>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</si>
  <si>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</si>
  <si>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</si>
  <si>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</si>
  <si>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</si>
  <si>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</si>
  <si>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</si>
  <si>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</si>
  <si>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</si>
  <si>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</si>
  <si>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</si>
  <si>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</si>
  <si>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</si>
  <si>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</si>
  <si>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</si>
  <si>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</si>
  <si>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</si>
  <si>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</si>
  <si>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</si>
  <si>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</si>
  <si>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</si>
  <si>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</si>
  <si>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</si>
  <si>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</si>
  <si>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</si>
  <si>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</si>
  <si>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</si>
  <si>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</si>
  <si>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</si>
  <si>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</si>
  <si>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</si>
  <si>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</si>
  <si>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</si>
  <si>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</si>
  <si>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</si>
  <si>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</si>
  <si>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</si>
  <si>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</si>
  <si>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</si>
  <si>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</si>
  <si>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</si>
  <si>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</si>
  <si>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</si>
  <si>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</si>
  <si>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</si>
  <si>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</si>
  <si>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</si>
  <si>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</si>
  <si>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</si>
  <si>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</si>
  <si>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</si>
  <si>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</si>
  <si>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</si>
  <si>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</si>
  <si>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</si>
  <si>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</si>
  <si>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</si>
  <si>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</si>
  <si>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</si>
  <si>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</si>
  <si>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</si>
  <si>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</si>
  <si>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</si>
  <si>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</si>
  <si>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</si>
  <si>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</si>
  <si>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</si>
  <si>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</si>
  <si>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</si>
  <si>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</si>
  <si>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</si>
  <si>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</si>
  <si>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</si>
  <si>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</si>
  <si>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</si>
  <si>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</si>
  <si>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</si>
  <si>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</si>
  <si>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</si>
  <si>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</si>
  <si>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</si>
  <si>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</si>
  <si>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</si>
  <si>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</si>
  <si>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</si>
  <si>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</si>
  <si>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</si>
  <si>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</si>
  <si>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</si>
  <si>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</si>
  <si>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</si>
  <si>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</si>
  <si>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</si>
  <si>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</si>
  <si>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</si>
  <si>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</si>
  <si>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</si>
  <si>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</si>
  <si>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</si>
  <si>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</si>
  <si>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</si>
  <si>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</si>
  <si>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</si>
  <si>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</si>
  <si>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</si>
  <si>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</si>
  <si>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</si>
  <si>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</si>
  <si>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</si>
  <si>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</si>
  <si>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</si>
  <si>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</si>
  <si>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</si>
  <si>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</si>
  <si>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</si>
  <si>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</si>
  <si>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</si>
  <si>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</si>
  <si>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</si>
  <si>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</si>
  <si>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</si>
  <si>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</si>
  <si>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</si>
  <si>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</si>
  <si>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</si>
  <si>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</si>
  <si>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</si>
  <si>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</si>
  <si>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</si>
  <si>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</si>
  <si>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</si>
  <si>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</si>
  <si>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</si>
  <si>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</si>
  <si>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</si>
  <si>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</si>
  <si>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</si>
  <si>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</si>
  <si>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High Interest Savings Account (HISA)2</t>
  </si>
  <si>
    <t>Business High Interest Savings Account (Business HISA)2 (no longer available for sale)</t>
  </si>
  <si>
    <t>Data.Column1</t>
  </si>
  <si>
    <t>Data.Column2</t>
  </si>
  <si>
    <t>Daily balance</t>
  </si>
  <si>
    <t>Annual rate</t>
  </si>
  <si>
    <t>1.15%</t>
  </si>
  <si>
    <t>Regular Interest Rate*</t>
  </si>
  <si>
    <t>Premium Interest Rate ††</t>
  </si>
  <si>
    <t>For Preferred Package
 Customers Interest Rate Boost in addition to Regular Interest Rate4</t>
  </si>
  <si>
    <t>For Preferred Package
 Customers Total Annual Interest Rate</t>
  </si>
  <si>
    <t>For Ultimate Package
 Customers Interest Rate Boost in addition to Regular Interest Rate5</t>
  </si>
  <si>
    <t>For Ultimate Package
 Customers Total Annual Interest Rate</t>
  </si>
  <si>
    <t>0.500%</t>
  </si>
  <si>
    <t>0.600%</t>
  </si>
  <si>
    <t>0.800%</t>
  </si>
  <si>
    <t>1.000%</t>
  </si>
  <si>
    <t>The longer you save, the more interest you can earn</t>
  </si>
  <si>
    <t>Higher rate will be paid on the entire balance if the balance exceeds $5,000</t>
  </si>
  <si>
    <t>Momentum Savings Premium‡</t>
  </si>
  <si>
    <t>Annual interest rate is paid on the entire  balance based on the tier within which the  daily account closing balance falls</t>
  </si>
  <si>
    <t>Annual Interest Rate*</t>
  </si>
  <si>
    <t>Highest rate will be paid on the entire balance  as it increases.</t>
  </si>
  <si>
    <t>Paid on the portion of the balance within each tier</t>
  </si>
  <si>
    <t>Paid on the entire balance  if balance exceeds $25,000</t>
  </si>
  <si>
    <t>Annual Interest Rate*†</t>
  </si>
  <si>
    <t>Paid on the entire balance  if balance exceeds $5,000</t>
  </si>
  <si>
    <t>Annual Interest Rate on account with balances:*</t>
  </si>
  <si>
    <t>Annual Interest Rate (2)</t>
  </si>
  <si>
    <t>Rate will be paid on entire balance</t>
  </si>
  <si>
    <t>Annual Interest Rate (3)</t>
  </si>
  <si>
    <t>Not eligible</t>
  </si>
  <si>
    <t>[Permission Error] Credentials are required to connect to the Web source. You'll need to refresh and provide credentials to continue. (Source at https://www.cibc.com/en/interest-rates/personal-bank-account-rates.html.)</t>
  </si>
  <si>
    <t>[Permission Error] Credentials are required to connect to the Web source. You'll need to refresh and provide credentials to continue. (Source at https://www.bmo.com/main/personal/bank-accounts/savings/interest-rates.)</t>
  </si>
  <si>
    <t>Table_8</t>
  </si>
  <si>
    <t>Table_9</t>
  </si>
  <si>
    <t>Table_7</t>
  </si>
  <si>
    <t>Table_6</t>
  </si>
  <si>
    <t>Table_5</t>
  </si>
  <si>
    <t>Table_4</t>
  </si>
  <si>
    <t>Table_3</t>
  </si>
  <si>
    <t>Table_2</t>
  </si>
  <si>
    <t>Table_11</t>
  </si>
  <si>
    <t>Table_10</t>
  </si>
  <si>
    <t>Table_1</t>
  </si>
  <si>
    <t>Table_0</t>
  </si>
  <si>
    <t>Table_0__2</t>
  </si>
  <si>
    <t>BNS_Savings_Accounts</t>
  </si>
  <si>
    <t>BNS_Cash_Optimizer_Investment</t>
  </si>
  <si>
    <t>[Permission Error] Credentials are required to connect to the Web source. You'll need to refresh and provide credentials to continue. (Source at https://www.simplii.com/en/rates/high-interest-savings-account-rates.html.)</t>
  </si>
  <si>
    <t>[Permission Error] Credentials are required to connect to the Web source. You'll need to refresh and provide credentials to continue. (Source at https://www.nbc.ca/en/rates-and-analysis/interest-rates-and-returns/bank-accounts.html.)</t>
  </si>
  <si>
    <t>[Permission Error] Credentials are required to connect to the Web source. You'll need to refresh and provide credentials to continue. (Source at https://www.hsbc.ca/1/2/personal/banking/accounts/savings-accounts/savings-accounts-rates.)</t>
  </si>
  <si>
    <t>[Permission Error] Credentials are required to connect to the Web source. You'll need to refresh and provide credentials to continue. (Source at https://www.hsbc.ca/savings-accounts/rates.)</t>
  </si>
  <si>
    <t>[Permission Error] Credentials are required to connect to the Web source. You'll need to refresh and provide credentials to continue. (Source at https://b2bbank.com/en/rates/banking-rates.)</t>
  </si>
  <si>
    <t>[Permission Error] Credentials are required to connect to the Web source. You'll need to refresh and provide credentials to continue. (Source at https://www.eqbank.ca/personal-banking/features-rates.)</t>
  </si>
  <si>
    <t>0.60% p.a.</t>
  </si>
  <si>
    <t>[Permission Error] Credentials are required to connect to the Web source. You'll need to refresh and provide credentials to continue. (Source at https://www.tdcanadatrust.com/products-services/banking/accounts/account-rates.jsp.)</t>
  </si>
  <si>
    <t>[Permission Error] Credentials are required to connect to the Web source. You'll need to refresh and provide credentials to continue. (Source at https://www.td.com/ca/en/asset-management/additional-solutions.)</t>
  </si>
  <si>
    <t>[Permission Error] Credentials are required to connect to the Web source. You'll need to refresh and provide credentials to continue. (Source at https://www.rbcroyalbank.com/products/isa/index.html.)</t>
  </si>
  <si>
    <t>[Permission Error] Credentials are required to connect to the Web source. You'll need to refresh and provide credentials to continue. (Source at https://www.rbcroyalbank.com/rates/persacct.html.)</t>
  </si>
  <si>
    <t>[Permission Error] Credentials are required to connect to the Web source. You'll need to refresh and provide credentials to continue. (Source at https://manulifebank.ca/current-rates.html.)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</si>
</sst>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5">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xf numFmtId="0" fontId="3" fillId="13" borderId="1" xfId="0" applyFont="1" applyFill="1" applyBorder="1" applyAlignment="1">
      <alignment horizontal="center"/>
    </xf>
  </cellXfs>
  <cellStyles count="2">
    <cellStyle name="Normal" xfId="0" builtinId="0"/>
    <cellStyle name="Percent" xfId="1" builtinId="5"/>
  </cellStyles>
  <dxfs count="66">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9" connectionId="43" xr16:uid="{B1594951-ADF4-4D6F-AE4D-28087A78EAAC}" autoFormatId="16" applyNumberFormats="0" applyBorderFormats="0" applyFontFormats="0" applyPatternFormats="0" applyAlignmentFormats="0" applyWidthHeightFormats="0">
  <queryTableRefresh nextId="3">
    <queryTableFields count="2">
      <queryTableField id="1" name="Paid on the entire balance  if balance exceeds $5,000" tableColumnId="1"/>
      <queryTableField id="2" name="Annual Interest Rate*"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8" connectionId="44" xr16:uid="{E15CF163-4A16-4303-8567-126D9BE35692}" autoFormatId="16" applyNumberFormats="0" applyBorderFormats="0" applyFontFormats="0" applyPatternFormats="0" applyAlignmentFormats="0" applyWidthHeightFormats="0">
  <queryTableRefresh nextId="3">
    <queryTableFields count="2">
      <queryTableField id="1" name="Paid on the entire balance  if balance exceeds $25,000" tableColumnId="1"/>
      <queryTableField id="2" name="Annual Interest Rate*†"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7" connectionId="42" xr16:uid="{9AB2884D-D1F3-4589-842C-0D088F8F6DFA}" autoFormatId="16" applyNumberFormats="0" applyBorderFormats="0" applyFontFormats="0" applyPatternFormats="0" applyAlignmentFormats="0" applyWidthHeightFormats="0">
  <queryTableRefresh nextId="3">
    <queryTableFields count="2">
      <queryTableField id="1" name="Annual interest rate is paid on the entire  balance based on the tier within which the  daily account closing balance falls" tableColumnId="1"/>
      <queryTableField id="2" name="Annual Interest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6" connectionId="41" xr16:uid="{C6FCE15A-AE1C-4B88-9865-69AAA50B2B11}"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5" connectionId="40" xr16:uid="{4A67142A-ADB2-44A1-BCD6-B5D4EEAF593C}"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4" connectionId="39" xr16:uid="{EF425C13-F194-4DE5-8B90-E013F7C7CA5D}"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3" connectionId="38" xr16:uid="{C0C8E5D6-6386-414E-A48A-E461566FCEF9}"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2" connectionId="37" xr16:uid="{44D0FEC3-0F6D-4D09-B918-AC78B810C846}" autoFormatId="16" applyNumberFormats="0" applyBorderFormats="0" applyFontFormats="0" applyPatternFormats="0" applyAlignmentFormats="0" applyWidthHeightFormats="0">
  <queryTableRefresh nextId="3">
    <queryTableFields count="2">
      <queryTableField id="1" name="Annual interest rate is paid on the entire  balance based on the tier within which the  daily account closing balance falls" tableColumnId="1"/>
      <queryTableField id="2" name="Annual Interest Rat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1" connectionId="36" xr16:uid="{D117E8BB-2D89-4FEC-80C2-9EC7820E6FC2}" autoFormatId="16" applyNumberFormats="0" applyBorderFormats="0" applyFontFormats="0" applyPatternFormats="0" applyAlignmentFormats="0" applyWidthHeightFormats="0">
  <queryTableRefresh nextId="3">
    <queryTableFields count="2">
      <queryTableField id="1" name="Rate will be paid on entire balance" tableColumnId="1"/>
      <queryTableField id="2" name="Annual Interest Rate (3)"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0" connectionId="35" xr16:uid="{67F7AA37-5E2F-4484-9E1F-9337348DA056}" autoFormatId="16" applyNumberFormats="0" applyBorderFormats="0" applyFontFormats="0" applyPatternFormats="0" applyAlignmentFormats="0" applyWidthHeightFormats="0">
  <queryTableRefresh nextId="3">
    <queryTableFields count="2">
      <queryTableField id="1" name="Annual Interest Rate on account with balances:*" tableColumnId="1"/>
      <queryTableField id="2" name="Annual Interest Rate (2)"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9" connectionId="34" xr16:uid="{39CABB6A-6A28-40DC-B6AF-B30388D321D8}" autoFormatId="16" applyNumberFormats="0" applyBorderFormats="0" applyFontFormats="0" applyPatternFormats="0" applyAlignmentFormats="0" applyWidthHeightFormats="0">
  <queryTableRefresh nextId="5">
    <queryTableFields count="4">
      <queryTableField id="1" name="Higher rate will be paid on the entire balance if the balance exceeds $5,000" tableColumnId="1"/>
      <queryTableField id="2" name="Regular Interest Rate" tableColumnId="2"/>
      <queryTableField id="3" name="Momentum Savings Premium‡" tableColumnId="3"/>
      <queryTableField id="4" name="Total Annual Interest R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8" connectionId="32" xr16:uid="{9F6B538E-C8CB-4CC5-BA82-DB0200CDE34E}" autoFormatId="16" applyNumberFormats="0" applyBorderFormats="0" applyFontFormats="0" applyPatternFormats="0" applyAlignmentFormats="0" applyWidthHeightFormats="0">
  <queryTableRefresh nextId="11">
    <queryTableFields count="8">
      <queryTableField id="1" name="Account Balance" tableColumnId="1"/>
      <queryTableField id="2" name="Regular Interest Rate*" tableColumnId="2"/>
      <queryTableField id="9" name="Premium Interest Rate" tableColumnId="9"/>
      <queryTableField id="4" name="Total Annual Interest Rate" tableColumnId="4"/>
      <queryTableField id="5" name="For Preferred Package_x000a__x000a_ Customers Interest Rate Boost in addition to Regular Interest Rate4" tableColumnId="5"/>
      <queryTableField id="6" name="For Preferred Package_x000a__x000a_ Customers Total Annual Interest Rate" tableColumnId="6"/>
      <queryTableField id="7" name="For Ultimate Package_x000a__x000a_ Customers Interest Rate Boost in addition to Regular Interest Rate5" tableColumnId="7"/>
      <queryTableField id="8" name="For Ultimate Package_x000a__x000a_ Customers Total Annual Interest Rate" tableColumnId="8"/>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8" connectionId="33" xr16:uid="{DDF97664-8774-42F9-9963-1D656F5168FB}" autoFormatId="16" applyNumberFormats="0" applyBorderFormats="0" applyFontFormats="0" applyPatternFormats="0" applyAlignmentFormats="0" applyWidthHeightFormats="0">
  <queryTableRefresh nextId="23">
    <queryTableFields count="22">
      <queryTableField id="1" name="The longer you save, the more interest you can earn" tableColumnId="1"/>
      <queryTableField id="2" name="Regular Interest Rate*" tableColumnId="2"/>
      <queryTableField id="3" name="Premium Interest Rate ††" tableColumnId="3"/>
      <queryTableField id="4" name="Total Annual Interest Rate" tableColumnId="4"/>
      <queryTableField id="5" name="For Preferred Package_x000a__x000a_ Customers Interest Rate Boost in addition to Regular Interest Rate4" tableColumnId="5"/>
      <queryTableField id="6" name="For Preferred Package_x000a__x000a_ Customers Total Annual Interest Rate" tableColumnId="6"/>
      <queryTableField id="7" name="For Ultimate Package_x000a__x000a_ Customers Interest Rate Boost in addition to Regular Interest Rate5" tableColumnId="7"/>
      <queryTableField id="8" name="For Ultimate Package_x000a__x000a_ Customers Total Annual Interest Rate" tableColumnId="8"/>
      <queryTableField id="9" name="Higher rate will be paid on the entire balance if the balance exceeds $5,000" tableColumnId="9"/>
      <queryTableField id="10" name="Regular Interest Rate" tableColumnId="10"/>
      <queryTableField id="11" name="Momentum Savings Premium‡" tableColumnId="11"/>
      <queryTableField id="12" name="Annual interest rate is paid on the entire  balance based on the tier within which the  daily account closing balance falls" tableColumnId="12"/>
      <queryTableField id="13" name="Annual Interest Rate*" tableColumnId="13"/>
      <queryTableField id="14" name="Highest rate will be paid on the entire balance  as it increases." tableColumnId="14"/>
      <queryTableField id="15" name="Paid on the portion of the balance within each tier" tableColumnId="15"/>
      <queryTableField id="16" name="Paid on the entire balance  if balance exceeds $25,000" tableColumnId="16"/>
      <queryTableField id="17" name="Annual Interest Rate*†" tableColumnId="17"/>
      <queryTableField id="18" name="Paid on the entire balance  if balance exceeds $5,000" tableColumnId="18"/>
      <queryTableField id="19" name="Annual Interest Rate on account with balances:*" tableColumnId="19"/>
      <queryTableField id="20" name="Annual Interest Rate (2)" tableColumnId="20"/>
      <queryTableField id="21" name="Rate will be paid on entire balance" tableColumnId="21"/>
      <queryTableField id="22" name="Annual Interest Rate (3)" tableColumnId="2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12">
    <queryTableFields count="9">
      <queryTableField id="1" name="Account Balance" tableColumnId="1"/>
      <queryTableField id="4" name="Total Annual Interest Rate" tableColumnId="4"/>
      <queryTableField id="2" name="Regular Interest Rate" tableColumnId="2"/>
      <queryTableField id="3" name="Premium Interest Rate" tableColumnId="3"/>
      <queryTableField id="6" name="Regular Interest Rate*" tableColumnId="5"/>
      <queryTableField id="8" name="For Preferred Package_x000a__x000a_ Customers Interest Rate Boost in addition to Regular Interest Rate4" tableColumnId="7"/>
      <queryTableField id="9" name="For Preferred Package_x000a__x000a_ Customers Total Annual Interest Rate" tableColumnId="8"/>
      <queryTableField id="10" name="For Ultimate Package_x000a__x000a_ Customers Interest Rate Boost in addition to Regular Interest Rate5" tableColumnId="9"/>
      <queryTableField id="11" name="For Ultimate Package_x000a__x000a_ Customers Total Annual Interest Rate" tableColumnId="10"/>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6"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45"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48"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65" dataDxfId="64">
  <autoFilter ref="A3:D7" xr:uid="{3B004F2E-6CE8-48E1-A8CC-1DA6CD38B36C}"/>
  <tableColumns count="4">
    <tableColumn id="1" xr3:uid="{19A4ADB4-65C8-405B-8D69-E238ABA928F0}" name="Date" dataDxfId="63"/>
    <tableColumn id="2" xr3:uid="{F6FEA65B-FF28-42C9-8CC9-61F4CED1B86F}" name="Summary of changes" dataDxfId="62"/>
    <tableColumn id="3" xr3:uid="{B7F57500-225B-47B0-ACC8-DA347AD03334}" name="Change Author" dataDxfId="61"/>
    <tableColumn id="4" xr3:uid="{F323205A-8543-43A5-8E3B-3D09061A12DB}" name="Author AD ID" dataDxfId="60"/>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59"/>
    <tableColumn id="2" xr3:uid="{DD1044A9-F59B-46D0-8718-6C3BDE63183C}" uniqueName="2" name="Data.Rate" queryTableFieldId="2" dataDxfId="5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4"/>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57"/>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47321F3-5642-4189-B369-54967B9A9102}" name="Table_8" displayName="Table_8" ref="A1:B3" tableType="queryTable" totalsRowShown="0">
  <autoFilter ref="A1:B3" xr:uid="{26BB9462-1767-4538-9872-EFAB7623F432}"/>
  <tableColumns count="2">
    <tableColumn id="1" xr3:uid="{7B97AC32-31AD-4AE6-ACAC-766620D0C545}" uniqueName="1" name="Paid on the entire balance  if balance exceeds $5,000" queryTableFieldId="1" dataDxfId="56"/>
    <tableColumn id="2" xr3:uid="{8816528E-D03B-4601-A0F7-9A53E03D06EC}" uniqueName="2" name="Annual Interest Rate*"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9E3E7D6-3524-441E-829F-5BB8A1BE6CDA}" name="Table_9" displayName="Table_9" ref="A1:B3" tableType="queryTable" totalsRowShown="0">
  <autoFilter ref="A1:B3" xr:uid="{942A662F-C41D-4AB6-B520-7B3C9D74CC91}"/>
  <tableColumns count="2">
    <tableColumn id="1" xr3:uid="{7039A269-B548-4D27-9B0F-B0541A707DCE}" uniqueName="1" name="Paid on the entire balance  if balance exceeds $25,000" queryTableFieldId="1" dataDxfId="55"/>
    <tableColumn id="2" xr3:uid="{38EF996E-D627-4417-9082-165A38EB2761}" uniqueName="2" name="Annual Interest Rate*†"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A0C0C57-7775-4A8D-BF80-0E3A24C34D9A}" name="Table_7" displayName="Table_7" ref="A1:B3" tableType="queryTable" totalsRowShown="0">
  <autoFilter ref="A1:B3" xr:uid="{DB664924-2FAC-44CA-BE8D-8B02E45EEA4C}"/>
  <tableColumns count="2">
    <tableColumn id="1" xr3:uid="{43AA480C-55DC-4F97-845B-ACCDB7894361}" uniqueName="1" name="Annual interest rate is paid on the entire  balance based on the tier within which the  daily account closing balance falls" queryTableFieldId="1" dataDxfId="54"/>
    <tableColumn id="2" xr3:uid="{F815585D-8D51-4054-B4B5-F92D26D3DDAA}" uniqueName="2" name="Annual Interest Rate*" queryTableFieldId="2"/>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457B68E2-6EB3-4328-9D18-7BB9A3328EEB}" name="Table_6" displayName="Table_6" ref="A1:B6" tableType="queryTable" totalsRowShown="0">
  <autoFilter ref="A1:B6" xr:uid="{F20B0B65-4B95-41B9-BF0F-4B8DABF160DE}"/>
  <tableColumns count="2">
    <tableColumn id="1" xr3:uid="{CA42772F-103C-4B0B-ACC7-32384529C1D7}" uniqueName="1" name="Paid on the portion of the balance within each tier" queryTableFieldId="1" dataDxfId="53"/>
    <tableColumn id="2" xr3:uid="{022AB047-85C2-48BA-949E-0B3F7A86CD2A}" uniqueName="2" name="Annual Interest Rate*"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D213641-837D-4640-AAFC-D3D79DDF2EA3}" name="Table_5" displayName="Table_5" ref="A1:B7" tableType="queryTable" totalsRowShown="0">
  <autoFilter ref="A1:B7" xr:uid="{5F635218-12B4-476D-AEC6-8663A7806874}"/>
  <tableColumns count="2">
    <tableColumn id="1" xr3:uid="{7BB76DB2-CDF3-4857-A399-E115563CE4BC}" uniqueName="1" name="Paid on the portion of the balance within each tier" queryTableFieldId="1" dataDxfId="52"/>
    <tableColumn id="2" xr3:uid="{494A7829-7B6D-426B-8F7A-DE74A35CBE80}" uniqueName="2" name="Annual Interest Rate*"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3175CD3-AC76-406B-822D-E84C47319012}" name="Table_4" displayName="Table_4" ref="A1:B3" tableType="queryTable" totalsRowShown="0">
  <autoFilter ref="A1:B3" xr:uid="{52B48B79-6E3B-4355-9E88-FC041639E48C}"/>
  <tableColumns count="2">
    <tableColumn id="1" xr3:uid="{BB497DBF-94DF-4376-A505-9E9D9E6644AE}" uniqueName="1" name="Highest rate will be paid on the entire balance  as it increases." queryTableFieldId="1" dataDxfId="51"/>
    <tableColumn id="2" xr3:uid="{95CCE79A-9029-488C-9765-275AFFFBEF9C}" uniqueName="2" name="Annual Interest Rate*"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889AD7-DC6B-49EF-B95A-9CE55D399985}" name="Table_3" displayName="Table_3" ref="A1:B4" tableType="queryTable" totalsRowShown="0">
  <autoFilter ref="A1:B4" xr:uid="{50FB4792-2A57-41F6-9AD8-C66F194F7CB0}"/>
  <tableColumns count="2">
    <tableColumn id="1" xr3:uid="{E4B4E203-9DC4-4537-8EFB-5B6F8F99BFD1}" uniqueName="1" name="Highest rate will be paid on the entire balance  as it increases." queryTableFieldId="1" dataDxfId="50"/>
    <tableColumn id="2" xr3:uid="{B8501CF4-79BE-458B-B046-24FAAB4E8F55}" uniqueName="2" name="Annual Interest Rate*"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F2B005-BD6B-4242-9D71-8325A02E42B9}" name="Table_2" displayName="Table_2" ref="A1:B3" tableType="queryTable" totalsRowShown="0">
  <autoFilter ref="A1:B3" xr:uid="{A566E2C2-728E-47BC-BFDD-1644EBE53D22}"/>
  <tableColumns count="2">
    <tableColumn id="1" xr3:uid="{D0B45CDB-8D95-4E55-B713-B8E2E4A37A94}" uniqueName="1" name="Annual interest rate is paid on the entire  balance based on the tier within which the  daily account closing balance falls" queryTableFieldId="1" dataDxfId="49"/>
    <tableColumn id="2" xr3:uid="{6B665109-B76F-42C6-ACEE-5697A153A256}" uniqueName="2" name="Annual Interest Rate*"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E5B0861-146C-46FA-9DC8-AE1C9FA30D76}" name="Table_11" displayName="Table_11" ref="A1:B3" tableType="queryTable" totalsRowShown="0">
  <autoFilter ref="A1:B3" xr:uid="{B50FB7E0-D19E-4F80-88F4-92955D25734A}"/>
  <tableColumns count="2">
    <tableColumn id="1" xr3:uid="{8A70F2FB-8D2B-4447-B9AF-0BF5240DAF98}" uniqueName="1" name="Rate will be paid on entire balance" queryTableFieldId="1" dataDxfId="48"/>
    <tableColumn id="2" xr3:uid="{2F2A649D-D4F1-4B2D-A7FB-879DDF775388}" uniqueName="2" name="Annual Interest Rate (3)" queryTableFieldId="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0BE9119-07F2-4D64-AA12-FEE598C6FDF8}" name="Table_10" displayName="Table_10" ref="A1:B3" tableType="queryTable" totalsRowShown="0">
  <autoFilter ref="A1:B3" xr:uid="{8CFD6ABA-40E1-4B97-86D8-3991DC4ED9DE}"/>
  <tableColumns count="2">
    <tableColumn id="1" xr3:uid="{72AAEA47-DFD1-49E3-88CE-1E37C6D0B591}" uniqueName="1" name="Annual Interest Rate on account with balances:*" queryTableFieldId="1" dataDxfId="47"/>
    <tableColumn id="2" xr3:uid="{B2008D6A-48EE-4218-AAEC-12E3A69557BB}" uniqueName="2" name="Annual Interest Rate (2)"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0B690F5-7CB4-4C96-87E0-66CE35D0A356}" name="Table_1" displayName="Table_1" ref="A1:D3" tableType="queryTable" totalsRowShown="0">
  <autoFilter ref="A1:D3" xr:uid="{A631AB60-F4BF-417F-979C-50655D80332A}"/>
  <tableColumns count="4">
    <tableColumn id="1" xr3:uid="{368D4C5D-256D-4235-9181-3C478270DB03}" uniqueName="1" name="Higher rate will be paid on the entire balance if the balance exceeds $5,000" queryTableFieldId="1" dataDxfId="46"/>
    <tableColumn id="2" xr3:uid="{475F3D03-0928-4155-9108-364E2C328C63}" uniqueName="2" name="Regular Interest Rate" queryTableFieldId="2"/>
    <tableColumn id="3" xr3:uid="{4F26953D-99D9-4713-8DB7-216CCDEB8925}" uniqueName="3" name="Momentum Savings Premium‡" queryTableFieldId="3" dataDxfId="45"/>
    <tableColumn id="4" xr3:uid="{7EBB96BA-6FF1-46C7-AEE9-EF15225ECE4C}" uniqueName="4" name="Total Annual Interest Rate" queryTableFieldId="4"/>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F705C37-A233-46DA-823C-20656E6F84FB}" name="Table_0" displayName="Table_0" ref="A1:H6" tableType="queryTable" totalsRowShown="0">
  <autoFilter ref="A1:H6" xr:uid="{A5799B32-EB4C-4D22-B33C-E46E85A559F8}"/>
  <tableColumns count="8">
    <tableColumn id="1" xr3:uid="{51D47900-B8D0-4331-B406-EEB78B80280E}" uniqueName="1" name="Account Balance" queryTableFieldId="1" dataDxfId="44"/>
    <tableColumn id="2" xr3:uid="{9DA32163-9E86-4B26-933D-CDEE28BBDFEE}" uniqueName="2" name="Regular Interest Rate*" queryTableFieldId="2"/>
    <tableColumn id="9" xr3:uid="{B4AEF80F-D6EB-4A56-A6C8-AF0F9A4A8087}" uniqueName="9" name="Premium Interest Rate" queryTableFieldId="9" dataDxfId="43"/>
    <tableColumn id="4" xr3:uid="{28C6448C-5514-4708-BDBA-760A3228F8DA}" uniqueName="4" name="Total Annual Interest Rate" queryTableFieldId="4"/>
    <tableColumn id="5" xr3:uid="{A43B591D-EDB0-4CD6-A2EA-9987B3C03CDD}" uniqueName="5" name="For Preferred Package_x000a__x000a_ Customers Interest Rate Boost in addition to Regular Interest Rate4" queryTableFieldId="5"/>
    <tableColumn id="6" xr3:uid="{DF4EF7B0-19C7-496F-B527-A1E440AEA497}" uniqueName="6" name="For Preferred Package_x000a__x000a_ Customers Total Annual Interest Rate" queryTableFieldId="6"/>
    <tableColumn id="7" xr3:uid="{C254CF60-75E6-467E-958D-B05A526DE0F3}" uniqueName="7" name="For Ultimate Package_x000a__x000a_ Customers Interest Rate Boost in addition to Regular Interest Rate5" queryTableFieldId="7"/>
    <tableColumn id="8" xr3:uid="{C2AFF018-CADC-40EF-A165-5371D651AE5D}" uniqueName="8" name="For Ultimate Package_x000a__x000a_ Customers Total Annual Interest Rate" queryTableFieldId="8"/>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7FCCB6C-B113-4E38-A7C6-626F46843A86}" name="Table_0__2" displayName="Table_0__2" ref="A1:V36" tableType="queryTable" totalsRowShown="0">
  <autoFilter ref="A1:V36" xr:uid="{04E12898-D5B1-499B-845D-668878735690}"/>
  <tableColumns count="22">
    <tableColumn id="1" xr3:uid="{2ED06AC3-F47D-4BE8-9837-8607F56C30B0}" uniqueName="1" name="The longer you save, the more interest you can earn" queryTableFieldId="1" dataDxfId="42"/>
    <tableColumn id="2" xr3:uid="{C045FD03-DEF4-4C3D-BB65-FD3F09EBF943}" uniqueName="2" name="Regular Interest Rate*" queryTableFieldId="2"/>
    <tableColumn id="3" xr3:uid="{108F9B5D-9B49-4F9A-8E96-503BAF588DA1}" uniqueName="3" name="Premium Interest Rate ††" queryTableFieldId="3" dataDxfId="41"/>
    <tableColumn id="4" xr3:uid="{52FB5EFE-7A3D-4908-961B-2FA3F34106A0}" uniqueName="4" name="Total Annual Interest Rate" queryTableFieldId="4"/>
    <tableColumn id="5" xr3:uid="{4B93CD61-5B7C-4883-8ABA-A7FE2FD50295}" uniqueName="5" name="For Preferred Package_x000a__x000a_ Customers Interest Rate Boost in addition to Regular Interest Rate4" queryTableFieldId="5"/>
    <tableColumn id="6" xr3:uid="{9AF75DEC-CF4D-4CFE-9D94-ACF3A7C9498A}" uniqueName="6" name="For Preferred Package_x000a__x000a_ Customers Total Annual Interest Rate" queryTableFieldId="6"/>
    <tableColumn id="7" xr3:uid="{A5674841-C556-4BEA-9EF7-347EBB7F0A1B}" uniqueName="7" name="For Ultimate Package_x000a__x000a_ Customers Interest Rate Boost in addition to Regular Interest Rate5" queryTableFieldId="7"/>
    <tableColumn id="8" xr3:uid="{9DDB5244-E642-459C-8BC4-CEFFD6E4B557}" uniqueName="8" name="For Ultimate Package_x000a__x000a_ Customers Total Annual Interest Rate" queryTableFieldId="8"/>
    <tableColumn id="9" xr3:uid="{C6EC5DDD-7763-4923-826B-4DEFC8FD7A5A}" uniqueName="9" name="Higher rate will be paid on the entire balance if the balance exceeds $5,000" queryTableFieldId="9" dataDxfId="40"/>
    <tableColumn id="10" xr3:uid="{258587F0-9079-4C76-920B-52B057EF7C01}" uniqueName="10" name="Regular Interest Rate" queryTableFieldId="10"/>
    <tableColumn id="11" xr3:uid="{F1E0409B-5757-447E-AD71-FD040DF965A6}" uniqueName="11" name="Momentum Savings Premium‡" queryTableFieldId="11" dataDxfId="39"/>
    <tableColumn id="12" xr3:uid="{EF856C3D-502C-49D3-86C9-0BBFD76A3226}" uniqueName="12" name="Annual interest rate is paid on the entire  balance based on the tier within which the  daily account closing balance falls" queryTableFieldId="12" dataDxfId="38"/>
    <tableColumn id="13" xr3:uid="{D0E14327-C19E-4910-8900-48F704A6FF93}" uniqueName="13" name="Annual Interest Rate*" queryTableFieldId="13"/>
    <tableColumn id="14" xr3:uid="{08F3E4BC-5BB2-45DF-856E-FC9E3484C2A7}" uniqueName="14" name="Highest rate will be paid on the entire balance  as it increases." queryTableFieldId="14" dataDxfId="37"/>
    <tableColumn id="15" xr3:uid="{A63846AA-E49C-434A-9BC1-0DA33D8D708F}" uniqueName="15" name="Paid on the portion of the balance within each tier" queryTableFieldId="15" dataDxfId="36"/>
    <tableColumn id="16" xr3:uid="{EEA53EA4-D78F-4D2C-96C6-B0FCD41D4DDF}" uniqueName="16" name="Paid on the entire balance  if balance exceeds $25,000" queryTableFieldId="16" dataDxfId="35"/>
    <tableColumn id="17" xr3:uid="{01C47F2E-E227-4E53-9DD5-9CF2A025D8D5}" uniqueName="17" name="Annual Interest Rate*†" queryTableFieldId="17"/>
    <tableColumn id="18" xr3:uid="{76CB67E7-064D-4479-AF93-2E2821017BA0}" uniqueName="18" name="Paid on the entire balance  if balance exceeds $5,000" queryTableFieldId="18" dataDxfId="34"/>
    <tableColumn id="19" xr3:uid="{5BAD9568-F8A9-4AB0-8744-44D285825008}" uniqueName="19" name="Annual Interest Rate on account with balances:*" queryTableFieldId="19" dataDxfId="33"/>
    <tableColumn id="20" xr3:uid="{40B02473-7EF1-4C15-8281-50454404A40B}" uniqueName="20" name="Annual Interest Rate (2)" queryTableFieldId="20"/>
    <tableColumn id="21" xr3:uid="{F89DEF61-B1A2-4E1F-8E7F-5E347B15C681}" uniqueName="21" name="Rate will be paid on entire balance" queryTableFieldId="21" dataDxfId="32"/>
    <tableColumn id="22" xr3:uid="{9D46296A-85E0-4664-8F11-4F2D921A0F9A}" uniqueName="22" name="Annual Interest Rate (3)" queryTableFieldId="2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J36" tableType="queryTable" totalsRowShown="0">
  <autoFilter ref="B1:J36" xr:uid="{A5638233-ACDF-49CD-B63F-B6BE846F2B19}"/>
  <tableColumns count="9">
    <tableColumn id="1" xr3:uid="{2EDC415B-0F70-4FAE-94F6-7566D41029D6}" uniqueName="1" name="Account Balance" queryTableFieldId="1" dataDxfId="3"/>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dataDxfId="2"/>
    <tableColumn id="5" xr3:uid="{6530B05F-7127-45AE-95ED-A01908256D9E}" uniqueName="5" name="Regular Interest Rate*" queryTableFieldId="6"/>
    <tableColumn id="7" xr3:uid="{729161F6-27E9-4254-9A6B-C063B5E956DB}" uniqueName="7" name="For Preferred Package_x000a__x000a_ Customers Interest Rate Boost in addition to Regular Interest Rate4" queryTableFieldId="8"/>
    <tableColumn id="8" xr3:uid="{650F2650-FE35-4FD8-AC4F-457C3BEDE6CE}" uniqueName="8" name="For Preferred Package_x000a__x000a_ Customers Total Annual Interest Rate" queryTableFieldId="9"/>
    <tableColumn id="9" xr3:uid="{8C58729A-0AF6-4A38-98F3-6A64FF8F8428}" uniqueName="9" name="For Ultimate Package_x000a__x000a_ Customers Interest Rate Boost in addition to Regular Interest Rate5" queryTableFieldId="10"/>
    <tableColumn id="10" xr3:uid="{5AEBD617-4125-48BE-A375-B53647F7628E}" uniqueName="10" name="For Ultimate Package_x000a__x000a_ Customers Total Annual Interest Rate" queryTableFieldId="11"/>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1"/>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31"/>
    <tableColumn id="2" xr3:uid="{9BF66593-4977-46DD-B473-78BB7231D59D}" uniqueName="2" name="Rate" queryTableFieldId="5"/>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30"/>
    <tableColumn id="2" xr3:uid="{C5FFA56D-7123-4FD4-98A8-7D3A57DF978E}" uniqueName="2" name="CAD High Rate Savings"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9"/>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8"/>
    <tableColumn id="2" xr3:uid="{D2046F38-483B-420D-B944-6BCD7B2B4D92}" uniqueName="2" name="Column2" queryTableFieldId="10" dataDxfId="27"/>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6"/>
    <tableColumn id="3" xr3:uid="{D2622B16-D1C8-4760-8BD0-953D9FAFA8F1}" uniqueName="3" name="Get Started" queryTableFieldId="3" dataDxfId="25"/>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4"/>
    <tableColumn id="2" xr3:uid="{E833CA69-9186-43DA-874F-48DEFE4DA80F}" uniqueName="2" name="Column2" queryTableFieldId="2" dataDxfId="23"/>
    <tableColumn id="3" xr3:uid="{B093F79F-8E4B-49FF-A371-4731884C2E1B}" uniqueName="3" name="Column3" queryTableFieldId="3" dataDxfId="22"/>
    <tableColumn id="4" xr3:uid="{785FF59B-0966-4865-9D07-9033DADA44AF}" uniqueName="4" name="Column4" queryTableFieldId="4" dataDxfId="21"/>
    <tableColumn id="5" xr3:uid="{C61AE777-3A15-4C02-9B1F-136299A5FAC7}" uniqueName="5" name="Column5" queryTableFieldId="5" dataDxfId="20"/>
    <tableColumn id="6" xr3:uid="{FC09C788-CCE1-4C6F-81DC-01AAACC99B7F}" uniqueName="6" name="Column6" queryTableFieldId="6" dataDxfId="19"/>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8"/>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7" dataCellStyle="Percent">
  <autoFilter ref="B1:B2" xr:uid="{C980BFDA-0405-401E-BCEB-26B225E26F58}"/>
  <tableColumns count="1">
    <tableColumn id="2" xr3:uid="{DE60F904-8EBC-4F28-A839-8683A0C60CD6}" uniqueName="2" name="Rate" queryTableFieldId="2" dataDxfId="16" dataCellStyle="Percent"/>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5"/>
    <tableColumn id="2" xr3:uid="{A70E9728-B118-48A1-BC57-D92BEEC7A685}" uniqueName="2" name="Annual Rates" queryTableFieldId="2"/>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4"/>
    <tableColumn id="2" xr3:uid="{90994A7C-F3A1-4107-BCED-1502CEAAD65A}" uniqueName="2" name="Interest Rate" queryTableFieldId="4"/>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13"/>
    <tableColumn id="2" xr3:uid="{5B7C4811-4C53-41A6-96BF-5389107C4D47}" uniqueName="2" name="Currency" queryTableFieldId="2" dataDxfId="12"/>
    <tableColumn id="3" xr3:uid="{734665F7-5DB2-40AD-BD3B-98FD29CBE168}" uniqueName="3" name="Minimum1" queryTableFieldId="3"/>
    <tableColumn id="4" xr3:uid="{BDB4B9A1-7155-498E-B2E8-661728BDEEFB}" uniqueName="4" name="Maximum" queryTableFieldId="4" dataDxfId="11"/>
    <tableColumn id="5" xr3:uid="{EAF93AB2-FE49-4E47-8DDA-D993804F05B9}" uniqueName="5" name="Current Rate2" queryTableFieldId="5"/>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10"/>
    <tableColumn id="4" xr3:uid="{5AABEE2E-2BF3-4006-B415-E5BEAE632E5A}" uniqueName="4" name="Interest Rate" queryTableFieldId="4" dataDxfId="9"/>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8"/>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7"/>
    <tableColumn id="2" xr3:uid="{1C664E64-3B1D-4B6F-B067-F394E342CE45}" uniqueName="2" name="Interest Rate" queryTableFieldId="2" dataDxfId="6"/>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5">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6.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table" Target="../tables/table33.xml"/><Relationship Id="rId1" Type="http://schemas.openxmlformats.org/officeDocument/2006/relationships/table" Target="../tables/table32.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table" Target="../tables/table35.xml"/></Relationships>
</file>

<file path=xl/worksheets/_rels/sheet34.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table" Target="../tables/table37.xml"/><Relationship Id="rId4" Type="http://schemas.openxmlformats.org/officeDocument/2006/relationships/table" Target="../tables/table4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43"/>
  <sheetViews>
    <sheetView topLeftCell="A3" zoomScaleNormal="100" workbookViewId="0">
      <selection activeCell="B3" sqref="B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269</v>
      </c>
      <c r="E3" s="79" t="s">
        <v>261</v>
      </c>
      <c r="F3" s="80"/>
      <c r="G3" s="80"/>
      <c r="H3" s="80"/>
      <c r="I3" s="81"/>
    </row>
    <row r="4" spans="2:9" x14ac:dyDescent="0.25">
      <c r="B4" s="21"/>
      <c r="E4" s="21" t="s">
        <v>262</v>
      </c>
      <c r="F4" s="21" t="s">
        <v>263</v>
      </c>
      <c r="G4" s="21" t="s">
        <v>264</v>
      </c>
      <c r="H4" s="21" t="s">
        <v>332</v>
      </c>
      <c r="I4" s="21" t="s">
        <v>265</v>
      </c>
    </row>
    <row r="5" spans="2:9" x14ac:dyDescent="0.25">
      <c r="B5" s="32" t="s">
        <v>177</v>
      </c>
      <c r="E5" s="38">
        <v>0</v>
      </c>
      <c r="F5" s="19" t="s">
        <v>318</v>
      </c>
      <c r="G5" s="19" t="s">
        <v>501</v>
      </c>
      <c r="H5" s="19">
        <v>14</v>
      </c>
      <c r="I5" s="19" t="s">
        <v>535</v>
      </c>
    </row>
    <row r="6" spans="2:9" x14ac:dyDescent="0.25">
      <c r="B6" s="33"/>
      <c r="E6" s="38">
        <v>1</v>
      </c>
      <c r="F6" s="19" t="s">
        <v>367</v>
      </c>
      <c r="G6" s="19" t="s">
        <v>266</v>
      </c>
      <c r="H6" s="19">
        <v>2</v>
      </c>
    </row>
    <row r="7" spans="2:9" x14ac:dyDescent="0.25">
      <c r="B7" s="34"/>
      <c r="E7" s="38">
        <v>2</v>
      </c>
      <c r="F7" s="19" t="s">
        <v>436</v>
      </c>
      <c r="G7" s="19" t="s">
        <v>501</v>
      </c>
      <c r="H7" s="19">
        <v>8</v>
      </c>
      <c r="I7" s="19" t="s">
        <v>502</v>
      </c>
    </row>
    <row r="8" spans="2:9" x14ac:dyDescent="0.25">
      <c r="B8" s="35"/>
      <c r="E8" s="38">
        <v>3</v>
      </c>
      <c r="F8" s="19" t="s">
        <v>320</v>
      </c>
      <c r="G8" s="19" t="s">
        <v>501</v>
      </c>
      <c r="H8" s="19">
        <v>7</v>
      </c>
      <c r="I8" s="19" t="s">
        <v>536</v>
      </c>
    </row>
    <row r="9" spans="2:9" x14ac:dyDescent="0.25">
      <c r="B9" s="36"/>
      <c r="E9" s="38">
        <v>4</v>
      </c>
      <c r="F9" s="19" t="s">
        <v>537</v>
      </c>
      <c r="G9" s="19" t="s">
        <v>266</v>
      </c>
      <c r="H9" s="19">
        <v>1</v>
      </c>
    </row>
    <row r="10" spans="2:9" x14ac:dyDescent="0.25">
      <c r="B10" s="32" t="s">
        <v>178</v>
      </c>
      <c r="E10" s="38">
        <v>5</v>
      </c>
      <c r="F10" s="19" t="s">
        <v>538</v>
      </c>
      <c r="G10" s="19" t="s">
        <v>266</v>
      </c>
      <c r="H10" s="19">
        <v>0</v>
      </c>
    </row>
    <row r="11" spans="2:9" x14ac:dyDescent="0.25">
      <c r="B11" s="33"/>
      <c r="E11" s="38">
        <v>6</v>
      </c>
      <c r="F11" s="19" t="s">
        <v>539</v>
      </c>
      <c r="G11" s="19" t="s">
        <v>266</v>
      </c>
      <c r="H11" s="19">
        <v>0</v>
      </c>
    </row>
    <row r="12" spans="2:9" x14ac:dyDescent="0.25">
      <c r="B12" s="34"/>
      <c r="E12" s="38">
        <v>7</v>
      </c>
      <c r="F12" s="19" t="s">
        <v>540</v>
      </c>
      <c r="G12" s="19" t="s">
        <v>266</v>
      </c>
      <c r="H12" s="19">
        <v>0</v>
      </c>
    </row>
    <row r="13" spans="2:9" x14ac:dyDescent="0.25">
      <c r="B13" s="34"/>
      <c r="E13" s="38">
        <v>8</v>
      </c>
      <c r="F13" s="19" t="s">
        <v>541</v>
      </c>
      <c r="G13" s="19" t="s">
        <v>266</v>
      </c>
      <c r="H13" s="19">
        <v>0</v>
      </c>
    </row>
    <row r="14" spans="2:9" x14ac:dyDescent="0.25">
      <c r="B14" s="34"/>
      <c r="E14" s="38">
        <v>9</v>
      </c>
      <c r="F14" s="19" t="s">
        <v>542</v>
      </c>
      <c r="G14" s="19" t="s">
        <v>266</v>
      </c>
      <c r="H14" s="19">
        <v>0</v>
      </c>
    </row>
    <row r="15" spans="2:9" x14ac:dyDescent="0.25">
      <c r="B15" s="34"/>
      <c r="E15" s="38">
        <v>10</v>
      </c>
      <c r="F15" s="19" t="s">
        <v>543</v>
      </c>
      <c r="G15" s="19" t="s">
        <v>266</v>
      </c>
      <c r="H15" s="19">
        <v>1</v>
      </c>
    </row>
    <row r="16" spans="2:9" x14ac:dyDescent="0.25">
      <c r="B16" s="34"/>
      <c r="E16" s="38">
        <v>11</v>
      </c>
      <c r="F16" s="19" t="s">
        <v>544</v>
      </c>
      <c r="G16" s="19" t="s">
        <v>266</v>
      </c>
      <c r="H16" s="19">
        <v>0</v>
      </c>
    </row>
    <row r="17" spans="2:9" x14ac:dyDescent="0.25">
      <c r="B17" s="36"/>
      <c r="E17" s="38">
        <v>12</v>
      </c>
      <c r="F17" s="19" t="s">
        <v>545</v>
      </c>
      <c r="G17" s="19" t="s">
        <v>266</v>
      </c>
      <c r="H17" s="19">
        <v>0</v>
      </c>
    </row>
    <row r="18" spans="2:9" x14ac:dyDescent="0.25">
      <c r="B18" s="32" t="s">
        <v>179</v>
      </c>
      <c r="E18" s="38">
        <v>13</v>
      </c>
      <c r="F18" s="19" t="s">
        <v>546</v>
      </c>
      <c r="G18" s="19" t="s">
        <v>266</v>
      </c>
      <c r="H18" s="19">
        <v>0</v>
      </c>
    </row>
    <row r="19" spans="2:9" x14ac:dyDescent="0.25">
      <c r="B19" s="33"/>
      <c r="E19" s="38">
        <v>14</v>
      </c>
      <c r="F19" s="19" t="s">
        <v>547</v>
      </c>
      <c r="G19" s="19" t="s">
        <v>266</v>
      </c>
      <c r="H19" s="19">
        <v>0</v>
      </c>
    </row>
    <row r="20" spans="2:9" x14ac:dyDescent="0.25">
      <c r="B20" s="34"/>
      <c r="E20" s="38">
        <v>15</v>
      </c>
      <c r="F20" s="19" t="s">
        <v>548</v>
      </c>
      <c r="G20" s="19" t="s">
        <v>266</v>
      </c>
      <c r="H20" s="19">
        <v>0</v>
      </c>
    </row>
    <row r="21" spans="2:9" x14ac:dyDescent="0.25">
      <c r="B21" s="34"/>
      <c r="E21" s="38">
        <v>16</v>
      </c>
      <c r="F21" s="19" t="s">
        <v>549</v>
      </c>
      <c r="G21" s="19" t="s">
        <v>266</v>
      </c>
      <c r="H21" s="19">
        <v>0</v>
      </c>
    </row>
    <row r="22" spans="2:9" x14ac:dyDescent="0.25">
      <c r="B22" s="34"/>
      <c r="E22" s="38">
        <v>17</v>
      </c>
      <c r="F22" s="19" t="s">
        <v>550</v>
      </c>
      <c r="G22" s="19" t="s">
        <v>266</v>
      </c>
      <c r="H22" s="19">
        <v>56</v>
      </c>
    </row>
    <row r="23" spans="2:9" x14ac:dyDescent="0.25">
      <c r="B23" s="35"/>
      <c r="E23" s="38">
        <v>18</v>
      </c>
      <c r="F23" s="19" t="s">
        <v>551</v>
      </c>
      <c r="G23" s="19" t="s">
        <v>266</v>
      </c>
      <c r="H23" s="19">
        <v>52</v>
      </c>
    </row>
    <row r="24" spans="2:9" x14ac:dyDescent="0.25">
      <c r="B24" s="37"/>
      <c r="E24" s="38">
        <v>19</v>
      </c>
      <c r="F24" s="19" t="s">
        <v>437</v>
      </c>
      <c r="G24" s="19" t="s">
        <v>501</v>
      </c>
      <c r="H24" s="19">
        <v>6</v>
      </c>
      <c r="I24" s="19" t="s">
        <v>552</v>
      </c>
    </row>
    <row r="25" spans="2:9" x14ac:dyDescent="0.25">
      <c r="E25" s="38">
        <v>20</v>
      </c>
      <c r="F25" s="19" t="s">
        <v>396</v>
      </c>
      <c r="G25" s="19" t="s">
        <v>501</v>
      </c>
      <c r="H25" s="19">
        <v>4</v>
      </c>
      <c r="I25" s="19" t="s">
        <v>553</v>
      </c>
    </row>
    <row r="26" spans="2:9" x14ac:dyDescent="0.25">
      <c r="E26" s="38">
        <v>21</v>
      </c>
      <c r="F26" s="19" t="s">
        <v>455</v>
      </c>
      <c r="G26" s="19" t="s">
        <v>501</v>
      </c>
      <c r="H26" s="19">
        <v>4</v>
      </c>
      <c r="I26" s="19" t="s">
        <v>554</v>
      </c>
    </row>
    <row r="27" spans="2:9" x14ac:dyDescent="0.25">
      <c r="E27" s="38">
        <v>22</v>
      </c>
      <c r="F27" s="19" t="s">
        <v>456</v>
      </c>
      <c r="G27" s="19" t="s">
        <v>501</v>
      </c>
      <c r="H27" s="19">
        <v>2</v>
      </c>
      <c r="I27" s="19" t="s">
        <v>555</v>
      </c>
    </row>
    <row r="28" spans="2:9" x14ac:dyDescent="0.25">
      <c r="E28" s="38">
        <v>23</v>
      </c>
      <c r="F28" s="19" t="s">
        <v>397</v>
      </c>
      <c r="G28" s="19" t="s">
        <v>501</v>
      </c>
      <c r="H28" s="19">
        <v>3</v>
      </c>
      <c r="I28" s="19" t="s">
        <v>556</v>
      </c>
    </row>
    <row r="29" spans="2:9" x14ac:dyDescent="0.25">
      <c r="E29" s="38">
        <v>24</v>
      </c>
      <c r="F29" s="19" t="s">
        <v>398</v>
      </c>
      <c r="G29" s="19" t="s">
        <v>501</v>
      </c>
      <c r="H29" s="19">
        <v>3</v>
      </c>
      <c r="I29" s="19" t="s">
        <v>502</v>
      </c>
    </row>
    <row r="30" spans="2:9" x14ac:dyDescent="0.25">
      <c r="E30" s="38">
        <v>25</v>
      </c>
      <c r="F30" s="19" t="s">
        <v>399</v>
      </c>
      <c r="G30" s="19" t="s">
        <v>501</v>
      </c>
      <c r="H30" s="19">
        <v>6</v>
      </c>
      <c r="I30" s="19" t="s">
        <v>502</v>
      </c>
    </row>
    <row r="31" spans="2:9" x14ac:dyDescent="0.25">
      <c r="E31" s="38">
        <v>26</v>
      </c>
      <c r="F31" s="19" t="s">
        <v>497</v>
      </c>
      <c r="G31" s="19" t="s">
        <v>501</v>
      </c>
      <c r="H31" s="19">
        <v>4</v>
      </c>
      <c r="I31" s="19" t="s">
        <v>502</v>
      </c>
    </row>
    <row r="32" spans="2:9" x14ac:dyDescent="0.25">
      <c r="E32" s="38">
        <v>27</v>
      </c>
      <c r="F32" s="19" t="s">
        <v>498</v>
      </c>
      <c r="G32" s="19" t="s">
        <v>501</v>
      </c>
      <c r="H32" s="19">
        <v>5</v>
      </c>
      <c r="I32" s="19" t="s">
        <v>557</v>
      </c>
    </row>
    <row r="33" spans="5:9" x14ac:dyDescent="0.25">
      <c r="E33" s="38">
        <v>28</v>
      </c>
      <c r="F33" s="19" t="s">
        <v>499</v>
      </c>
      <c r="G33" s="19" t="s">
        <v>266</v>
      </c>
      <c r="H33" s="19">
        <v>19</v>
      </c>
    </row>
    <row r="34" spans="5:9" x14ac:dyDescent="0.25">
      <c r="E34" s="38">
        <v>29</v>
      </c>
      <c r="F34" s="19" t="s">
        <v>500</v>
      </c>
      <c r="G34" s="19" t="s">
        <v>501</v>
      </c>
      <c r="H34" s="19">
        <v>7</v>
      </c>
      <c r="I34" s="19" t="s">
        <v>502</v>
      </c>
    </row>
    <row r="35" spans="5:9" x14ac:dyDescent="0.25">
      <c r="E35" s="38">
        <v>30</v>
      </c>
      <c r="F35" s="19" t="s">
        <v>319</v>
      </c>
      <c r="G35" s="19" t="s">
        <v>501</v>
      </c>
      <c r="H35" s="19">
        <v>3</v>
      </c>
      <c r="I35" s="19" t="s">
        <v>559</v>
      </c>
    </row>
    <row r="36" spans="5:9" x14ac:dyDescent="0.25">
      <c r="E36" s="38">
        <v>31</v>
      </c>
      <c r="F36" s="19" t="s">
        <v>267</v>
      </c>
      <c r="G36" s="19" t="s">
        <v>501</v>
      </c>
      <c r="H36" s="19">
        <v>4</v>
      </c>
      <c r="I36" s="19" t="s">
        <v>560</v>
      </c>
    </row>
    <row r="37" spans="5:9" x14ac:dyDescent="0.25">
      <c r="E37" s="38">
        <v>32</v>
      </c>
      <c r="F37" s="19" t="s">
        <v>454</v>
      </c>
      <c r="G37" s="19" t="s">
        <v>501</v>
      </c>
      <c r="H37" s="19">
        <v>8</v>
      </c>
      <c r="I37" s="19" t="s">
        <v>559</v>
      </c>
    </row>
    <row r="38" spans="5:9" x14ac:dyDescent="0.25">
      <c r="E38" s="38">
        <v>33</v>
      </c>
      <c r="F38" s="19" t="s">
        <v>392</v>
      </c>
      <c r="G38" s="19" t="s">
        <v>501</v>
      </c>
      <c r="H38" s="19">
        <v>8</v>
      </c>
      <c r="I38" s="19" t="s">
        <v>561</v>
      </c>
    </row>
    <row r="39" spans="5:9" x14ac:dyDescent="0.25">
      <c r="E39" s="38">
        <v>34</v>
      </c>
      <c r="F39" s="19" t="s">
        <v>391</v>
      </c>
      <c r="G39" s="19" t="s">
        <v>501</v>
      </c>
      <c r="H39" s="19">
        <v>3</v>
      </c>
      <c r="I39" s="19" t="s">
        <v>562</v>
      </c>
    </row>
    <row r="40" spans="5:9" x14ac:dyDescent="0.25">
      <c r="E40" s="38">
        <v>35</v>
      </c>
      <c r="F40" s="19" t="s">
        <v>438</v>
      </c>
      <c r="G40" s="19" t="s">
        <v>501</v>
      </c>
      <c r="H40" s="19">
        <v>4</v>
      </c>
      <c r="I40" s="19" t="s">
        <v>563</v>
      </c>
    </row>
    <row r="41" spans="5:9" x14ac:dyDescent="0.25">
      <c r="E41" s="38">
        <v>36</v>
      </c>
      <c r="F41" s="19" t="s">
        <v>416</v>
      </c>
      <c r="G41" s="19" t="s">
        <v>266</v>
      </c>
      <c r="H41" s="19">
        <v>41</v>
      </c>
    </row>
    <row r="42" spans="5:9" x14ac:dyDescent="0.25">
      <c r="E42" s="38">
        <v>37</v>
      </c>
      <c r="F42" s="19" t="s">
        <v>395</v>
      </c>
      <c r="G42" s="19" t="s">
        <v>266</v>
      </c>
      <c r="H42" s="19">
        <v>10</v>
      </c>
    </row>
    <row r="43" spans="5:9" x14ac:dyDescent="0.25">
      <c r="E43" s="38">
        <v>38</v>
      </c>
      <c r="F43" s="19" t="s">
        <v>439</v>
      </c>
      <c r="G43" s="19" t="s">
        <v>266</v>
      </c>
      <c r="H43" s="19">
        <v>3</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B21" sqref="B2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451</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430</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281</v>
      </c>
      <c r="R9" s="49" t="s">
        <v>6</v>
      </c>
      <c r="S9" s="49" t="s">
        <v>344</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433</v>
      </c>
      <c r="I10" s="52" t="s">
        <v>335</v>
      </c>
      <c r="J10" s="53" t="s">
        <v>435</v>
      </c>
      <c r="K10" s="52" t="s">
        <v>336</v>
      </c>
      <c r="L10" s="52" t="s">
        <v>337</v>
      </c>
      <c r="M10" s="52" t="s">
        <v>21</v>
      </c>
      <c r="N10" s="52" t="s">
        <v>338</v>
      </c>
      <c r="O10" s="52" t="s">
        <v>339</v>
      </c>
      <c r="P10" s="52" t="s">
        <v>22</v>
      </c>
      <c r="Q10" s="52" t="s">
        <v>340</v>
      </c>
      <c r="R10" s="52" t="s">
        <v>19</v>
      </c>
      <c r="S10" s="52" t="s">
        <v>341</v>
      </c>
      <c r="T10" s="52" t="s">
        <v>23</v>
      </c>
      <c r="U10" s="52" t="s">
        <v>24</v>
      </c>
      <c r="V10" s="52" t="s">
        <v>434</v>
      </c>
      <c r="W10" s="52" t="s">
        <v>25</v>
      </c>
      <c r="X10" s="52" t="s">
        <v>27</v>
      </c>
      <c r="Y10" s="53" t="s">
        <v>28</v>
      </c>
    </row>
    <row r="11" spans="1:28" x14ac:dyDescent="0.25">
      <c r="A11" s="45" t="s">
        <v>358</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e">
        <f>(BNS_Rates!$D$36)*100 &amp; " + " &amp; (BNS_Rates!$E$35)*100 &amp; ", "&amp; (BNS_Rates!$E$34)*100 &amp; ", "&amp; (BNS_Rates!$E$33)*100 &amp; ", "&amp; (BNS_Rates!$E$32)*100</f>
        <v>#VALUE!</v>
      </c>
      <c r="L11" s="84">
        <f>INDEX(BNS_Rates!$B$28:$L$29,MATCH(VALUE(LEFT(A11,FIND(" ",A11)-1)),BNS_Rates!$L$28:$L$29,1),2)*100</f>
        <v>0.05</v>
      </c>
      <c r="M11" s="84">
        <f>INDEX(BNS_Rates!$B$25:$L$27,MATCH(VALUE(LEFT(A11,FIND(" ",A11)-1)),BNS_Rates!$L$25:$L$27,1),2)*100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v>
      </c>
      <c r="V11" s="43">
        <f>INDEX(HSBC_rates!$B$2:$I$5,MATCH(VALUE(LEFT(A11,FIND(" ",A11)-1)),HSBC_rates!$I$2:$I$5,1),2)*100</f>
        <v>1.1499999999999999</v>
      </c>
      <c r="W11" s="43">
        <f>(CT_rates!$B$2)*100</f>
        <v>1.5</v>
      </c>
      <c r="X11" s="45">
        <f>(Meridian_rates!$A$2)*100</f>
        <v>1.3</v>
      </c>
      <c r="Y11" s="8">
        <f>(EQ_rates!$B$2)*100</f>
        <v>2.2999999999999998</v>
      </c>
    </row>
    <row r="12" spans="1:28" x14ac:dyDescent="0.25">
      <c r="A12" s="43" t="s">
        <v>359</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e">
        <f>(BNS_Rates!$D$36)*100 &amp; " + " &amp; (BNS_Rates!$E$35)*100 &amp; ", "&amp; (BNS_Rates!$E$34)*100 &amp; ", "&amp; (BNS_Rates!$E$33)*100 &amp; ", "&amp; (BNS_Rates!$E$32)*100</f>
        <v>#VALUE!</v>
      </c>
      <c r="L12" s="84">
        <f>INDEX(BNS_Rates!$B$28:$L$29,MATCH(VALUE(LEFT(A12,FIND(" ",A12)-1)),BNS_Rates!$L$28:$L$29,1),2)*100</f>
        <v>0.05</v>
      </c>
      <c r="M12" s="84">
        <f>INDEX(BNS_Rates!$B$25:$L$27,MATCH(VALUE(LEFT(A12,FIND(" ",A12)-1)),BNS_Rates!$L$25:$L$27,1),2)*100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1.1499999999999999</v>
      </c>
      <c r="W12" s="43">
        <f>(CT_rates!$B$2)*100</f>
        <v>1.5</v>
      </c>
      <c r="X12" s="45">
        <f>(Meridian_rates!$A$2)*100</f>
        <v>1.3</v>
      </c>
      <c r="Y12" s="8">
        <f>(EQ_rates!$B$2)*100</f>
        <v>2.2999999999999998</v>
      </c>
    </row>
    <row r="13" spans="1:28" x14ac:dyDescent="0.25">
      <c r="A13" s="43" t="s">
        <v>360</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e">
        <f>(BNS_Rates!$D$36)*100 &amp; " + " &amp; (BNS_Rates!$E$35)*100 &amp; ", "&amp; (BNS_Rates!$E$34)*100 &amp; ", "&amp; (BNS_Rates!$E$33)*100 &amp; ", "&amp; (BNS_Rates!$E$32)*100</f>
        <v>#VALUE!</v>
      </c>
      <c r="L13" s="84">
        <f>INDEX(BNS_Rates!$B$28:$L$29,MATCH(VALUE(LEFT(A13,FIND(" ",A13)-1)),BNS_Rates!$L$28:$L$29,1),2)*100</f>
        <v>0.05</v>
      </c>
      <c r="M13" s="84">
        <f>INDEX(BNS_Rates!$B$25:$L$27,MATCH(VALUE(LEFT(A13,FIND(" ",A13)-1)),BNS_Rates!$L$25:$L$27,1),2)*100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1.1499999999999999</v>
      </c>
      <c r="W13" s="43">
        <f>(CT_rates!$B$2)*100</f>
        <v>1.5</v>
      </c>
      <c r="X13" s="45">
        <f>(Meridian_rates!$A$2)*100</f>
        <v>1.3</v>
      </c>
      <c r="Y13" s="8">
        <f>(EQ_rates!$B$2)*100</f>
        <v>2.2999999999999998</v>
      </c>
    </row>
    <row r="14" spans="1:28" x14ac:dyDescent="0.25">
      <c r="A14" s="43" t="s">
        <v>361</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e">
        <f>(BNS_Rates!$D$36)*100 &amp; " + " &amp; (BNS_Rates!$E$35)*100 &amp; ", "&amp; (BNS_Rates!$E$34)*100 &amp; ", "&amp; (BNS_Rates!$E$33)*100 &amp; ", "&amp; (BNS_Rates!$E$32)*100</f>
        <v>#VALUE!</v>
      </c>
      <c r="L14" s="84">
        <f>INDEX(BNS_Rates!$B$28:$L$29,MATCH(VALUE(LEFT(A14,FIND(" ",A14)-1)),BNS_Rates!$L$28:$L$29,1),2)*100</f>
        <v>0.05</v>
      </c>
      <c r="M14" s="84">
        <f>INDEX(BNS_Rates!$B$25:$L$27,MATCH(VALUE(LEFT(A14,FIND(" ",A14)-1)),BNS_Rates!$L$25:$L$27,1),2)*100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1.1499999999999999</v>
      </c>
      <c r="W14" s="43">
        <f>(CT_rates!$B$2)*100</f>
        <v>1.5</v>
      </c>
      <c r="X14" s="45">
        <f>(Meridian_rates!$A$2)*100</f>
        <v>1.3</v>
      </c>
      <c r="Y14" s="8">
        <f>(EQ_rates!$B$2)*100</f>
        <v>2.2999999999999998</v>
      </c>
    </row>
    <row r="15" spans="1:28" x14ac:dyDescent="0.25">
      <c r="A15" s="43" t="s">
        <v>362</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e">
        <f>(BNS_Rates!$D$36)*100 &amp; " + " &amp; (BNS_Rates!$E$35)*100 &amp; ", "&amp; (BNS_Rates!$E$34)*100 &amp; ", "&amp; (BNS_Rates!$E$33)*100 &amp; ", "&amp; (BNS_Rates!$E$32)*100</f>
        <v>#VALUE!</v>
      </c>
      <c r="L15" s="84">
        <f>INDEX(BNS_Rates!$B$28:$L$29,MATCH(VALUE(LEFT(A15,FIND(" ",A15)-1)),BNS_Rates!$L$28:$L$29,1),2)*100</f>
        <v>0.05</v>
      </c>
      <c r="M15" s="84">
        <f>INDEX(BNS_Rates!$B$25:$L$27,MATCH(VALUE(LEFT(A15,FIND(" ",A15)-1)),BNS_Rates!$L$25:$L$27,1),2)*100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1.1499999999999999</v>
      </c>
      <c r="W15" s="43">
        <f>(CT_rates!$B$2)*100</f>
        <v>1.5</v>
      </c>
      <c r="X15" s="45">
        <f>(Meridian_rates!$A$2)*100</f>
        <v>1.3</v>
      </c>
      <c r="Y15" s="8">
        <f>(EQ_rates!$B$2)*100</f>
        <v>2.2999999999999998</v>
      </c>
    </row>
    <row r="16" spans="1:28" x14ac:dyDescent="0.25">
      <c r="A16" s="43" t="s">
        <v>363</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e">
        <f>(BNS_Rates!$D$36)*100 &amp; " + " &amp; (BNS_Rates!$E$35)*100 &amp; ", "&amp; (BNS_Rates!$E$34)*100 &amp; ", "&amp; (BNS_Rates!$E$33)*100 &amp; ", "&amp; (BNS_Rates!$E$32)*100</f>
        <v>#VALUE!</v>
      </c>
      <c r="L16" s="84">
        <f>INDEX(BNS_Rates!$B$28:$L$29,MATCH(VALUE(LEFT(A16,FIND(" ",A16)-1)),BNS_Rates!$L$28:$L$29,1),2)*100</f>
        <v>0.05</v>
      </c>
      <c r="M16" s="84">
        <f>INDEX(BNS_Rates!$B$25:$L$27,MATCH(VALUE(LEFT(A16,FIND(" ",A16)-1)),BNS_Rates!$L$25:$L$27,1),2)*100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e">
        <f>(BNS_Rates!$D$36)*100 &amp; " + " &amp; (BNS_Rates!$E$35)*100 &amp; ", "&amp; (BNS_Rates!$E$34)*100 &amp; ", "&amp; (BNS_Rates!$E$33)*100 &amp; ", "&amp; (BNS_Rates!$E$32)*100</f>
        <v>#VALUE!</v>
      </c>
      <c r="L17" s="84">
        <f>INDEX(BNS_Rates!$B$28:$L$29,MATCH(VALUE(LEFT(A17,FIND(" ",A17)-1)),BNS_Rates!$L$28:$L$29,1),2)*100</f>
        <v>0.05</v>
      </c>
      <c r="M17" s="84">
        <f>INDEX(BNS_Rates!$B$25:$L$27,MATCH(VALUE(LEFT(A17,FIND(" ",A17)-1)),BNS_Rates!$L$25:$L$27,1),2)*100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0.54999999999999993</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e">
        <f>(BNS_Rates!$D$36)*100 &amp; " + " &amp; (BNS_Rates!$E$35)*100 &amp; ", "&amp; (BNS_Rates!$E$34)*100 &amp; ", "&amp; (BNS_Rates!$E$33)*100 &amp; ", "&amp; (BNS_Rates!$E$32)*100</f>
        <v>#VALUE!</v>
      </c>
      <c r="L18" s="84">
        <f>INDEX(BNS_Rates!$B$28:$L$29,MATCH(VALUE(LEFT(A18,FIND(" ",A18)-1)),BNS_Rates!$L$28:$L$29,1),2)*100</f>
        <v>0.05</v>
      </c>
      <c r="M18" s="84">
        <f>INDEX(BNS_Rates!$B$25:$L$27,MATCH(VALUE(LEFT(A18,FIND(" ",A18)-1)),BNS_Rates!$L$25:$L$27,1),2)*100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0.54999999999999993</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e">
        <f>(BNS_Rates!$D$36)*100 &amp; " + " &amp; (BNS_Rates!$E$35)*100 &amp; ", "&amp; (BNS_Rates!$E$34)*100 &amp; ", "&amp; (BNS_Rates!$E$33)*100 &amp; ", "&amp; (BNS_Rates!$E$32)*100</f>
        <v>#VALUE!</v>
      </c>
      <c r="L19" s="84">
        <f>INDEX(BNS_Rates!$B$28:$L$29,MATCH(VALUE(LEFT(A19,FIND(" ",A19)-1)),BNS_Rates!$L$28:$L$29,1),2)*100</f>
        <v>0.05</v>
      </c>
      <c r="M19" s="84">
        <f>INDEX(BNS_Rates!$B$25:$L$27,MATCH(VALUE(LEFT(A19,FIND(" ",A19)-1)),BNS_Rates!$L$25:$L$27,1),2)*100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0.54999999999999993</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e">
        <f>(BNS_Rates!$D$36)*100 &amp; " + " &amp; (BNS_Rates!$E$35)*100 &amp; ", "&amp; (BNS_Rates!$E$34)*100 &amp; ", "&amp; (BNS_Rates!$E$33)*100 &amp; ", "&amp; (BNS_Rates!$E$32)*100</f>
        <v>#VALUE!</v>
      </c>
      <c r="L20" s="84">
        <f>INDEX(BNS_Rates!$B$28:$L$29,MATCH(VALUE(LEFT(A20,FIND(" ",A20)-1)),BNS_Rates!$L$28:$L$29,1),2)*100</f>
        <v>0.05</v>
      </c>
      <c r="M20" s="84">
        <f>INDEX(BNS_Rates!$B$25:$L$27,MATCH(VALUE(LEFT(A20,FIND(" ",A20)-1)),BNS_Rates!$L$25:$L$27,1),2)*100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0.54999999999999993</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e">
        <f>(BNS_Rates!$D$36)*100 &amp; " + " &amp; (BNS_Rates!$E$35)*100 &amp; ", "&amp; (BNS_Rates!$E$34)*100 &amp; ", "&amp; (BNS_Rates!$E$33)*100 &amp; ", "&amp; (BNS_Rates!$E$32)*100</f>
        <v>#VALUE!</v>
      </c>
      <c r="L21" s="84">
        <f>INDEX(BNS_Rates!$B$28:$L$29,MATCH(VALUE(LEFT(A21,FIND(" ",A21)-1)),BNS_Rates!$L$28:$L$29,1),2)*100</f>
        <v>0.05</v>
      </c>
      <c r="M21" s="84">
        <f>INDEX(BNS_Rates!$B$25:$L$27,MATCH(VALUE(LEFT(A21,FIND(" ",A21)-1)),BNS_Rates!$L$25:$L$27,1),2)*100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0.54999999999999993</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452</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281</v>
      </c>
      <c r="M9" s="49" t="s">
        <v>344</v>
      </c>
      <c r="N9" s="49" t="s">
        <v>345</v>
      </c>
      <c r="O9" s="49" t="s">
        <v>345</v>
      </c>
      <c r="P9" s="49" t="s">
        <v>9</v>
      </c>
      <c r="Q9" s="49" t="s">
        <v>44</v>
      </c>
      <c r="R9" s="59" t="s">
        <v>12</v>
      </c>
    </row>
    <row r="10" spans="1:28" ht="64.5" x14ac:dyDescent="0.25">
      <c r="A10" s="52"/>
      <c r="B10" s="52" t="s">
        <v>346</v>
      </c>
      <c r="C10" s="52" t="s">
        <v>34</v>
      </c>
      <c r="D10" s="52" t="s">
        <v>347</v>
      </c>
      <c r="E10" s="52" t="s">
        <v>348</v>
      </c>
      <c r="F10" s="52" t="s">
        <v>349</v>
      </c>
      <c r="G10" s="52" t="s">
        <v>346</v>
      </c>
      <c r="H10" s="52" t="s">
        <v>350</v>
      </c>
      <c r="I10" s="52" t="s">
        <v>351</v>
      </c>
      <c r="J10" s="52" t="s">
        <v>450</v>
      </c>
      <c r="K10" s="52" t="s">
        <v>352</v>
      </c>
      <c r="L10" s="52" t="s">
        <v>353</v>
      </c>
      <c r="M10" s="52" t="s">
        <v>354</v>
      </c>
      <c r="N10" s="52" t="s">
        <v>355</v>
      </c>
      <c r="O10" s="52" t="s">
        <v>350</v>
      </c>
      <c r="P10" s="52" t="s">
        <v>449</v>
      </c>
      <c r="Q10" s="52" t="s">
        <v>356</v>
      </c>
      <c r="R10" s="52" t="s">
        <v>357</v>
      </c>
    </row>
    <row r="11" spans="1:28" x14ac:dyDescent="0.25">
      <c r="A11" s="43" t="s">
        <v>427</v>
      </c>
      <c r="B11" s="45">
        <f>INDEX(CIBC_rates!$B$8:$E$12,MATCH(VALUE(LEFT(A11,FIND(" ",A11)-1)),CIBC_rates!$E$8:$E$12,1),2)*100</f>
        <v>0.25</v>
      </c>
      <c r="C11" s="45">
        <f>(CIBC_rates!$C$22)*100</f>
        <v>0</v>
      </c>
      <c r="D11" s="45">
        <f>INDEX(TD_rates!$B$30:$E$35,MATCH(VALUE(LEFT(A11,FIND(" ",A11)-1)),TD_rates!$E$30:$E$35,1),2)*100</f>
        <v>0.1</v>
      </c>
      <c r="E11" s="45">
        <f>(TD_rates!$F$41)*100</f>
        <v>1.7000000000000002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84">
        <f>INDEX(BNS_Rates!$B$17:$L$22,MATCH(VALUE(LEFT(A11,FIND(" ",A11)-1)),BNS_Rates!$L$17:$L$22,1),2)*100</f>
        <v>0.15</v>
      </c>
      <c r="L11" s="78">
        <v>0.6</v>
      </c>
      <c r="M11" s="45">
        <f>LEFT((ICICI_rates!$B$6),5)*100</f>
        <v>0.6</v>
      </c>
      <c r="N11" s="45">
        <f>(Manulife_rates!$C$12)*100</f>
        <v>0.5</v>
      </c>
      <c r="O11" s="45">
        <f>(Manulife_ISA_USD[ISA USD])*100</f>
        <v>0</v>
      </c>
      <c r="P11" s="45">
        <f>INDEX(HSBC_rates!$B$10:$I$13,MATCH(VALUE(LEFT(A11,FIND(" ",A11)-1)),HSBC_rates!$I$10:$I$13,1),2)*100</f>
        <v>0.3</v>
      </c>
      <c r="Q11" s="45">
        <f>(Altamira_rates!$D$11)*100</f>
        <v>1.6500000000000001</v>
      </c>
      <c r="R11" s="45">
        <f>(BNS_Rates!$D$40)*100</f>
        <v>0.25</v>
      </c>
    </row>
    <row r="12" spans="1:28" s="42" customFormat="1" x14ac:dyDescent="0.25">
      <c r="A12" s="43" t="s">
        <v>360</v>
      </c>
      <c r="B12" s="45">
        <f>INDEX(CIBC_rates!$B$8:$E$12,MATCH(VALUE(LEFT(A12,FIND(" ",A12)-1)),CIBC_rates!$E$8:$E$12,1),2)*100</f>
        <v>0.25</v>
      </c>
      <c r="C12" s="45">
        <f>(CIBC_rates!$C$22)*100</f>
        <v>0</v>
      </c>
      <c r="D12" s="45">
        <f>INDEX(TD_rates!$B$30:$E$35,MATCH(VALUE(LEFT(A12,FIND(" ",A12)-1)),TD_rates!$E$30:$E$35,1),2)*100</f>
        <v>0.1</v>
      </c>
      <c r="E12" s="45">
        <f>(TD_rates!$F$41)*100</f>
        <v>1.7000000000000002</v>
      </c>
      <c r="F12" s="45" t="str">
        <f>INDEX(RBC_Rates!$A$134:$E$134,MATCH(VALUE(LEFT(A12,FIND(" ",A12)-1)),RBC_Rates!$E$134:$E$134,1),3)</f>
        <v>0.150</v>
      </c>
      <c r="G12" s="45" t="str">
        <f>INDEX(RBC_Rates!$A$133:$E$133,MATCH(VALUE(LEFT(A12,FIND(" ",A12)-1)),RBC_Rates!$E$133:$E$133,1),3)</f>
        <v>0.000</v>
      </c>
      <c r="H12" s="45">
        <f>(RBC_Rates!$D$2)</f>
        <v>0</v>
      </c>
      <c r="I12" s="45">
        <f>INDEX(BMO_rates!$B$9:$E$10,MATCH(VALUE(LEFT(A12,FIND(" ",A12)-1)),BMO_rates!$E$9:$E$10,1),2)*100</f>
        <v>0.05</v>
      </c>
      <c r="J12" s="60">
        <f>BNS_Rates!$D$45</f>
        <v>1.7999999999999999E-2</v>
      </c>
      <c r="K12" s="84">
        <f>INDEX(BNS_Rates!$B$17:$L$22,MATCH(VALUE(LEFT(A12,FIND(" ",A12)-1)),BNS_Rates!$L$17:$L$22,1),2)*100</f>
        <v>0.15</v>
      </c>
      <c r="L12" s="78">
        <v>0.6</v>
      </c>
      <c r="M12" s="45">
        <f>LEFT((ICICI_rates!$B$6),5)*100</f>
        <v>0.6</v>
      </c>
      <c r="N12" s="45">
        <f>(Manulife_rates!$C$12)*100</f>
        <v>0.5</v>
      </c>
      <c r="O12" s="45">
        <f>(Manulife_ISA_USD[ISA USD])*100</f>
        <v>0</v>
      </c>
      <c r="P12" s="45">
        <f>INDEX(HSBC_rates!$B$10:$I$13,MATCH(VALUE(LEFT(A12,FIND(" ",A12)-1)),HSBC_rates!$I$10:$I$13,1),2)*100</f>
        <v>0.3</v>
      </c>
      <c r="Q12" s="45">
        <f>(Altamira_rates!$D$11)*100</f>
        <v>1.6500000000000001</v>
      </c>
      <c r="R12" s="45">
        <f>(BNS_Rates!$D$40)*100</f>
        <v>0.25</v>
      </c>
    </row>
    <row r="13" spans="1:28" x14ac:dyDescent="0.25">
      <c r="A13" s="43" t="s">
        <v>361</v>
      </c>
      <c r="B13" s="45">
        <f>INDEX(CIBC_rates!$B$8:$E$12,MATCH(VALUE(LEFT(A13,FIND(" ",A13)-1)),CIBC_rates!$E$8:$E$12,1),2)*100</f>
        <v>0.25</v>
      </c>
      <c r="C13" s="45">
        <f>(CIBC_rates!$C$22)*100</f>
        <v>0</v>
      </c>
      <c r="D13" s="45">
        <f>INDEX(TD_rates!$B$30:$E$35,MATCH(VALUE(LEFT(A13,FIND(" ",A13)-1)),TD_rates!$E$30:$E$35,1),2)*100</f>
        <v>0.1</v>
      </c>
      <c r="E13" s="45">
        <f>(TD_rates!$F$41)*100</f>
        <v>1.7000000000000002</v>
      </c>
      <c r="F13" s="45" t="str">
        <f>INDEX(RBC_Rates!$A$134:$E$134,MATCH(VALUE(LEFT(A13,FIND(" ",A13)-1)),RBC_Rates!$E$134:$E$134,1),3)</f>
        <v>0.150</v>
      </c>
      <c r="G13" s="45" t="str">
        <f>INDEX(RBC_Rates!$A$133:$E$133,MATCH(VALUE(LEFT(A13,FIND(" ",A13)-1)),RBC_Rates!$E$133:$E$133,1),3)</f>
        <v>0.000</v>
      </c>
      <c r="H13" s="45">
        <f>(RBC_Rates!$D$2)</f>
        <v>0</v>
      </c>
      <c r="I13" s="45">
        <f>INDEX(BMO_rates!$B$9:$E$10,MATCH(VALUE(LEFT(A13,FIND(" ",A13)-1)),BMO_rates!$E$9:$E$10,1),2)*100</f>
        <v>0.05</v>
      </c>
      <c r="J13" s="60">
        <f>BNS_Rates!$D$44</f>
        <v>1.6500000000000001E-2</v>
      </c>
      <c r="K13" s="84">
        <f>INDEX(BNS_Rates!$B$17:$L$22,MATCH(VALUE(LEFT(A13,FIND(" ",A13)-1)),BNS_Rates!$L$17:$L$22,1),2)*100</f>
        <v>0.15</v>
      </c>
      <c r="L13" s="78">
        <v>0.6</v>
      </c>
      <c r="M13" s="45">
        <f>LEFT((ICICI_rates!$B$6),5)*100</f>
        <v>0.6</v>
      </c>
      <c r="N13" s="45">
        <f>(Manulife_rates!$C$12)*100</f>
        <v>0.5</v>
      </c>
      <c r="O13" s="45">
        <f>(Manulife_ISA_USD[ISA USD])*100</f>
        <v>0</v>
      </c>
      <c r="P13" s="45">
        <f>INDEX(HSBC_rates!$B$10:$I$13,MATCH(VALUE(LEFT(A13,FIND(" ",A13)-1)),HSBC_rates!$I$10:$I$13,1),2)*100</f>
        <v>0.25</v>
      </c>
      <c r="Q13" s="45">
        <f>(Altamira_rates!$D$11)*100</f>
        <v>1.6500000000000001</v>
      </c>
      <c r="R13" s="45">
        <f>(BNS_Rates!$D$40)*100</f>
        <v>0.25</v>
      </c>
    </row>
    <row r="14" spans="1:28" s="42" customFormat="1" x14ac:dyDescent="0.25">
      <c r="A14" s="43" t="s">
        <v>362</v>
      </c>
      <c r="B14" s="45">
        <f>INDEX(CIBC_rates!$B$8:$E$12,MATCH(VALUE(LEFT(A14,FIND(" ",A14)-1)),CIBC_rates!$E$8:$E$12,1),2)*100</f>
        <v>0.25</v>
      </c>
      <c r="C14" s="45">
        <f>(CIBC_rates!$C$22)*100</f>
        <v>0</v>
      </c>
      <c r="D14" s="45">
        <f>INDEX(TD_rates!$B$30:$E$35,MATCH(VALUE(LEFT(A14,FIND(" ",A14)-1)),TD_rates!$E$30:$E$35,1),2)*100</f>
        <v>0.1</v>
      </c>
      <c r="E14" s="45">
        <f>(TD_rates!$F$41)*100</f>
        <v>1.7000000000000002</v>
      </c>
      <c r="F14" s="45" t="str">
        <f>INDEX(RBC_Rates!$A$134:$E$134,MATCH(VALUE(LEFT(A14,FIND(" ",A14)-1)),RBC_Rates!$E$134:$E$134,1),3)</f>
        <v>0.150</v>
      </c>
      <c r="G14" s="45" t="str">
        <f>INDEX(RBC_Rates!$A$133:$E$133,MATCH(VALUE(LEFT(A14,FIND(" ",A14)-1)),RBC_Rates!$E$133:$E$133,1),3)</f>
        <v>0.000</v>
      </c>
      <c r="H14" s="45">
        <f>(RBC_Rates!$D$2)</f>
        <v>0</v>
      </c>
      <c r="I14" s="45">
        <f>INDEX(BMO_rates!$B$9:$E$10,MATCH(VALUE(LEFT(A14,FIND(" ",A14)-1)),BMO_rates!$E$9:$E$10,1),2)*100</f>
        <v>0.05</v>
      </c>
      <c r="J14" s="60">
        <f>BNS_Rates!$D$44</f>
        <v>1.6500000000000001E-2</v>
      </c>
      <c r="K14" s="84">
        <f>INDEX(BNS_Rates!$B$17:$L$22,MATCH(VALUE(LEFT(A14,FIND(" ",A14)-1)),BNS_Rates!$L$17:$L$22,1),2)*100</f>
        <v>0.1</v>
      </c>
      <c r="L14" s="78">
        <v>0.6</v>
      </c>
      <c r="M14" s="45">
        <f>LEFT((ICICI_rates!$B$6),5)*100</f>
        <v>0.6</v>
      </c>
      <c r="N14" s="45">
        <f>(Manulife_rates!$C$12)*100</f>
        <v>0.5</v>
      </c>
      <c r="O14" s="45">
        <f>(Manulife_ISA_USD[ISA USD])*100</f>
        <v>0</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363</v>
      </c>
      <c r="B15" s="45">
        <f>INDEX(CIBC_rates!$B$8:$E$12,MATCH(VALUE(LEFT(A15,FIND(" ",A15)-1)),CIBC_rates!$E$8:$E$12,1),2)*100</f>
        <v>0.25</v>
      </c>
      <c r="C15" s="45">
        <f>(CIBC_rates!$C$22)*100</f>
        <v>0</v>
      </c>
      <c r="D15" s="45">
        <f>INDEX(TD_rates!$B$30:$E$35,MATCH(VALUE(LEFT(A15,FIND(" ",A15)-1)),TD_rates!$E$30:$E$35,1),2)*100</f>
        <v>0.1</v>
      </c>
      <c r="E15" s="45">
        <f>(TD_rates!$F$41)*100</f>
        <v>1.7000000000000002</v>
      </c>
      <c r="F15" s="45" t="str">
        <f>INDEX(RBC_Rates!$A$134:$E$134,MATCH(VALUE(LEFT(A15,FIND(" ",A15)-1)),RBC_Rates!$E$134:$E$134,1),3)</f>
        <v>0.150</v>
      </c>
      <c r="G15" s="45" t="str">
        <f>INDEX(RBC_Rates!$A$133:$E$133,MATCH(VALUE(LEFT(A15,FIND(" ",A15)-1)),RBC_Rates!$E$133:$E$133,1),3)</f>
        <v>0.000</v>
      </c>
      <c r="H15" s="45">
        <f>(RBC_Rates!$D$2)</f>
        <v>0</v>
      </c>
      <c r="I15" s="45">
        <f>INDEX(BMO_rates!$B$9:$E$10,MATCH(VALUE(LEFT(A15,FIND(" ",A15)-1)),BMO_rates!$E$9:$E$10,1),2)*100</f>
        <v>0.05</v>
      </c>
      <c r="J15" s="60">
        <f>BNS_Rates!$D$44</f>
        <v>1.6500000000000001E-2</v>
      </c>
      <c r="K15" s="84">
        <f>INDEX(BNS_Rates!$B$17:$L$22,MATCH(VALUE(LEFT(A15,FIND(" ",A15)-1)),BNS_Rates!$L$17:$L$22,1),2)*100</f>
        <v>0.1</v>
      </c>
      <c r="L15" s="78">
        <v>0.6</v>
      </c>
      <c r="M15" s="45">
        <f>LEFT((ICICI_rates!$B$6),5)*100</f>
        <v>0.6</v>
      </c>
      <c r="N15" s="45">
        <f>(Manulife_rates!$C$12)*100</f>
        <v>0.5</v>
      </c>
      <c r="O15" s="45">
        <f>(Manulife_ISA_USD[ISA USD])*100</f>
        <v>0</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0</v>
      </c>
      <c r="D16" s="45">
        <f>INDEX(TD_rates!$B$30:$E$35,MATCH(VALUE(LEFT(A16,FIND(" ",A16)-1)),TD_rates!$E$30:$E$35,1),2)*100</f>
        <v>0.05</v>
      </c>
      <c r="E16" s="45">
        <f>(TD_rates!$F$41)*100</f>
        <v>1.7000000000000002</v>
      </c>
      <c r="F16" s="45" t="str">
        <f>INDEX(RBC_Rates!$A$134:$E$134,MATCH(VALUE(LEFT(A16,FIND(" ",A16)-1)),RBC_Rates!$E$134:$E$134,1),3)</f>
        <v>0.150</v>
      </c>
      <c r="G16" s="45" t="str">
        <f>INDEX(RBC_Rates!$A$133:$E$133,MATCH(VALUE(LEFT(A16,FIND(" ",A16)-1)),RBC_Rates!$E$133:$E$133,1),3)</f>
        <v>0.000</v>
      </c>
      <c r="H16" s="45">
        <f>(RBC_Rates!$D$2)</f>
        <v>0</v>
      </c>
      <c r="I16" s="45">
        <f>INDEX(BMO_rates!$B$9:$E$10,MATCH(VALUE(LEFT(A16,FIND(" ",A16)-1)),BMO_rates!$E$9:$E$10,1),2)*100</f>
        <v>0.05</v>
      </c>
      <c r="J16" s="60">
        <f>BNS_Rates!$D$44</f>
        <v>1.6500000000000001E-2</v>
      </c>
      <c r="K16" s="84">
        <f>INDEX(BNS_Rates!$B$17:$L$22,MATCH(VALUE(LEFT(A16,FIND(" ",A16)-1)),BNS_Rates!$L$17:$L$22,1),2)*100</f>
        <v>0.05</v>
      </c>
      <c r="L16" s="78">
        <v>0.6</v>
      </c>
      <c r="M16" s="45">
        <f>LEFT((ICICI_rates!$B$6),5)*100</f>
        <v>0.6</v>
      </c>
      <c r="N16" s="45">
        <f>(Manulife_rates!$C$12)*100</f>
        <v>0.5</v>
      </c>
      <c r="O16" s="45">
        <f>(Manulife_ISA_USD[ISA USD])*100</f>
        <v>0</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0</v>
      </c>
      <c r="D17" s="45">
        <f>INDEX(TD_rates!$B$30:$E$35,MATCH(VALUE(LEFT(A17,FIND(" ",A17)-1)),TD_rates!$E$30:$E$35,1),2)*100</f>
        <v>2.5000000000000001E-2</v>
      </c>
      <c r="E17" s="45">
        <f>(TD_rates!$F$41)*100</f>
        <v>1.7000000000000002</v>
      </c>
      <c r="F17" s="45" t="str">
        <f>INDEX(RBC_Rates!$A$134:$E$134,MATCH(VALUE(LEFT(A17,FIND(" ",A17)-1)),RBC_Rates!$E$134:$E$134,1),3)</f>
        <v>0.150</v>
      </c>
      <c r="G17" s="45" t="str">
        <f>INDEX(RBC_Rates!$A$133:$E$133,MATCH(VALUE(LEFT(A17,FIND(" ",A17)-1)),RBC_Rates!$E$133:$E$133,1),3)</f>
        <v>0.000</v>
      </c>
      <c r="H17" s="45">
        <f>(RBC_Rates!$D$2)</f>
        <v>0</v>
      </c>
      <c r="I17" s="45">
        <f>INDEX(BMO_rates!$B$9:$E$10,MATCH(VALUE(LEFT(A17,FIND(" ",A17)-1)),BMO_rates!$E$9:$E$10,1),2)*100</f>
        <v>0.05</v>
      </c>
      <c r="J17" s="60">
        <f>BNS_Rates!$D$44</f>
        <v>1.6500000000000001E-2</v>
      </c>
      <c r="K17" s="84">
        <f>INDEX(BNS_Rates!$B$17:$L$22,MATCH(VALUE(LEFT(A17,FIND(" ",A17)-1)),BNS_Rates!$L$17:$L$22,1),2)*100</f>
        <v>2.5000000000000001E-2</v>
      </c>
      <c r="L17" s="78">
        <v>0.6</v>
      </c>
      <c r="M17" s="45">
        <f>LEFT((ICICI_rates!$B$6),5)*100</f>
        <v>0.6</v>
      </c>
      <c r="N17" s="45">
        <f>(Manulife_rates!$C$12)*100</f>
        <v>0.5</v>
      </c>
      <c r="O17" s="45">
        <f>(Manulife_ISA_USD[ISA USD])*100</f>
        <v>0</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0</v>
      </c>
      <c r="D18" s="45">
        <f>INDEX(TD_rates!$B$30:$E$35,MATCH(VALUE(LEFT(A18,FIND(" ",A18)-1)),TD_rates!$E$30:$E$35,1),2)*100</f>
        <v>0.01</v>
      </c>
      <c r="E18" s="45">
        <f>(TD_rates!$F$41)*100</f>
        <v>1.7000000000000002</v>
      </c>
      <c r="F18" s="45" t="str">
        <f>INDEX(RBC_Rates!$A$134:$E$134,MATCH(VALUE(LEFT(A18,FIND(" ",A18)-1)),RBC_Rates!$E$134:$E$134,1),3)</f>
        <v>0.150</v>
      </c>
      <c r="G18" s="45" t="str">
        <f>INDEX(RBC_Rates!$A$133:$E$133,MATCH(VALUE(LEFT(A18,FIND(" ",A18)-1)),RBC_Rates!$E$133:$E$133,1),3)</f>
        <v>0.000</v>
      </c>
      <c r="H18" s="45">
        <f>(RBC_Rates!$D$2)</f>
        <v>0</v>
      </c>
      <c r="I18" s="45">
        <f>INDEX(BMO_rates!$B$9:$E$10,MATCH(VALUE(LEFT(A18,FIND(" ",A18)-1)),BMO_rates!$E$9:$E$10,1),2)*100</f>
        <v>0.05</v>
      </c>
      <c r="J18" s="60">
        <f>BNS_Rates!$D$44</f>
        <v>1.6500000000000001E-2</v>
      </c>
      <c r="K18" s="84">
        <f>INDEX(BNS_Rates!$B$17:$L$22,MATCH(VALUE(LEFT(A18,FIND(" ",A18)-1)),BNS_Rates!$L$17:$L$22,1),2)*100</f>
        <v>0.01</v>
      </c>
      <c r="L18" s="78">
        <v>0.6</v>
      </c>
      <c r="M18" s="45">
        <f>LEFT((ICICI_rates!$B$6),5)*100</f>
        <v>0.6</v>
      </c>
      <c r="N18" s="45">
        <f>(Manulife_rates!$C$12)*100</f>
        <v>0.5</v>
      </c>
      <c r="O18" s="45">
        <f>(Manulife_ISA_USD[ISA USD])*100</f>
        <v>0</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0</v>
      </c>
      <c r="D19" s="45">
        <f>INDEX(TD_rates!$B$30:$E$35,MATCH(VALUE(LEFT(A19,FIND(" ",A19)-1)),TD_rates!$E$30:$E$35,1),2)*100</f>
        <v>0.01</v>
      </c>
      <c r="E19" s="45">
        <f>(TD_rates!$F$41)*100</f>
        <v>1.7000000000000002</v>
      </c>
      <c r="F19" s="45" t="str">
        <f>INDEX(RBC_Rates!$A$134:$E$134,MATCH(VALUE(LEFT(A19,FIND(" ",A19)-1)),RBC_Rates!$E$134:$E$134,1),3)</f>
        <v>0.150</v>
      </c>
      <c r="G19" s="45" t="str">
        <f>INDEX(RBC_Rates!$A$133:$E$133,MATCH(VALUE(LEFT(A19,FIND(" ",A19)-1)),RBC_Rates!$E$133:$E$133,1),3)</f>
        <v>0.000</v>
      </c>
      <c r="H19" s="45">
        <f>(RBC_Rates!$D$2)</f>
        <v>0</v>
      </c>
      <c r="I19" s="45">
        <f>INDEX(BMO_rates!$B$9:$E$10,MATCH(VALUE(LEFT(A19,FIND(" ",A19)-1)),BMO_rates!$E$9:$E$10,1),2)*100</f>
        <v>0.05</v>
      </c>
      <c r="J19" s="60">
        <f>BNS_Rates!$D$44</f>
        <v>1.6500000000000001E-2</v>
      </c>
      <c r="K19" s="84">
        <f>INDEX(BNS_Rates!$B$17:$L$22,MATCH(VALUE(LEFT(A19,FIND(" ",A19)-1)),BNS_Rates!$L$17:$L$22,1),2)*100</f>
        <v>0.01</v>
      </c>
      <c r="L19" s="78">
        <v>0.6</v>
      </c>
      <c r="M19" s="45">
        <f>LEFT((ICICI_rates!$B$6),5)*100</f>
        <v>0.6</v>
      </c>
      <c r="N19" s="45">
        <f>(Manulife_rates!$C$12)*100</f>
        <v>0.5</v>
      </c>
      <c r="O19" s="45">
        <f>(Manulife_ISA_USD[ISA USD])*100</f>
        <v>0</v>
      </c>
      <c r="P19" s="45">
        <f>INDEX(HSBC_rates!$B$10:$I$13,MATCH(VALUE(LEFT(A19,FIND(" ",A19)-1)),HSBC_rates!$I$10:$I$13,1),2)*100</f>
        <v>0.1</v>
      </c>
      <c r="Q19" s="45">
        <f>(Altamira_rates!$D$11)*100</f>
        <v>1.6500000000000001</v>
      </c>
      <c r="R19" s="45">
        <f>(BNS_Rates!$D$40)*100</f>
        <v>0.25</v>
      </c>
    </row>
    <row r="20" spans="1:18" s="42" customFormat="1" x14ac:dyDescent="0.25">
      <c r="A20" s="43" t="s">
        <v>425</v>
      </c>
      <c r="B20" s="45">
        <f>INDEX(CIBC_rates!$B$8:$E$12,MATCH(VALUE(LEFT(A20,FIND(" ",A20)-1)),CIBC_rates!$E$8:$E$12,1),2)*100</f>
        <v>0.25</v>
      </c>
      <c r="C20" s="45">
        <f>(CIBC_rates!$C$22)*100</f>
        <v>0</v>
      </c>
      <c r="D20" s="45">
        <f>INDEX(TD_rates!$B$30:$E$35,MATCH(VALUE(LEFT(A20,FIND(" ",A20)-1)),TD_rates!$E$30:$E$35,1),2)*100</f>
        <v>0</v>
      </c>
      <c r="E20" s="45">
        <f>(TD_rates!$F$41)*100</f>
        <v>1.7000000000000002</v>
      </c>
      <c r="F20" s="45" t="str">
        <f>INDEX(RBC_Rates!$A$134:$E$134,MATCH(VALUE(LEFT(A20,FIND(" ",A20)-1)),RBC_Rates!$E$134:$E$134,1),3)</f>
        <v>0.150</v>
      </c>
      <c r="G20" s="45" t="str">
        <f>INDEX(RBC_Rates!$A$133:$E$133,MATCH(VALUE(LEFT(A20,FIND(" ",A20)-1)),RBC_Rates!$E$133:$E$133,1),3)</f>
        <v>0.000</v>
      </c>
      <c r="H20" s="45">
        <f>(RBC_Rates!$D$2)</f>
        <v>0</v>
      </c>
      <c r="I20" s="45">
        <f>INDEX(BMO_rates!$B$9:$E$10,MATCH(VALUE(LEFT(A20,FIND(" ",A20)-1)),BMO_rates!$E$9:$E$10,1),2)*100</f>
        <v>0.05</v>
      </c>
      <c r="J20" s="60">
        <f>BNS_Rates!$D$44</f>
        <v>1.6500000000000001E-2</v>
      </c>
      <c r="K20" s="84">
        <f>INDEX(BNS_Rates!$B$17:$L$22,MATCH(VALUE(LEFT(A20,FIND(" ",A20)-1)),BNS_Rates!$L$17:$L$22,1),2)*100</f>
        <v>0</v>
      </c>
      <c r="L20" s="78">
        <v>0.6</v>
      </c>
      <c r="M20" s="45">
        <f>LEFT((ICICI_rates!$B$6),5)*100</f>
        <v>0.6</v>
      </c>
      <c r="N20" s="45">
        <f>(Manulife_rates!$C$12)*100</f>
        <v>0.5</v>
      </c>
      <c r="O20" s="45">
        <f>(Manulife_ISA_USD[ISA USD])*100</f>
        <v>0</v>
      </c>
      <c r="P20" s="45">
        <f>INDEX(HSBC_rates!$B$10:$I$13,MATCH(VALUE(LEFT(A20,FIND(" ",A20)-1)),HSBC_rates!$I$10:$I$13,1),2)*100</f>
        <v>0.1</v>
      </c>
      <c r="Q20" s="45">
        <f>(Altamira_rates!$D$11)*100</f>
        <v>1.6500000000000001</v>
      </c>
      <c r="R20" s="45">
        <f>(BNS_Rates!$D$40)*100</f>
        <v>0.25</v>
      </c>
    </row>
    <row r="21" spans="1:18" x14ac:dyDescent="0.25">
      <c r="A21" s="43" t="s">
        <v>426</v>
      </c>
      <c r="B21" s="45">
        <f>INDEX(CIBC_rates!$B$8:$E$12,MATCH(VALUE(LEFT(A21,FIND(" ",A21)-1)),CIBC_rates!$E$8:$E$12,1),2)*100</f>
        <v>0.25</v>
      </c>
      <c r="C21" s="45">
        <f>(CIBC_rates!$C$22)*100</f>
        <v>0</v>
      </c>
      <c r="D21" s="45">
        <f>INDEX(TD_rates!$B$30:$E$35,MATCH(VALUE(LEFT(A21,FIND(" ",A21)-1)),TD_rates!$E$30:$E$35,1),2)*100</f>
        <v>0</v>
      </c>
      <c r="E21" s="45">
        <f>(TD_rates!$F$41)*100</f>
        <v>1.7000000000000002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84">
        <f>INDEX(BNS_Rates!$B$17:$L$22,MATCH(VALUE(LEFT(A21,FIND(" ",A21)-1)),BNS_Rates!$L$17:$L$22,1),2)*100</f>
        <v>0</v>
      </c>
      <c r="L21" s="78">
        <v>0.6</v>
      </c>
      <c r="M21" s="45">
        <f>LEFT((ICICI_rates!$B$6),5)*100</f>
        <v>0.6</v>
      </c>
      <c r="N21" s="45">
        <f>(Manulife_rates!$C$12)*100</f>
        <v>0.5</v>
      </c>
      <c r="O21" s="45">
        <f>(Manulife_ISA_USD[ISA USD])*100</f>
        <v>0</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453</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431</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390</v>
      </c>
      <c r="C10" s="52" t="s">
        <v>46</v>
      </c>
      <c r="D10" s="52" t="s">
        <v>47</v>
      </c>
      <c r="E10" s="52" t="s">
        <v>373</v>
      </c>
      <c r="F10" s="52" t="s">
        <v>374</v>
      </c>
      <c r="G10" s="52" t="s">
        <v>375</v>
      </c>
      <c r="H10" s="52" t="s">
        <v>379</v>
      </c>
      <c r="I10" s="52" t="s">
        <v>47</v>
      </c>
      <c r="J10" s="52" t="s">
        <v>441</v>
      </c>
      <c r="K10" s="52" t="s">
        <v>47</v>
      </c>
      <c r="L10" s="52" t="s">
        <v>48</v>
      </c>
      <c r="M10" s="52" t="s">
        <v>26</v>
      </c>
      <c r="N10" s="52" t="s">
        <v>49</v>
      </c>
    </row>
    <row r="11" spans="1:14" x14ac:dyDescent="0.25">
      <c r="A11" s="7" t="s">
        <v>427</v>
      </c>
      <c r="B11" s="45">
        <f>(CIBC_rates!$B$25)*100</f>
        <v>1.6</v>
      </c>
      <c r="C11" s="45">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1.4500000000000002</v>
      </c>
      <c r="M11" s="45">
        <f>(BNS_Rates!$C$40)*100</f>
        <v>0.25</v>
      </c>
      <c r="N11" s="45">
        <f>(HomeTrust_rates!$B$13)*100</f>
        <v>1.6</v>
      </c>
    </row>
    <row r="12" spans="1:14" s="42" customFormat="1" x14ac:dyDescent="0.25">
      <c r="A12" s="43" t="s">
        <v>360</v>
      </c>
      <c r="B12" s="45">
        <f>(CIBC_rates!$B$25)*100</f>
        <v>1.6</v>
      </c>
      <c r="C12" s="45">
        <f>(CIBC_rates!$C$21)*100</f>
        <v>0</v>
      </c>
      <c r="D12" s="45">
        <f>(TD_rates!$F$40)*100</f>
        <v>1.6</v>
      </c>
      <c r="E12" s="45">
        <f>(TD_rates!$F$42)*100</f>
        <v>1.6</v>
      </c>
      <c r="F12" s="45">
        <f>(TD_rates!$F$43)*100</f>
        <v>1.6</v>
      </c>
      <c r="G12" s="45">
        <f>(TD_rates!$F$44)*100</f>
        <v>1.6</v>
      </c>
      <c r="H12" s="60">
        <v>1.75</v>
      </c>
      <c r="I12" s="45">
        <f>(RBC_Rates!$C$2)*100</f>
        <v>0</v>
      </c>
      <c r="J12" s="45">
        <f>(Altamira_rates!$D$4)*100</f>
        <v>1.6</v>
      </c>
      <c r="K12" s="45">
        <f>(Manulife_ISA_CAD[ISA CAD])*100</f>
        <v>0</v>
      </c>
      <c r="L12" s="76">
        <f>(B2B_rates!$D$2)*100</f>
        <v>1.4500000000000002</v>
      </c>
      <c r="M12" s="45">
        <f>(BNS_Rates!$C$40)*100</f>
        <v>0.25</v>
      </c>
      <c r="N12" s="45">
        <f>(HomeTrust_rates!$B$13)*100</f>
        <v>1.6</v>
      </c>
    </row>
    <row r="13" spans="1:14" x14ac:dyDescent="0.25">
      <c r="A13" s="43" t="s">
        <v>361</v>
      </c>
      <c r="B13" s="45">
        <f>(CIBC_rates!$B$25)*100</f>
        <v>1.6</v>
      </c>
      <c r="C13" s="45">
        <f>(CIBC_rates!$C$21)*100</f>
        <v>0</v>
      </c>
      <c r="D13" s="45">
        <f>(TD_rates!$F$40)*100</f>
        <v>1.6</v>
      </c>
      <c r="E13" s="45">
        <f>(TD_rates!$F$42)*100</f>
        <v>1.6</v>
      </c>
      <c r="F13" s="45">
        <f>(TD_rates!$F$43)*100</f>
        <v>1.6</v>
      </c>
      <c r="G13" s="45">
        <f>(TD_rates!$F$44)*100</f>
        <v>1.6</v>
      </c>
      <c r="H13" s="60">
        <v>1.6</v>
      </c>
      <c r="I13" s="45">
        <f>(RBC_Rates!$C$2)*100</f>
        <v>0</v>
      </c>
      <c r="J13" s="45">
        <f>(Altamira_rates!$D$4)*100</f>
        <v>1.6</v>
      </c>
      <c r="K13" s="45">
        <f>(Manulife_ISA_CAD[ISA CAD])*100</f>
        <v>0</v>
      </c>
      <c r="L13" s="76">
        <f>(B2B_rates!$D$2)*100</f>
        <v>1.4500000000000002</v>
      </c>
      <c r="M13" s="45">
        <f>(BNS_Rates!$C$40)*100</f>
        <v>0.25</v>
      </c>
      <c r="N13" s="45">
        <f>(HomeTrust_rates!$B$13)*100</f>
        <v>1.6</v>
      </c>
    </row>
    <row r="14" spans="1:14" x14ac:dyDescent="0.25">
      <c r="A14" s="43" t="s">
        <v>362</v>
      </c>
      <c r="B14" s="45">
        <f>(CIBC_rates!$B$25)*100</f>
        <v>1.6</v>
      </c>
      <c r="C14" s="45">
        <f>(CIBC_rates!$C$21)*100</f>
        <v>0</v>
      </c>
      <c r="D14" s="45">
        <f>(TD_rates!$F$40)*100</f>
        <v>1.6</v>
      </c>
      <c r="E14" s="45">
        <f>(TD_rates!$F$42)*100</f>
        <v>1.6</v>
      </c>
      <c r="F14" s="45">
        <f>(TD_rates!$F$43)*100</f>
        <v>1.6</v>
      </c>
      <c r="G14" s="45">
        <f>(TD_rates!$F$44)*100</f>
        <v>1.6</v>
      </c>
      <c r="H14" s="60">
        <v>1.6</v>
      </c>
      <c r="I14" s="45">
        <f>(RBC_Rates!$C$2)*100</f>
        <v>0</v>
      </c>
      <c r="J14" s="45">
        <f>(Altamira_rates!$D$4)*100</f>
        <v>1.6</v>
      </c>
      <c r="K14" s="45">
        <f>(Manulife_ISA_CAD[ISA CAD])*100</f>
        <v>0</v>
      </c>
      <c r="L14" s="76">
        <f>(B2B_rates!$D$2)*100</f>
        <v>1.4500000000000002</v>
      </c>
      <c r="M14" s="45">
        <f>(BNS_Rates!$C$40)*100</f>
        <v>0.25</v>
      </c>
      <c r="N14" s="45">
        <f>(HomeTrust_rates!$B$13)*100</f>
        <v>1.6</v>
      </c>
    </row>
    <row r="15" spans="1:14" x14ac:dyDescent="0.25">
      <c r="A15" s="43" t="s">
        <v>363</v>
      </c>
      <c r="B15" s="45">
        <f>(CIBC_rates!$B$25)*100</f>
        <v>1.6</v>
      </c>
      <c r="C15" s="45">
        <f>(CIBC_rates!$C$21)*100</f>
        <v>0</v>
      </c>
      <c r="D15" s="45">
        <f>(TD_rates!$F$40)*100</f>
        <v>1.6</v>
      </c>
      <c r="E15" s="45">
        <f>(TD_rates!$F$42)*100</f>
        <v>1.6</v>
      </c>
      <c r="F15" s="45">
        <f>(TD_rates!$F$43)*100</f>
        <v>1.6</v>
      </c>
      <c r="G15" s="45">
        <f>(TD_rates!$F$44)*100</f>
        <v>1.6</v>
      </c>
      <c r="H15" s="60">
        <v>1.6</v>
      </c>
      <c r="I15" s="45">
        <f>(RBC_Rates!$C$2)*100</f>
        <v>0</v>
      </c>
      <c r="J15" s="45">
        <f>(Altamira_rates!$D$4)*100</f>
        <v>1.6</v>
      </c>
      <c r="K15" s="45">
        <f>(Manulife_ISA_CAD[ISA CAD])*100</f>
        <v>0</v>
      </c>
      <c r="L15" s="76">
        <f>(B2B_rates!$D$2)*100</f>
        <v>1.4500000000000002</v>
      </c>
      <c r="M15" s="45">
        <f>(BNS_Rates!$C$40)*100</f>
        <v>0.25</v>
      </c>
      <c r="N15" s="45">
        <f>(HomeTrust_rates!$B$13)*100</f>
        <v>1.6</v>
      </c>
    </row>
    <row r="16" spans="1:14" x14ac:dyDescent="0.25">
      <c r="A16" s="43" t="s">
        <v>36</v>
      </c>
      <c r="B16" s="45">
        <f>(CIBC_rates!$B$25)*100</f>
        <v>1.6</v>
      </c>
      <c r="C16" s="45">
        <f>(CIBC_rates!$C$21)*100</f>
        <v>0</v>
      </c>
      <c r="D16" s="45">
        <f>(TD_rates!$F$40)*100</f>
        <v>1.6</v>
      </c>
      <c r="E16" s="45">
        <f>(TD_rates!$F$42)*100</f>
        <v>1.6</v>
      </c>
      <c r="F16" s="45">
        <f>(TD_rates!$F$43)*100</f>
        <v>1.6</v>
      </c>
      <c r="G16" s="45">
        <f>(TD_rates!$F$44)*100</f>
        <v>1.6</v>
      </c>
      <c r="H16" s="60">
        <v>1.6</v>
      </c>
      <c r="I16" s="45">
        <f>(RBC_Rates!$C$2)*100</f>
        <v>0</v>
      </c>
      <c r="J16" s="45">
        <f>(Altamira_rates!$D$4)*100</f>
        <v>1.6</v>
      </c>
      <c r="K16" s="45">
        <f>(Manulife_ISA_CAD[ISA CAD])*100</f>
        <v>0</v>
      </c>
      <c r="L16" s="76">
        <f>(B2B_rates!$D$2)*100</f>
        <v>1.4500000000000002</v>
      </c>
      <c r="M16" s="45">
        <f>(BNS_Rates!$C$40)*100</f>
        <v>0.25</v>
      </c>
      <c r="N16" s="45">
        <f>(HomeTrust_rates!$B$13)*100</f>
        <v>1.6</v>
      </c>
    </row>
    <row r="17" spans="1:14" x14ac:dyDescent="0.25">
      <c r="A17" s="43" t="s">
        <v>37</v>
      </c>
      <c r="B17" s="45">
        <f>(CIBC_rates!$B$25)*100</f>
        <v>1.6</v>
      </c>
      <c r="C17" s="45">
        <f>(CIBC_rates!$C$21)*100</f>
        <v>0</v>
      </c>
      <c r="D17" s="45">
        <f>(TD_rates!$F$40)*100</f>
        <v>1.6</v>
      </c>
      <c r="E17" s="45">
        <f>(TD_rates!$F$42)*100</f>
        <v>1.6</v>
      </c>
      <c r="F17" s="45">
        <f>(TD_rates!$F$43)*100</f>
        <v>1.6</v>
      </c>
      <c r="G17" s="45">
        <f>(TD_rates!$F$44)*100</f>
        <v>1.6</v>
      </c>
      <c r="H17" s="60">
        <v>1.6</v>
      </c>
      <c r="I17" s="45">
        <f>(RBC_Rates!$C$2)*100</f>
        <v>0</v>
      </c>
      <c r="J17" s="45">
        <f>(Altamira_rates!$D$4)*100</f>
        <v>1.6</v>
      </c>
      <c r="K17" s="45">
        <f>(Manulife_ISA_CAD[ISA CAD])*100</f>
        <v>0</v>
      </c>
      <c r="L17" s="76">
        <f>(B2B_rates!$D$2)*100</f>
        <v>1.4500000000000002</v>
      </c>
      <c r="M17" s="45">
        <f>(BNS_Rates!$C$40)*100</f>
        <v>0.25</v>
      </c>
      <c r="N17" s="45">
        <f>(HomeTrust_rates!$B$13)*100</f>
        <v>1.6</v>
      </c>
    </row>
    <row r="18" spans="1:14" x14ac:dyDescent="0.25">
      <c r="A18" s="43" t="s">
        <v>38</v>
      </c>
      <c r="B18" s="45">
        <f>(CIBC_rates!$B$25)*100</f>
        <v>1.6</v>
      </c>
      <c r="C18" s="45">
        <f>(CIBC_rates!$C$21)*100</f>
        <v>0</v>
      </c>
      <c r="D18" s="45">
        <f>(TD_rates!$F$40)*100</f>
        <v>1.6</v>
      </c>
      <c r="E18" s="45">
        <f>(TD_rates!$F$42)*100</f>
        <v>1.6</v>
      </c>
      <c r="F18" s="45">
        <f>(TD_rates!$F$43)*100</f>
        <v>1.6</v>
      </c>
      <c r="G18" s="45">
        <f>(TD_rates!$F$44)*100</f>
        <v>1.6</v>
      </c>
      <c r="H18" s="60">
        <v>1.6</v>
      </c>
      <c r="I18" s="45">
        <f>(RBC_Rates!$C$2)*100</f>
        <v>0</v>
      </c>
      <c r="J18" s="45">
        <f>(Altamira_rates!$D$4)*100</f>
        <v>1.6</v>
      </c>
      <c r="K18" s="45">
        <f>(Manulife_ISA_CAD[ISA CAD])*100</f>
        <v>0</v>
      </c>
      <c r="L18" s="76">
        <f>(B2B_rates!$D$2)*100</f>
        <v>1.4500000000000002</v>
      </c>
      <c r="M18" s="45">
        <f>(BNS_Rates!$C$40)*100</f>
        <v>0.25</v>
      </c>
      <c r="N18" s="45">
        <f>(HomeTrust_rates!$B$13)*100</f>
        <v>1.6</v>
      </c>
    </row>
    <row r="19" spans="1:14" x14ac:dyDescent="0.25">
      <c r="A19" s="43" t="s">
        <v>39</v>
      </c>
      <c r="B19" s="45">
        <f>(CIBC_rates!$B$25)*100</f>
        <v>1.6</v>
      </c>
      <c r="C19" s="45">
        <f>(CIBC_rates!$C$21)*100</f>
        <v>0</v>
      </c>
      <c r="D19" s="45">
        <f>(TD_rates!$F$40)*100</f>
        <v>1.6</v>
      </c>
      <c r="E19" s="45">
        <f>(TD_rates!$F$42)*100</f>
        <v>1.6</v>
      </c>
      <c r="F19" s="45">
        <f>(TD_rates!$F$43)*100</f>
        <v>1.6</v>
      </c>
      <c r="G19" s="45">
        <f>(TD_rates!$F$44)*100</f>
        <v>1.6</v>
      </c>
      <c r="H19" s="60">
        <v>1.6</v>
      </c>
      <c r="I19" s="45">
        <f>(RBC_Rates!$C$2)*100</f>
        <v>0</v>
      </c>
      <c r="J19" s="45">
        <f>(Altamira_rates!$D$4)*100</f>
        <v>1.6</v>
      </c>
      <c r="K19" s="45">
        <f>(Manulife_ISA_CAD[ISA CAD])*100</f>
        <v>0</v>
      </c>
      <c r="L19" s="76">
        <f>(B2B_rates!$D$2)*100</f>
        <v>1.4500000000000002</v>
      </c>
      <c r="M19" s="45">
        <f>(BNS_Rates!$C$40)*100</f>
        <v>0.25</v>
      </c>
      <c r="N19" s="45">
        <f>(HomeTrust_rates!$B$13)*100</f>
        <v>1.6</v>
      </c>
    </row>
    <row r="20" spans="1:14" s="42" customFormat="1" x14ac:dyDescent="0.25">
      <c r="A20" s="43" t="s">
        <v>425</v>
      </c>
      <c r="B20" s="45">
        <f>(CIBC_rates!$B$25)*100</f>
        <v>1.6</v>
      </c>
      <c r="C20" s="45">
        <f>(CIBC_rates!$C$21)*100</f>
        <v>0</v>
      </c>
      <c r="D20" s="45">
        <f>(TD_rates!$F$40)*100</f>
        <v>1.6</v>
      </c>
      <c r="E20" s="45">
        <f>(TD_rates!$F$42)*100</f>
        <v>1.6</v>
      </c>
      <c r="F20" s="45">
        <f>(TD_rates!$F$43)*100</f>
        <v>1.6</v>
      </c>
      <c r="G20" s="45">
        <f>(TD_rates!$F$44)*100</f>
        <v>1.6</v>
      </c>
      <c r="H20" s="60">
        <v>1.6</v>
      </c>
      <c r="I20" s="45">
        <f>(RBC_Rates!$C$2)*100</f>
        <v>0</v>
      </c>
      <c r="J20" s="45">
        <f>(Altamira_rates!$D$4)*100</f>
        <v>1.6</v>
      </c>
      <c r="K20" s="45">
        <f>(Manulife_ISA_CAD[ISA CAD])*100</f>
        <v>0</v>
      </c>
      <c r="L20" s="76">
        <f>(B2B_rates!$D$2)*100</f>
        <v>1.4500000000000002</v>
      </c>
      <c r="M20" s="45">
        <f>(BNS_Rates!$C$40)*100</f>
        <v>0.25</v>
      </c>
      <c r="N20" s="45">
        <f>(HomeTrust_rates!$B$13)*100</f>
        <v>1.6</v>
      </c>
    </row>
    <row r="21" spans="1:14" x14ac:dyDescent="0.25">
      <c r="A21" s="43" t="s">
        <v>426</v>
      </c>
      <c r="B21" s="45">
        <f>(CIBC_rates!$B$25)*100</f>
        <v>1.6</v>
      </c>
      <c r="C21" s="45">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1.4500000000000002</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370</v>
      </c>
      <c r="C6" s="28" t="s">
        <v>371</v>
      </c>
      <c r="D6" s="28" t="s">
        <v>372</v>
      </c>
    </row>
    <row r="7" spans="1:4" ht="45" x14ac:dyDescent="0.25">
      <c r="A7" s="26">
        <v>43656</v>
      </c>
      <c r="B7" s="27" t="s">
        <v>440</v>
      </c>
      <c r="C7" s="28" t="s">
        <v>371</v>
      </c>
      <c r="D7" s="28" t="s">
        <v>372</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28515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268</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258</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259</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364</v>
      </c>
      <c r="B20" t="s">
        <v>380</v>
      </c>
      <c r="C20" t="s">
        <v>381</v>
      </c>
    </row>
    <row r="21" spans="1:5" x14ac:dyDescent="0.25">
      <c r="B21" s="18"/>
      <c r="C21"/>
      <c r="E21">
        <v>0</v>
      </c>
    </row>
    <row r="22" spans="1:5" x14ac:dyDescent="0.25">
      <c r="B22" s="18"/>
      <c r="C22"/>
      <c r="E22">
        <v>0</v>
      </c>
    </row>
    <row r="24" spans="1:5" x14ac:dyDescent="0.25">
      <c r="A24" t="s">
        <v>390</v>
      </c>
      <c r="B24" t="s">
        <v>378</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268</v>
      </c>
    </row>
    <row r="2" spans="1:5" x14ac:dyDescent="0.25">
      <c r="A2" t="s">
        <v>277</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274</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275</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278</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276</v>
      </c>
      <c r="B11" s="18" t="s">
        <v>270</v>
      </c>
      <c r="C11">
        <v>1E-4</v>
      </c>
      <c r="E11">
        <f>IF(OR(BMO_Savings_Accounts[[#This Row],[Balance]]="All Balances",MID(BMO_Savings_Accounts[[#This Row],[Balance]],1,5)="up to"),0,VALUE(TRIM(MID(BMO_Savings_Accounts[[#This Row],[Balance]],2,FIND(" ",BMO_Savings_Accounts[[#This Row],[Balance]],2)-2))))</f>
        <v>0</v>
      </c>
    </row>
    <row r="12" spans="1:5" x14ac:dyDescent="0.25">
      <c r="B12" s="18" t="s">
        <v>271</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272</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273</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4AEED-329D-4D68-9BC6-27F6E1EA05B9}">
  <dimension ref="A1:B3"/>
  <sheetViews>
    <sheetView workbookViewId="0"/>
  </sheetViews>
  <sheetFormatPr defaultRowHeight="15" x14ac:dyDescent="0.25"/>
  <cols>
    <col min="1" max="1" width="50.85546875" bestFit="1" customWidth="1"/>
    <col min="2" max="2" width="22.7109375" bestFit="1" customWidth="1"/>
  </cols>
  <sheetData>
    <row r="1" spans="1:2" x14ac:dyDescent="0.25">
      <c r="A1" t="s">
        <v>529</v>
      </c>
      <c r="B1" t="s">
        <v>524</v>
      </c>
    </row>
    <row r="2" spans="1:2" x14ac:dyDescent="0.25">
      <c r="A2" s="18" t="s">
        <v>134</v>
      </c>
      <c r="B2" s="42">
        <v>2.0000000000000001E-4</v>
      </c>
    </row>
    <row r="3" spans="1:2" x14ac:dyDescent="0.25">
      <c r="A3" s="18" t="s">
        <v>135</v>
      </c>
      <c r="B3" s="42">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C9C12-2890-4309-AFFB-B406034D2CBD}">
  <dimension ref="A1:B3"/>
  <sheetViews>
    <sheetView workbookViewId="0"/>
  </sheetViews>
  <sheetFormatPr defaultRowHeight="15" x14ac:dyDescent="0.25"/>
  <cols>
    <col min="1" max="1" width="51.85546875" bestFit="1" customWidth="1"/>
    <col min="2" max="2" width="23.85546875" bestFit="1" customWidth="1"/>
  </cols>
  <sheetData>
    <row r="1" spans="1:2" x14ac:dyDescent="0.25">
      <c r="A1" t="s">
        <v>527</v>
      </c>
      <c r="B1" t="s">
        <v>528</v>
      </c>
    </row>
    <row r="2" spans="1:2" x14ac:dyDescent="0.25">
      <c r="A2" s="18" t="s">
        <v>404</v>
      </c>
      <c r="B2" s="42">
        <v>2.0000000000000001E-4</v>
      </c>
    </row>
    <row r="3" spans="1:2" x14ac:dyDescent="0.25">
      <c r="A3" s="18" t="s">
        <v>403</v>
      </c>
      <c r="B3" s="42">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15981-DCD8-468F-847B-D8B344E2ECA7}">
  <dimension ref="A1:B3"/>
  <sheetViews>
    <sheetView topLeftCell="P1" workbookViewId="0"/>
  </sheetViews>
  <sheetFormatPr defaultRowHeight="15" x14ac:dyDescent="0.25"/>
  <cols>
    <col min="1" max="1" width="81.140625" bestFit="1" customWidth="1"/>
    <col min="2" max="2" width="22.7109375" bestFit="1" customWidth="1"/>
  </cols>
  <sheetData>
    <row r="1" spans="1:2" x14ac:dyDescent="0.25">
      <c r="A1" t="s">
        <v>523</v>
      </c>
      <c r="B1" t="s">
        <v>524</v>
      </c>
    </row>
    <row r="2" spans="1:2" x14ac:dyDescent="0.25">
      <c r="A2" s="18" t="s">
        <v>134</v>
      </c>
      <c r="B2" s="42">
        <v>2.0000000000000001E-4</v>
      </c>
    </row>
    <row r="3" spans="1:2" x14ac:dyDescent="0.25">
      <c r="A3" s="18" t="s">
        <v>135</v>
      </c>
      <c r="B3" s="42">
        <v>2.0000000000000001E-4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A5B9B-6332-4D05-A120-43479FFFE9EF}">
  <dimension ref="A1:B6"/>
  <sheetViews>
    <sheetView workbookViewId="0"/>
  </sheetViews>
  <sheetFormatPr defaultRowHeight="15" x14ac:dyDescent="0.25"/>
  <cols>
    <col min="1" max="1" width="48.85546875" bestFit="1" customWidth="1"/>
    <col min="2" max="2" width="22.7109375" bestFit="1" customWidth="1"/>
  </cols>
  <sheetData>
    <row r="1" spans="1:2" x14ac:dyDescent="0.25">
      <c r="A1" t="s">
        <v>526</v>
      </c>
      <c r="B1" t="s">
        <v>524</v>
      </c>
    </row>
    <row r="2" spans="1:2" x14ac:dyDescent="0.25">
      <c r="A2" s="18" t="s">
        <v>409</v>
      </c>
      <c r="B2" s="42">
        <v>1E-3</v>
      </c>
    </row>
    <row r="3" spans="1:2" x14ac:dyDescent="0.25">
      <c r="A3" s="18" t="s">
        <v>408</v>
      </c>
      <c r="B3" s="42">
        <v>5.0000000000000001E-4</v>
      </c>
    </row>
    <row r="4" spans="1:2" x14ac:dyDescent="0.25">
      <c r="A4" s="18" t="s">
        <v>407</v>
      </c>
      <c r="B4" s="42">
        <v>2.5000000000000001E-4</v>
      </c>
    </row>
    <row r="5" spans="1:2" x14ac:dyDescent="0.25">
      <c r="A5" s="18" t="s">
        <v>406</v>
      </c>
      <c r="B5" s="42">
        <v>1E-4</v>
      </c>
    </row>
    <row r="6" spans="1:2" x14ac:dyDescent="0.25">
      <c r="A6" s="18" t="s">
        <v>405</v>
      </c>
      <c r="B6" s="42">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F7D5F-338D-44AB-9B6E-D5D404740A97}">
  <dimension ref="A1:B7"/>
  <sheetViews>
    <sheetView workbookViewId="0"/>
  </sheetViews>
  <sheetFormatPr defaultRowHeight="15" x14ac:dyDescent="0.25"/>
  <cols>
    <col min="1" max="1" width="48.85546875" bestFit="1" customWidth="1"/>
    <col min="2" max="2" width="22.7109375" bestFit="1" customWidth="1"/>
  </cols>
  <sheetData>
    <row r="1" spans="1:2" x14ac:dyDescent="0.25">
      <c r="A1" t="s">
        <v>526</v>
      </c>
      <c r="B1" t="s">
        <v>524</v>
      </c>
    </row>
    <row r="2" spans="1:2" x14ac:dyDescent="0.25">
      <c r="A2" s="18" t="s">
        <v>189</v>
      </c>
      <c r="B2" s="42">
        <v>1.5E-3</v>
      </c>
    </row>
    <row r="3" spans="1:2" x14ac:dyDescent="0.25">
      <c r="A3" s="18" t="s">
        <v>35</v>
      </c>
      <c r="B3" s="42">
        <v>1E-3</v>
      </c>
    </row>
    <row r="4" spans="1:2" x14ac:dyDescent="0.25">
      <c r="A4" s="18" t="s">
        <v>36</v>
      </c>
      <c r="B4" s="42">
        <v>5.0000000000000001E-4</v>
      </c>
    </row>
    <row r="5" spans="1:2" x14ac:dyDescent="0.25">
      <c r="A5" s="18" t="s">
        <v>37</v>
      </c>
      <c r="B5" s="42">
        <v>2.5000000000000001E-4</v>
      </c>
    </row>
    <row r="6" spans="1:2" x14ac:dyDescent="0.25">
      <c r="A6" s="18" t="s">
        <v>190</v>
      </c>
      <c r="B6" s="42">
        <v>1E-4</v>
      </c>
    </row>
    <row r="7" spans="1:2" x14ac:dyDescent="0.25">
      <c r="A7" s="18" t="s">
        <v>191</v>
      </c>
      <c r="B7" s="42">
        <v>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4293E-149C-49E4-A4BD-60149C7F332B}">
  <dimension ref="A1:B3"/>
  <sheetViews>
    <sheetView workbookViewId="0"/>
  </sheetViews>
  <sheetFormatPr defaultRowHeight="15" x14ac:dyDescent="0.25"/>
  <cols>
    <col min="1" max="1" width="59.28515625" bestFit="1" customWidth="1"/>
    <col min="2" max="2" width="22.7109375" bestFit="1" customWidth="1"/>
  </cols>
  <sheetData>
    <row r="1" spans="1:2" x14ac:dyDescent="0.25">
      <c r="A1" t="s">
        <v>525</v>
      </c>
      <c r="B1" t="s">
        <v>524</v>
      </c>
    </row>
    <row r="2" spans="1:2" x14ac:dyDescent="0.25">
      <c r="A2" s="18" t="s">
        <v>136</v>
      </c>
      <c r="B2" s="42">
        <v>1.0999999999999999E-2</v>
      </c>
    </row>
    <row r="3" spans="1:2" x14ac:dyDescent="0.25">
      <c r="A3" s="18" t="s">
        <v>327</v>
      </c>
      <c r="B3" s="42">
        <v>0.01</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33EA8-9801-49FD-B550-1AD34731386F}">
  <dimension ref="A1:B4"/>
  <sheetViews>
    <sheetView workbookViewId="0"/>
  </sheetViews>
  <sheetFormatPr defaultRowHeight="15" x14ac:dyDescent="0.25"/>
  <cols>
    <col min="1" max="1" width="59.28515625" bestFit="1" customWidth="1"/>
    <col min="2" max="2" width="22.7109375" bestFit="1" customWidth="1"/>
  </cols>
  <sheetData>
    <row r="1" spans="1:2" x14ac:dyDescent="0.25">
      <c r="A1" t="s">
        <v>525</v>
      </c>
      <c r="B1" t="s">
        <v>524</v>
      </c>
    </row>
    <row r="2" spans="1:2" x14ac:dyDescent="0.25">
      <c r="A2" s="18" t="s">
        <v>136</v>
      </c>
      <c r="B2" s="42">
        <v>1.0999999999999999E-2</v>
      </c>
    </row>
    <row r="3" spans="1:2" x14ac:dyDescent="0.25">
      <c r="A3" s="18" t="s">
        <v>137</v>
      </c>
      <c r="B3" s="42">
        <v>0.01</v>
      </c>
    </row>
    <row r="4" spans="1:2" x14ac:dyDescent="0.25">
      <c r="A4" s="18" t="s">
        <v>138</v>
      </c>
      <c r="B4" s="42">
        <v>5.0000000000000001E-4</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03058-2F52-4C50-8997-FB115C72BC56}">
  <dimension ref="A1:B3"/>
  <sheetViews>
    <sheetView workbookViewId="0"/>
  </sheetViews>
  <sheetFormatPr defaultRowHeight="15" x14ac:dyDescent="0.25"/>
  <cols>
    <col min="1" max="1" width="81.140625" bestFit="1" customWidth="1"/>
    <col min="2" max="2" width="22.7109375" bestFit="1" customWidth="1"/>
  </cols>
  <sheetData>
    <row r="1" spans="1:2" x14ac:dyDescent="0.25">
      <c r="A1" t="s">
        <v>523</v>
      </c>
      <c r="B1" t="s">
        <v>524</v>
      </c>
    </row>
    <row r="2" spans="1:2" x14ac:dyDescent="0.25">
      <c r="A2" s="18" t="s">
        <v>134</v>
      </c>
      <c r="B2" s="42">
        <v>5.0000000000000001E-4</v>
      </c>
    </row>
    <row r="3" spans="1:2" x14ac:dyDescent="0.25">
      <c r="A3" s="18" t="s">
        <v>135</v>
      </c>
      <c r="B3" s="42">
        <v>5.0000000000000001E-4</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C02D5-E7E0-4B66-A771-B6C4145B1B36}">
  <dimension ref="A1:B3"/>
  <sheetViews>
    <sheetView workbookViewId="0"/>
  </sheetViews>
  <sheetFormatPr defaultRowHeight="15" x14ac:dyDescent="0.25"/>
  <cols>
    <col min="1" max="1" width="34.5703125" bestFit="1" customWidth="1"/>
    <col min="2" max="2" width="24.7109375" bestFit="1" customWidth="1"/>
  </cols>
  <sheetData>
    <row r="1" spans="1:2" x14ac:dyDescent="0.25">
      <c r="A1" t="s">
        <v>532</v>
      </c>
      <c r="B1" t="s">
        <v>533</v>
      </c>
    </row>
    <row r="2" spans="1:2" x14ac:dyDescent="0.25">
      <c r="A2" s="18" t="s">
        <v>134</v>
      </c>
      <c r="B2" s="42">
        <v>2.0000000000000001E-4</v>
      </c>
    </row>
    <row r="3" spans="1:2" x14ac:dyDescent="0.25">
      <c r="A3" s="18" t="s">
        <v>138</v>
      </c>
      <c r="B3" s="42">
        <v>2.0000000000000001E-4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35FA4-CECC-4002-B1D0-9D253B5277D8}">
  <dimension ref="A1:B3"/>
  <sheetViews>
    <sheetView workbookViewId="0"/>
  </sheetViews>
  <sheetFormatPr defaultRowHeight="15" x14ac:dyDescent="0.25"/>
  <cols>
    <col min="1" max="1" width="46.7109375" bestFit="1" customWidth="1"/>
    <col min="2" max="2" width="24.7109375" bestFit="1" customWidth="1"/>
  </cols>
  <sheetData>
    <row r="1" spans="1:2" x14ac:dyDescent="0.25">
      <c r="A1" t="s">
        <v>530</v>
      </c>
      <c r="B1" t="s">
        <v>531</v>
      </c>
    </row>
    <row r="2" spans="1:2" x14ac:dyDescent="0.25">
      <c r="A2" s="18" t="s">
        <v>134</v>
      </c>
      <c r="B2" s="42">
        <v>2.0000000000000001E-4</v>
      </c>
    </row>
    <row r="3" spans="1:2" x14ac:dyDescent="0.25">
      <c r="A3" s="18" t="s">
        <v>138</v>
      </c>
      <c r="B3" s="42">
        <v>2.0000000000000001E-4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A54C9-3356-48D8-9135-68CE5F701841}">
  <dimension ref="A1:D3"/>
  <sheetViews>
    <sheetView workbookViewId="0"/>
  </sheetViews>
  <sheetFormatPr defaultRowHeight="15" x14ac:dyDescent="0.25"/>
  <cols>
    <col min="1" max="1" width="71.28515625" bestFit="1" customWidth="1"/>
    <col min="2" max="2" width="22.140625" bestFit="1" customWidth="1"/>
    <col min="3" max="3" width="31" bestFit="1" customWidth="1"/>
    <col min="4" max="4" width="26.7109375" bestFit="1" customWidth="1"/>
  </cols>
  <sheetData>
    <row r="1" spans="1:4" x14ac:dyDescent="0.25">
      <c r="A1" t="s">
        <v>521</v>
      </c>
      <c r="B1" t="s">
        <v>316</v>
      </c>
      <c r="C1" t="s">
        <v>522</v>
      </c>
      <c r="D1" t="s">
        <v>315</v>
      </c>
    </row>
    <row r="2" spans="1:4" x14ac:dyDescent="0.25">
      <c r="A2" s="18" t="s">
        <v>134</v>
      </c>
      <c r="B2" s="42">
        <v>5.0000000000000001E-3</v>
      </c>
      <c r="C2" s="18" t="s">
        <v>519</v>
      </c>
      <c r="D2" s="42">
        <v>1.4999999999999999E-2</v>
      </c>
    </row>
    <row r="3" spans="1:4" x14ac:dyDescent="0.25">
      <c r="A3" s="18" t="s">
        <v>138</v>
      </c>
      <c r="B3" s="42">
        <v>5.0000000000000001E-4</v>
      </c>
      <c r="C3" s="18" t="s">
        <v>534</v>
      </c>
      <c r="D3" s="42">
        <v>5.0000000000000001E-4</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5B7E1-41F7-4253-876C-B07B3CB81F35}">
  <dimension ref="A1:H6"/>
  <sheetViews>
    <sheetView workbookViewId="0"/>
  </sheetViews>
  <sheetFormatPr defaultRowHeight="15" x14ac:dyDescent="0.25"/>
  <cols>
    <col min="1" max="1" width="23.42578125" bestFit="1" customWidth="1"/>
    <col min="2" max="2" width="23.28515625" bestFit="1" customWidth="1"/>
    <col min="3" max="3" width="23.85546875" bestFit="1" customWidth="1"/>
    <col min="4" max="4" width="26.85546875" bestFit="1" customWidth="1"/>
    <col min="5" max="5" width="81.140625" bestFit="1" customWidth="1"/>
    <col min="6" max="6" width="60" bestFit="1" customWidth="1"/>
    <col min="7" max="7" width="81.140625" bestFit="1" customWidth="1"/>
    <col min="8" max="8" width="59.28515625" style="42" bestFit="1" customWidth="1"/>
    <col min="9" max="9" width="59.140625" bestFit="1" customWidth="1"/>
  </cols>
  <sheetData>
    <row r="1" spans="1:8" x14ac:dyDescent="0.25">
      <c r="A1" t="s">
        <v>156</v>
      </c>
      <c r="B1" t="s">
        <v>510</v>
      </c>
      <c r="C1" t="s">
        <v>314</v>
      </c>
      <c r="D1" t="s">
        <v>315</v>
      </c>
      <c r="E1" t="s">
        <v>512</v>
      </c>
      <c r="F1" t="s">
        <v>513</v>
      </c>
      <c r="G1" t="s">
        <v>514</v>
      </c>
      <c r="H1" t="s">
        <v>515</v>
      </c>
    </row>
    <row r="2" spans="1:8" x14ac:dyDescent="0.25">
      <c r="A2" s="18" t="s">
        <v>317</v>
      </c>
      <c r="B2" s="42">
        <v>0.01</v>
      </c>
      <c r="C2" s="18" t="s">
        <v>31</v>
      </c>
      <c r="D2" s="42">
        <v>0.01</v>
      </c>
      <c r="E2" s="42">
        <v>5.0000000000000001E-4</v>
      </c>
      <c r="F2" s="42">
        <v>1.0500000000000001E-2</v>
      </c>
      <c r="G2" s="42">
        <v>1E-3</v>
      </c>
      <c r="H2" s="42">
        <v>1.0999999999999999E-2</v>
      </c>
    </row>
    <row r="3" spans="1:8" x14ac:dyDescent="0.25">
      <c r="A3" s="18" t="s">
        <v>130</v>
      </c>
      <c r="B3" s="42">
        <v>0.01</v>
      </c>
      <c r="C3" s="18" t="s">
        <v>516</v>
      </c>
      <c r="D3" s="42">
        <v>1.4999999999999999E-2</v>
      </c>
      <c r="E3" s="42">
        <v>5.0000000000000001E-4</v>
      </c>
      <c r="F3" s="42">
        <v>1.55E-2</v>
      </c>
      <c r="G3" s="42">
        <v>1E-3</v>
      </c>
      <c r="H3" s="42">
        <v>1.6E-2</v>
      </c>
    </row>
    <row r="4" spans="1:8" x14ac:dyDescent="0.25">
      <c r="A4" s="18" t="s">
        <v>131</v>
      </c>
      <c r="B4" s="42">
        <v>0.01</v>
      </c>
      <c r="C4" s="18" t="s">
        <v>517</v>
      </c>
      <c r="D4" s="42">
        <v>1.6E-2</v>
      </c>
      <c r="E4" s="42">
        <v>5.0000000000000001E-4</v>
      </c>
      <c r="F4" s="42">
        <v>1.6500000000000001E-2</v>
      </c>
      <c r="G4" s="42">
        <v>1E-3</v>
      </c>
      <c r="H4" s="42">
        <v>1.7000000000000001E-2</v>
      </c>
    </row>
    <row r="5" spans="1:8" x14ac:dyDescent="0.25">
      <c r="A5" s="18" t="s">
        <v>132</v>
      </c>
      <c r="B5" s="42">
        <v>0.01</v>
      </c>
      <c r="C5" s="18" t="s">
        <v>518</v>
      </c>
      <c r="D5" s="42">
        <v>1.7999999999999999E-2</v>
      </c>
      <c r="E5" s="42">
        <v>5.0000000000000001E-4</v>
      </c>
      <c r="F5" s="42">
        <v>1.8499999999999999E-2</v>
      </c>
      <c r="G5" s="42">
        <v>1E-3</v>
      </c>
      <c r="H5" s="42">
        <v>1.9E-2</v>
      </c>
    </row>
    <row r="6" spans="1:8" x14ac:dyDescent="0.25">
      <c r="A6" s="18" t="s">
        <v>133</v>
      </c>
      <c r="B6" s="42">
        <v>0.01</v>
      </c>
      <c r="C6" s="18" t="s">
        <v>519</v>
      </c>
      <c r="D6" s="42">
        <v>0.02</v>
      </c>
      <c r="E6" s="42">
        <v>5.0000000000000001E-4</v>
      </c>
      <c r="F6" s="42">
        <v>2.0500000000000001E-2</v>
      </c>
      <c r="G6" s="42">
        <v>1E-3</v>
      </c>
      <c r="H6" s="42">
        <v>2.1000000000000001E-2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4A239-0734-4738-9212-689317BADB97}">
  <dimension ref="A1:V36"/>
  <sheetViews>
    <sheetView workbookViewId="0"/>
  </sheetViews>
  <sheetFormatPr defaultRowHeight="15" x14ac:dyDescent="0.25"/>
  <cols>
    <col min="1" max="1" width="50.28515625" bestFit="1" customWidth="1"/>
    <col min="2" max="2" width="23.140625" bestFit="1" customWidth="1"/>
    <col min="3" max="3" width="26.140625" bestFit="1" customWidth="1"/>
    <col min="4" max="4" width="26.7109375" bestFit="1" customWidth="1"/>
    <col min="5" max="5" width="81.140625" bestFit="1" customWidth="1"/>
    <col min="6" max="6" width="59.85546875" bestFit="1" customWidth="1"/>
    <col min="7" max="7" width="81.140625" bestFit="1" customWidth="1"/>
    <col min="8" max="8" width="59.140625" bestFit="1" customWidth="1"/>
    <col min="9" max="9" width="71.28515625" bestFit="1" customWidth="1"/>
    <col min="10" max="10" width="22.140625" bestFit="1" customWidth="1"/>
    <col min="11" max="11" width="31" bestFit="1" customWidth="1"/>
    <col min="12" max="12" width="81.140625" bestFit="1" customWidth="1"/>
    <col min="13" max="13" width="22.7109375" bestFit="1" customWidth="1"/>
    <col min="14" max="14" width="59.28515625" bestFit="1" customWidth="1"/>
    <col min="15" max="15" width="48.85546875" bestFit="1" customWidth="1"/>
    <col min="16" max="16" width="51.85546875" bestFit="1" customWidth="1"/>
    <col min="17" max="17" width="23.85546875" bestFit="1" customWidth="1"/>
    <col min="18" max="18" width="50.85546875" bestFit="1" customWidth="1"/>
    <col min="19" max="19" width="46.7109375" bestFit="1" customWidth="1"/>
    <col min="20" max="20" width="24.7109375" bestFit="1" customWidth="1"/>
    <col min="21" max="21" width="34.5703125" bestFit="1" customWidth="1"/>
    <col min="22" max="22" width="24.7109375" bestFit="1" customWidth="1"/>
  </cols>
  <sheetData>
    <row r="1" spans="1:22" x14ac:dyDescent="0.25">
      <c r="A1" t="s">
        <v>520</v>
      </c>
      <c r="B1" t="s">
        <v>510</v>
      </c>
      <c r="C1" t="s">
        <v>511</v>
      </c>
      <c r="D1" t="s">
        <v>315</v>
      </c>
      <c r="E1" t="s">
        <v>512</v>
      </c>
      <c r="F1" t="s">
        <v>513</v>
      </c>
      <c r="G1" t="s">
        <v>514</v>
      </c>
      <c r="H1" t="s">
        <v>515</v>
      </c>
      <c r="I1" t="s">
        <v>521</v>
      </c>
      <c r="J1" t="s">
        <v>316</v>
      </c>
      <c r="K1" t="s">
        <v>522</v>
      </c>
      <c r="L1" t="s">
        <v>523</v>
      </c>
      <c r="M1" t="s">
        <v>524</v>
      </c>
      <c r="N1" t="s">
        <v>525</v>
      </c>
      <c r="O1" t="s">
        <v>526</v>
      </c>
      <c r="P1" t="s">
        <v>527</v>
      </c>
      <c r="Q1" t="s">
        <v>528</v>
      </c>
      <c r="R1" t="s">
        <v>529</v>
      </c>
      <c r="S1" t="s">
        <v>530</v>
      </c>
      <c r="T1" t="s">
        <v>531</v>
      </c>
      <c r="U1" t="s">
        <v>532</v>
      </c>
      <c r="V1" t="s">
        <v>533</v>
      </c>
    </row>
    <row r="2" spans="1:22" x14ac:dyDescent="0.25">
      <c r="A2" s="18" t="s">
        <v>317</v>
      </c>
      <c r="B2" s="42">
        <v>0.01</v>
      </c>
      <c r="C2" s="18" t="s">
        <v>31</v>
      </c>
      <c r="D2" s="42">
        <v>0.01</v>
      </c>
      <c r="E2" s="42">
        <v>5.0000000000000001E-4</v>
      </c>
      <c r="F2" s="42">
        <v>1.0500000000000001E-2</v>
      </c>
      <c r="G2" s="42">
        <v>1E-3</v>
      </c>
      <c r="H2" s="42">
        <v>1.0999999999999999E-2</v>
      </c>
      <c r="I2" s="18"/>
      <c r="J2" s="42"/>
      <c r="K2" s="18"/>
      <c r="L2" s="18"/>
      <c r="M2" s="42"/>
      <c r="N2" s="18"/>
      <c r="O2" s="18"/>
      <c r="P2" s="18"/>
      <c r="Q2" s="42"/>
      <c r="R2" s="18"/>
      <c r="S2" s="18"/>
      <c r="T2" s="42"/>
      <c r="U2" s="18"/>
      <c r="V2" s="42"/>
    </row>
    <row r="3" spans="1:22" x14ac:dyDescent="0.25">
      <c r="A3" s="18" t="s">
        <v>130</v>
      </c>
      <c r="B3" s="42">
        <v>0.01</v>
      </c>
      <c r="C3" s="18" t="s">
        <v>516</v>
      </c>
      <c r="D3" s="42">
        <v>1.4999999999999999E-2</v>
      </c>
      <c r="E3" s="42">
        <v>5.0000000000000001E-4</v>
      </c>
      <c r="F3" s="42">
        <v>1.55E-2</v>
      </c>
      <c r="G3" s="42">
        <v>1E-3</v>
      </c>
      <c r="H3" s="42">
        <v>1.6E-2</v>
      </c>
      <c r="I3" s="18"/>
      <c r="J3" s="42"/>
      <c r="K3" s="18"/>
      <c r="L3" s="18"/>
      <c r="M3" s="42"/>
      <c r="N3" s="18"/>
      <c r="O3" s="18"/>
      <c r="P3" s="18"/>
      <c r="Q3" s="42"/>
      <c r="R3" s="18"/>
      <c r="S3" s="18"/>
      <c r="T3" s="42"/>
      <c r="U3" s="18"/>
      <c r="V3" s="42"/>
    </row>
    <row r="4" spans="1:22" x14ac:dyDescent="0.25">
      <c r="A4" s="18" t="s">
        <v>131</v>
      </c>
      <c r="B4" s="42">
        <v>0.01</v>
      </c>
      <c r="C4" s="18" t="s">
        <v>517</v>
      </c>
      <c r="D4" s="42">
        <v>1.6E-2</v>
      </c>
      <c r="E4" s="42">
        <v>5.0000000000000001E-4</v>
      </c>
      <c r="F4" s="42">
        <v>1.6500000000000001E-2</v>
      </c>
      <c r="G4" s="42">
        <v>1E-3</v>
      </c>
      <c r="H4" s="42">
        <v>1.7000000000000001E-2</v>
      </c>
      <c r="I4" s="18"/>
      <c r="J4" s="42"/>
      <c r="K4" s="18"/>
      <c r="L4" s="18"/>
      <c r="M4" s="42"/>
      <c r="N4" s="18"/>
      <c r="O4" s="18"/>
      <c r="P4" s="18"/>
      <c r="Q4" s="42"/>
      <c r="R4" s="18"/>
      <c r="S4" s="18"/>
      <c r="T4" s="42"/>
      <c r="U4" s="18"/>
      <c r="V4" s="42"/>
    </row>
    <row r="5" spans="1:22" x14ac:dyDescent="0.25">
      <c r="A5" s="18" t="s">
        <v>132</v>
      </c>
      <c r="B5" s="42">
        <v>0.01</v>
      </c>
      <c r="C5" s="18" t="s">
        <v>518</v>
      </c>
      <c r="D5" s="42">
        <v>1.7999999999999999E-2</v>
      </c>
      <c r="E5" s="42">
        <v>5.0000000000000001E-4</v>
      </c>
      <c r="F5" s="42">
        <v>1.8499999999999999E-2</v>
      </c>
      <c r="G5" s="42">
        <v>1E-3</v>
      </c>
      <c r="H5" s="42">
        <v>1.9E-2</v>
      </c>
      <c r="I5" s="18"/>
      <c r="J5" s="42"/>
      <c r="K5" s="18"/>
      <c r="L5" s="18"/>
      <c r="M5" s="42"/>
      <c r="N5" s="18"/>
      <c r="O5" s="18"/>
      <c r="P5" s="18"/>
      <c r="Q5" s="42"/>
      <c r="R5" s="18"/>
      <c r="S5" s="18"/>
      <c r="T5" s="42"/>
      <c r="U5" s="18"/>
      <c r="V5" s="42"/>
    </row>
    <row r="6" spans="1:22" x14ac:dyDescent="0.25">
      <c r="A6" s="18" t="s">
        <v>133</v>
      </c>
      <c r="B6" s="42">
        <v>0.01</v>
      </c>
      <c r="C6" s="18" t="s">
        <v>519</v>
      </c>
      <c r="D6" s="42">
        <v>0.02</v>
      </c>
      <c r="E6" s="42">
        <v>5.0000000000000001E-4</v>
      </c>
      <c r="F6" s="42">
        <v>2.0500000000000001E-2</v>
      </c>
      <c r="G6" s="42">
        <v>1E-3</v>
      </c>
      <c r="H6" s="42">
        <v>2.1000000000000001E-2</v>
      </c>
      <c r="I6" s="18"/>
      <c r="J6" s="42"/>
      <c r="K6" s="18"/>
      <c r="L6" s="18"/>
      <c r="M6" s="42"/>
      <c r="N6" s="18"/>
      <c r="O6" s="18"/>
      <c r="P6" s="18"/>
      <c r="Q6" s="42"/>
      <c r="R6" s="18"/>
      <c r="S6" s="18"/>
      <c r="T6" s="42"/>
      <c r="U6" s="18"/>
      <c r="V6" s="42"/>
    </row>
    <row r="7" spans="1:22" x14ac:dyDescent="0.25">
      <c r="A7" s="18"/>
      <c r="B7" s="42"/>
      <c r="C7" s="18"/>
      <c r="D7" s="42">
        <v>1.4999999999999999E-2</v>
      </c>
      <c r="E7" s="42"/>
      <c r="F7" s="42"/>
      <c r="G7" s="42"/>
      <c r="H7" s="42"/>
      <c r="I7" s="18" t="s">
        <v>134</v>
      </c>
      <c r="J7" s="42">
        <v>5.0000000000000001E-3</v>
      </c>
      <c r="K7" s="18" t="s">
        <v>519</v>
      </c>
      <c r="L7" s="18"/>
      <c r="M7" s="42"/>
      <c r="N7" s="18"/>
      <c r="O7" s="18"/>
      <c r="P7" s="18"/>
      <c r="Q7" s="42"/>
      <c r="R7" s="18"/>
      <c r="S7" s="18"/>
      <c r="T7" s="42"/>
      <c r="U7" s="18"/>
      <c r="V7" s="42"/>
    </row>
    <row r="8" spans="1:22" x14ac:dyDescent="0.25">
      <c r="A8" s="18"/>
      <c r="B8" s="42"/>
      <c r="C8" s="18"/>
      <c r="D8" s="42">
        <v>5.0000000000000001E-4</v>
      </c>
      <c r="E8" s="42"/>
      <c r="F8" s="42"/>
      <c r="G8" s="42"/>
      <c r="H8" s="42"/>
      <c r="I8" s="18" t="s">
        <v>138</v>
      </c>
      <c r="J8" s="42">
        <v>5.0000000000000001E-4</v>
      </c>
      <c r="K8" s="18" t="s">
        <v>534</v>
      </c>
      <c r="L8" s="18"/>
      <c r="M8" s="42"/>
      <c r="N8" s="18"/>
      <c r="O8" s="18"/>
      <c r="P8" s="18"/>
      <c r="Q8" s="42"/>
      <c r="R8" s="18"/>
      <c r="S8" s="18"/>
      <c r="T8" s="42"/>
      <c r="U8" s="18"/>
      <c r="V8" s="42"/>
    </row>
    <row r="9" spans="1:22" x14ac:dyDescent="0.25">
      <c r="A9" s="18"/>
      <c r="B9" s="42"/>
      <c r="C9" s="18"/>
      <c r="D9" s="42"/>
      <c r="E9" s="42"/>
      <c r="F9" s="42"/>
      <c r="G9" s="42"/>
      <c r="H9" s="42"/>
      <c r="I9" s="18"/>
      <c r="J9" s="42"/>
      <c r="K9" s="18"/>
      <c r="L9" s="18" t="s">
        <v>134</v>
      </c>
      <c r="M9" s="42">
        <v>5.0000000000000001E-4</v>
      </c>
      <c r="N9" s="18"/>
      <c r="O9" s="18"/>
      <c r="P9" s="18"/>
      <c r="Q9" s="42"/>
      <c r="R9" s="18"/>
      <c r="S9" s="18"/>
      <c r="T9" s="42"/>
      <c r="U9" s="18"/>
      <c r="V9" s="42"/>
    </row>
    <row r="10" spans="1:22" x14ac:dyDescent="0.25">
      <c r="A10" s="18"/>
      <c r="B10" s="42"/>
      <c r="C10" s="18"/>
      <c r="D10" s="42"/>
      <c r="E10" s="42"/>
      <c r="F10" s="42"/>
      <c r="G10" s="42"/>
      <c r="H10" s="42"/>
      <c r="I10" s="18"/>
      <c r="J10" s="42"/>
      <c r="K10" s="18"/>
      <c r="L10" s="18" t="s">
        <v>135</v>
      </c>
      <c r="M10" s="42">
        <v>5.0000000000000001E-4</v>
      </c>
      <c r="N10" s="18"/>
      <c r="O10" s="18"/>
      <c r="P10" s="18"/>
      <c r="Q10" s="42"/>
      <c r="R10" s="18"/>
      <c r="S10" s="18"/>
      <c r="T10" s="42"/>
      <c r="U10" s="18"/>
      <c r="V10" s="42"/>
    </row>
    <row r="11" spans="1:22" x14ac:dyDescent="0.25">
      <c r="A11" s="18"/>
      <c r="B11" s="42"/>
      <c r="C11" s="18"/>
      <c r="D11" s="42"/>
      <c r="E11" s="42"/>
      <c r="F11" s="42"/>
      <c r="G11" s="42"/>
      <c r="H11" s="42"/>
      <c r="I11" s="18"/>
      <c r="J11" s="42"/>
      <c r="K11" s="18"/>
      <c r="L11" s="18"/>
      <c r="M11" s="42">
        <v>1.0999999999999999E-2</v>
      </c>
      <c r="N11" s="18" t="s">
        <v>136</v>
      </c>
      <c r="O11" s="18"/>
      <c r="P11" s="18"/>
      <c r="Q11" s="42"/>
      <c r="R11" s="18"/>
      <c r="S11" s="18"/>
      <c r="T11" s="42"/>
      <c r="U11" s="18"/>
      <c r="V11" s="42"/>
    </row>
    <row r="12" spans="1:22" x14ac:dyDescent="0.25">
      <c r="A12" s="18"/>
      <c r="B12" s="42"/>
      <c r="C12" s="18"/>
      <c r="D12" s="42"/>
      <c r="E12" s="42"/>
      <c r="F12" s="42"/>
      <c r="G12" s="42"/>
      <c r="H12" s="42"/>
      <c r="I12" s="18"/>
      <c r="J12" s="42"/>
      <c r="K12" s="18"/>
      <c r="L12" s="18"/>
      <c r="M12" s="42">
        <v>0.01</v>
      </c>
      <c r="N12" s="18" t="s">
        <v>137</v>
      </c>
      <c r="O12" s="18"/>
      <c r="P12" s="18"/>
      <c r="Q12" s="42"/>
      <c r="R12" s="18"/>
      <c r="S12" s="18"/>
      <c r="T12" s="42"/>
      <c r="U12" s="18"/>
      <c r="V12" s="42"/>
    </row>
    <row r="13" spans="1:22" x14ac:dyDescent="0.25">
      <c r="A13" s="18"/>
      <c r="B13" s="42"/>
      <c r="C13" s="18"/>
      <c r="D13" s="42"/>
      <c r="E13" s="42"/>
      <c r="F13" s="42"/>
      <c r="G13" s="42"/>
      <c r="H13" s="42"/>
      <c r="I13" s="18"/>
      <c r="J13" s="42"/>
      <c r="K13" s="18"/>
      <c r="L13" s="18"/>
      <c r="M13" s="42">
        <v>5.0000000000000001E-4</v>
      </c>
      <c r="N13" s="18" t="s">
        <v>138</v>
      </c>
      <c r="O13" s="18"/>
      <c r="P13" s="18"/>
      <c r="Q13" s="42"/>
      <c r="R13" s="18"/>
      <c r="S13" s="18"/>
      <c r="T13" s="42"/>
      <c r="U13" s="18"/>
      <c r="V13" s="42"/>
    </row>
    <row r="14" spans="1:22" x14ac:dyDescent="0.25">
      <c r="A14" s="18"/>
      <c r="B14" s="42"/>
      <c r="C14" s="18"/>
      <c r="D14" s="42"/>
      <c r="E14" s="42"/>
      <c r="F14" s="42"/>
      <c r="G14" s="42"/>
      <c r="H14" s="42"/>
      <c r="I14" s="18"/>
      <c r="J14" s="42"/>
      <c r="K14" s="18"/>
      <c r="L14" s="18"/>
      <c r="M14" s="42">
        <v>1.0999999999999999E-2</v>
      </c>
      <c r="N14" s="18" t="s">
        <v>136</v>
      </c>
      <c r="O14" s="18"/>
      <c r="P14" s="18"/>
      <c r="Q14" s="42"/>
      <c r="R14" s="18"/>
      <c r="S14" s="18"/>
      <c r="T14" s="42"/>
      <c r="U14" s="18"/>
      <c r="V14" s="42"/>
    </row>
    <row r="15" spans="1:22" x14ac:dyDescent="0.25">
      <c r="A15" s="18"/>
      <c r="B15" s="42"/>
      <c r="C15" s="18"/>
      <c r="D15" s="42"/>
      <c r="E15" s="42"/>
      <c r="F15" s="42"/>
      <c r="G15" s="42"/>
      <c r="H15" s="42"/>
      <c r="I15" s="18"/>
      <c r="J15" s="42"/>
      <c r="K15" s="18"/>
      <c r="L15" s="18"/>
      <c r="M15" s="42">
        <v>0.01</v>
      </c>
      <c r="N15" s="18" t="s">
        <v>327</v>
      </c>
      <c r="O15" s="18"/>
      <c r="P15" s="18"/>
      <c r="Q15" s="42"/>
      <c r="R15" s="18"/>
      <c r="S15" s="18"/>
      <c r="T15" s="42"/>
      <c r="U15" s="18"/>
      <c r="V15" s="42"/>
    </row>
    <row r="16" spans="1:22" x14ac:dyDescent="0.25">
      <c r="A16" s="18"/>
      <c r="B16" s="42"/>
      <c r="C16" s="18"/>
      <c r="D16" s="42"/>
      <c r="E16" s="42"/>
      <c r="F16" s="42"/>
      <c r="G16" s="42"/>
      <c r="H16" s="42"/>
      <c r="I16" s="18"/>
      <c r="J16" s="42"/>
      <c r="K16" s="18"/>
      <c r="L16" s="18"/>
      <c r="M16" s="42">
        <v>1.5E-3</v>
      </c>
      <c r="N16" s="18"/>
      <c r="O16" s="18" t="s">
        <v>189</v>
      </c>
      <c r="P16" s="18"/>
      <c r="Q16" s="42"/>
      <c r="R16" s="18"/>
      <c r="S16" s="18"/>
      <c r="T16" s="42"/>
      <c r="U16" s="18"/>
      <c r="V16" s="42"/>
    </row>
    <row r="17" spans="1:22" x14ac:dyDescent="0.25">
      <c r="A17" s="18"/>
      <c r="B17" s="42"/>
      <c r="C17" s="18"/>
      <c r="D17" s="42"/>
      <c r="E17" s="42"/>
      <c r="F17" s="42"/>
      <c r="G17" s="42"/>
      <c r="H17" s="42"/>
      <c r="I17" s="18"/>
      <c r="J17" s="42"/>
      <c r="K17" s="18"/>
      <c r="L17" s="18"/>
      <c r="M17" s="42">
        <v>1E-3</v>
      </c>
      <c r="N17" s="18"/>
      <c r="O17" s="18" t="s">
        <v>35</v>
      </c>
      <c r="P17" s="18"/>
      <c r="Q17" s="42"/>
      <c r="R17" s="18"/>
      <c r="S17" s="18"/>
      <c r="T17" s="42"/>
      <c r="U17" s="18"/>
      <c r="V17" s="42"/>
    </row>
    <row r="18" spans="1:22" x14ac:dyDescent="0.25">
      <c r="A18" s="18"/>
      <c r="B18" s="42"/>
      <c r="C18" s="18"/>
      <c r="D18" s="42"/>
      <c r="E18" s="42"/>
      <c r="F18" s="42"/>
      <c r="G18" s="42"/>
      <c r="H18" s="42"/>
      <c r="I18" s="18"/>
      <c r="J18" s="42"/>
      <c r="K18" s="18"/>
      <c r="L18" s="18"/>
      <c r="M18" s="42">
        <v>5.0000000000000001E-4</v>
      </c>
      <c r="N18" s="18"/>
      <c r="O18" s="18" t="s">
        <v>36</v>
      </c>
      <c r="P18" s="18"/>
      <c r="Q18" s="42"/>
      <c r="R18" s="18"/>
      <c r="S18" s="18"/>
      <c r="T18" s="42"/>
      <c r="U18" s="18"/>
      <c r="V18" s="42"/>
    </row>
    <row r="19" spans="1:22" x14ac:dyDescent="0.25">
      <c r="A19" s="18"/>
      <c r="B19" s="42"/>
      <c r="C19" s="18"/>
      <c r="D19" s="42"/>
      <c r="E19" s="42"/>
      <c r="F19" s="42"/>
      <c r="G19" s="42"/>
      <c r="H19" s="42"/>
      <c r="I19" s="18"/>
      <c r="J19" s="42"/>
      <c r="K19" s="18"/>
      <c r="L19" s="18"/>
      <c r="M19" s="42">
        <v>2.5000000000000001E-4</v>
      </c>
      <c r="N19" s="18"/>
      <c r="O19" s="18" t="s">
        <v>37</v>
      </c>
      <c r="P19" s="18"/>
      <c r="Q19" s="42"/>
      <c r="R19" s="18"/>
      <c r="S19" s="18"/>
      <c r="T19" s="42"/>
      <c r="U19" s="18"/>
      <c r="V19" s="42"/>
    </row>
    <row r="20" spans="1:22" x14ac:dyDescent="0.25">
      <c r="A20" s="18"/>
      <c r="B20" s="42"/>
      <c r="C20" s="18"/>
      <c r="D20" s="42"/>
      <c r="E20" s="42"/>
      <c r="F20" s="42"/>
      <c r="G20" s="42"/>
      <c r="H20" s="42"/>
      <c r="I20" s="18"/>
      <c r="J20" s="42"/>
      <c r="K20" s="18"/>
      <c r="L20" s="18"/>
      <c r="M20" s="42">
        <v>1E-4</v>
      </c>
      <c r="N20" s="18"/>
      <c r="O20" s="18" t="s">
        <v>190</v>
      </c>
      <c r="P20" s="18"/>
      <c r="Q20" s="42"/>
      <c r="R20" s="18"/>
      <c r="S20" s="18"/>
      <c r="T20" s="42"/>
      <c r="U20" s="18"/>
      <c r="V20" s="42"/>
    </row>
    <row r="21" spans="1:22" x14ac:dyDescent="0.25">
      <c r="A21" s="18"/>
      <c r="B21" s="42"/>
      <c r="C21" s="18"/>
      <c r="D21" s="42"/>
      <c r="E21" s="42"/>
      <c r="F21" s="42"/>
      <c r="G21" s="42"/>
      <c r="H21" s="42"/>
      <c r="I21" s="18"/>
      <c r="J21" s="42"/>
      <c r="K21" s="18"/>
      <c r="L21" s="18"/>
      <c r="M21" s="42">
        <v>0</v>
      </c>
      <c r="N21" s="18"/>
      <c r="O21" s="18" t="s">
        <v>191</v>
      </c>
      <c r="P21" s="18"/>
      <c r="Q21" s="42"/>
      <c r="R21" s="18"/>
      <c r="S21" s="18"/>
      <c r="T21" s="42"/>
      <c r="U21" s="18"/>
      <c r="V21" s="42"/>
    </row>
    <row r="22" spans="1:22" x14ac:dyDescent="0.25">
      <c r="A22" s="18"/>
      <c r="B22" s="42"/>
      <c r="C22" s="18"/>
      <c r="D22" s="42"/>
      <c r="E22" s="42"/>
      <c r="F22" s="42"/>
      <c r="G22" s="42"/>
      <c r="H22" s="42"/>
      <c r="I22" s="18"/>
      <c r="J22" s="42"/>
      <c r="K22" s="18"/>
      <c r="L22" s="18"/>
      <c r="M22" s="42">
        <v>1E-3</v>
      </c>
      <c r="N22" s="18"/>
      <c r="O22" s="18" t="s">
        <v>409</v>
      </c>
      <c r="P22" s="18"/>
      <c r="Q22" s="42"/>
      <c r="R22" s="18"/>
      <c r="S22" s="18"/>
      <c r="T22" s="42"/>
      <c r="U22" s="18"/>
      <c r="V22" s="42"/>
    </row>
    <row r="23" spans="1:22" x14ac:dyDescent="0.25">
      <c r="A23" s="18"/>
      <c r="B23" s="42"/>
      <c r="C23" s="18"/>
      <c r="D23" s="42"/>
      <c r="E23" s="42"/>
      <c r="F23" s="42"/>
      <c r="G23" s="42"/>
      <c r="H23" s="42"/>
      <c r="I23" s="18"/>
      <c r="J23" s="42"/>
      <c r="K23" s="18"/>
      <c r="L23" s="18"/>
      <c r="M23" s="42">
        <v>5.0000000000000001E-4</v>
      </c>
      <c r="N23" s="18"/>
      <c r="O23" s="18" t="s">
        <v>408</v>
      </c>
      <c r="P23" s="18"/>
      <c r="Q23" s="42"/>
      <c r="R23" s="18"/>
      <c r="S23" s="18"/>
      <c r="T23" s="42"/>
      <c r="U23" s="18"/>
      <c r="V23" s="42"/>
    </row>
    <row r="24" spans="1:22" x14ac:dyDescent="0.25">
      <c r="A24" s="18"/>
      <c r="B24" s="42"/>
      <c r="C24" s="18"/>
      <c r="D24" s="42"/>
      <c r="E24" s="42"/>
      <c r="F24" s="42"/>
      <c r="G24" s="42"/>
      <c r="H24" s="42"/>
      <c r="I24" s="18"/>
      <c r="J24" s="42"/>
      <c r="K24" s="18"/>
      <c r="L24" s="18"/>
      <c r="M24" s="42">
        <v>2.5000000000000001E-4</v>
      </c>
      <c r="N24" s="18"/>
      <c r="O24" s="18" t="s">
        <v>407</v>
      </c>
      <c r="P24" s="18"/>
      <c r="Q24" s="42"/>
      <c r="R24" s="18"/>
      <c r="S24" s="18"/>
      <c r="T24" s="42"/>
      <c r="U24" s="18"/>
      <c r="V24" s="42"/>
    </row>
    <row r="25" spans="1:22" x14ac:dyDescent="0.25">
      <c r="A25" s="18"/>
      <c r="B25" s="42"/>
      <c r="C25" s="18"/>
      <c r="D25" s="42"/>
      <c r="E25" s="42"/>
      <c r="F25" s="42"/>
      <c r="G25" s="42"/>
      <c r="H25" s="42"/>
      <c r="I25" s="18"/>
      <c r="J25" s="42"/>
      <c r="K25" s="18"/>
      <c r="L25" s="18"/>
      <c r="M25" s="42">
        <v>1E-4</v>
      </c>
      <c r="N25" s="18"/>
      <c r="O25" s="18" t="s">
        <v>406</v>
      </c>
      <c r="P25" s="18"/>
      <c r="Q25" s="42"/>
      <c r="R25" s="18"/>
      <c r="S25" s="18"/>
      <c r="T25" s="42"/>
      <c r="U25" s="18"/>
      <c r="V25" s="42"/>
    </row>
    <row r="26" spans="1:22" x14ac:dyDescent="0.25">
      <c r="A26" s="18"/>
      <c r="B26" s="42"/>
      <c r="C26" s="18"/>
      <c r="D26" s="42"/>
      <c r="E26" s="42"/>
      <c r="F26" s="42"/>
      <c r="G26" s="42"/>
      <c r="H26" s="42"/>
      <c r="I26" s="18"/>
      <c r="J26" s="42"/>
      <c r="K26" s="18"/>
      <c r="L26" s="18"/>
      <c r="M26" s="42">
        <v>0</v>
      </c>
      <c r="N26" s="18"/>
      <c r="O26" s="18" t="s">
        <v>405</v>
      </c>
      <c r="P26" s="18"/>
      <c r="Q26" s="42"/>
      <c r="R26" s="18"/>
      <c r="S26" s="18"/>
      <c r="T26" s="42"/>
      <c r="U26" s="18"/>
      <c r="V26" s="42"/>
    </row>
    <row r="27" spans="1:22" x14ac:dyDescent="0.25">
      <c r="A27" s="18"/>
      <c r="B27" s="42"/>
      <c r="C27" s="18"/>
      <c r="D27" s="42"/>
      <c r="E27" s="42"/>
      <c r="F27" s="42"/>
      <c r="G27" s="42"/>
      <c r="H27" s="42"/>
      <c r="I27" s="18"/>
      <c r="J27" s="42"/>
      <c r="K27" s="18"/>
      <c r="L27" s="18" t="s">
        <v>134</v>
      </c>
      <c r="M27" s="42">
        <v>2.0000000000000001E-4</v>
      </c>
      <c r="N27" s="18"/>
      <c r="O27" s="18"/>
      <c r="P27" s="18"/>
      <c r="Q27" s="42"/>
      <c r="R27" s="18"/>
      <c r="S27" s="18"/>
      <c r="T27" s="42"/>
      <c r="U27" s="18"/>
      <c r="V27" s="42"/>
    </row>
    <row r="28" spans="1:22" x14ac:dyDescent="0.25">
      <c r="A28" s="18"/>
      <c r="B28" s="42"/>
      <c r="C28" s="18"/>
      <c r="D28" s="42"/>
      <c r="E28" s="42"/>
      <c r="F28" s="42"/>
      <c r="G28" s="42"/>
      <c r="H28" s="42"/>
      <c r="I28" s="18"/>
      <c r="J28" s="42"/>
      <c r="K28" s="18"/>
      <c r="L28" s="18" t="s">
        <v>135</v>
      </c>
      <c r="M28" s="42">
        <v>2.0000000000000001E-4</v>
      </c>
      <c r="N28" s="18"/>
      <c r="O28" s="18"/>
      <c r="P28" s="18"/>
      <c r="Q28" s="42"/>
      <c r="R28" s="18"/>
      <c r="S28" s="18"/>
      <c r="T28" s="42"/>
      <c r="U28" s="18"/>
      <c r="V28" s="42"/>
    </row>
    <row r="29" spans="1:22" x14ac:dyDescent="0.25">
      <c r="A29" s="18"/>
      <c r="B29" s="42"/>
      <c r="C29" s="18"/>
      <c r="D29" s="42"/>
      <c r="E29" s="42"/>
      <c r="F29" s="42"/>
      <c r="G29" s="42"/>
      <c r="H29" s="42"/>
      <c r="I29" s="18"/>
      <c r="J29" s="42"/>
      <c r="K29" s="18"/>
      <c r="L29" s="18"/>
      <c r="M29" s="42"/>
      <c r="N29" s="18"/>
      <c r="O29" s="18"/>
      <c r="P29" s="18" t="s">
        <v>404</v>
      </c>
      <c r="Q29" s="42">
        <v>2.0000000000000001E-4</v>
      </c>
      <c r="R29" s="18"/>
      <c r="S29" s="18"/>
      <c r="T29" s="42"/>
      <c r="U29" s="18"/>
      <c r="V29" s="42"/>
    </row>
    <row r="30" spans="1:22" x14ac:dyDescent="0.25">
      <c r="A30" s="18"/>
      <c r="B30" s="42"/>
      <c r="C30" s="18"/>
      <c r="D30" s="42"/>
      <c r="E30" s="42"/>
      <c r="F30" s="42"/>
      <c r="G30" s="42"/>
      <c r="H30" s="42"/>
      <c r="I30" s="18"/>
      <c r="J30" s="42"/>
      <c r="K30" s="18"/>
      <c r="L30" s="18"/>
      <c r="M30" s="42"/>
      <c r="N30" s="18"/>
      <c r="O30" s="18"/>
      <c r="P30" s="18" t="s">
        <v>403</v>
      </c>
      <c r="Q30" s="42">
        <v>0</v>
      </c>
      <c r="R30" s="18"/>
      <c r="S30" s="18"/>
      <c r="T30" s="42"/>
      <c r="U30" s="18"/>
      <c r="V30" s="42"/>
    </row>
    <row r="31" spans="1:22" x14ac:dyDescent="0.25">
      <c r="A31" s="18"/>
      <c r="B31" s="42"/>
      <c r="C31" s="18"/>
      <c r="D31" s="42"/>
      <c r="E31" s="42"/>
      <c r="F31" s="42"/>
      <c r="G31" s="42"/>
      <c r="H31" s="42"/>
      <c r="I31" s="18"/>
      <c r="J31" s="42"/>
      <c r="K31" s="18"/>
      <c r="L31" s="18"/>
      <c r="M31" s="42">
        <v>2.0000000000000001E-4</v>
      </c>
      <c r="N31" s="18"/>
      <c r="O31" s="18"/>
      <c r="P31" s="18"/>
      <c r="Q31" s="42"/>
      <c r="R31" s="18" t="s">
        <v>134</v>
      </c>
      <c r="S31" s="18"/>
      <c r="T31" s="42"/>
      <c r="U31" s="18"/>
      <c r="V31" s="42"/>
    </row>
    <row r="32" spans="1:22" x14ac:dyDescent="0.25">
      <c r="A32" s="18"/>
      <c r="B32" s="42"/>
      <c r="C32" s="18"/>
      <c r="D32" s="42"/>
      <c r="E32" s="42"/>
      <c r="F32" s="42"/>
      <c r="G32" s="42"/>
      <c r="H32" s="42"/>
      <c r="I32" s="18"/>
      <c r="J32" s="42"/>
      <c r="K32" s="18"/>
      <c r="L32" s="18"/>
      <c r="M32" s="42">
        <v>0</v>
      </c>
      <c r="N32" s="18"/>
      <c r="O32" s="18"/>
      <c r="P32" s="18"/>
      <c r="Q32" s="42"/>
      <c r="R32" s="18" t="s">
        <v>135</v>
      </c>
      <c r="S32" s="18"/>
      <c r="T32" s="42"/>
      <c r="U32" s="18"/>
      <c r="V32" s="42"/>
    </row>
    <row r="33" spans="1:22" x14ac:dyDescent="0.25">
      <c r="A33" s="18"/>
      <c r="B33" s="42"/>
      <c r="C33" s="18"/>
      <c r="D33" s="42"/>
      <c r="E33" s="42"/>
      <c r="F33" s="42"/>
      <c r="G33" s="42"/>
      <c r="H33" s="42"/>
      <c r="I33" s="18"/>
      <c r="J33" s="42"/>
      <c r="K33" s="18"/>
      <c r="L33" s="18"/>
      <c r="M33" s="42"/>
      <c r="N33" s="18"/>
      <c r="O33" s="18"/>
      <c r="P33" s="18"/>
      <c r="Q33" s="42"/>
      <c r="R33" s="18"/>
      <c r="S33" s="18" t="s">
        <v>134</v>
      </c>
      <c r="T33" s="42">
        <v>2.0000000000000001E-4</v>
      </c>
      <c r="U33" s="18"/>
      <c r="V33" s="42"/>
    </row>
    <row r="34" spans="1:22" x14ac:dyDescent="0.25">
      <c r="A34" s="18"/>
      <c r="B34" s="42"/>
      <c r="C34" s="18"/>
      <c r="D34" s="42"/>
      <c r="E34" s="42"/>
      <c r="F34" s="42"/>
      <c r="G34" s="42"/>
      <c r="H34" s="42"/>
      <c r="I34" s="18"/>
      <c r="J34" s="42"/>
      <c r="K34" s="18"/>
      <c r="L34" s="18"/>
      <c r="M34" s="42"/>
      <c r="N34" s="18"/>
      <c r="O34" s="18"/>
      <c r="P34" s="18"/>
      <c r="Q34" s="42"/>
      <c r="R34" s="18"/>
      <c r="S34" s="18" t="s">
        <v>138</v>
      </c>
      <c r="T34" s="42">
        <v>2.0000000000000001E-4</v>
      </c>
      <c r="U34" s="18"/>
      <c r="V34" s="42"/>
    </row>
    <row r="35" spans="1:22" x14ac:dyDescent="0.25">
      <c r="A35" s="18"/>
      <c r="B35" s="42"/>
      <c r="C35" s="18"/>
      <c r="D35" s="42"/>
      <c r="E35" s="42"/>
      <c r="F35" s="42"/>
      <c r="G35" s="42"/>
      <c r="H35" s="42"/>
      <c r="I35" s="18"/>
      <c r="J35" s="42"/>
      <c r="K35" s="18"/>
      <c r="L35" s="18"/>
      <c r="M35" s="42"/>
      <c r="N35" s="18"/>
      <c r="O35" s="18"/>
      <c r="P35" s="18"/>
      <c r="Q35" s="42"/>
      <c r="R35" s="18"/>
      <c r="S35" s="18"/>
      <c r="T35" s="42"/>
      <c r="U35" s="18" t="s">
        <v>134</v>
      </c>
      <c r="V35" s="42">
        <v>2.0000000000000001E-4</v>
      </c>
    </row>
    <row r="36" spans="1:22" x14ac:dyDescent="0.25">
      <c r="A36" s="18"/>
      <c r="B36" s="42"/>
      <c r="C36" s="18"/>
      <c r="D36" s="42"/>
      <c r="E36" s="42"/>
      <c r="F36" s="42"/>
      <c r="G36" s="42"/>
      <c r="H36" s="42"/>
      <c r="I36" s="18"/>
      <c r="J36" s="42"/>
      <c r="K36" s="18"/>
      <c r="L36" s="18"/>
      <c r="M36" s="42"/>
      <c r="N36" s="18"/>
      <c r="O36" s="18"/>
      <c r="P36" s="18"/>
      <c r="Q36" s="42"/>
      <c r="R36" s="18"/>
      <c r="S36" s="18"/>
      <c r="T36" s="42"/>
      <c r="U36" s="18" t="s">
        <v>138</v>
      </c>
      <c r="V36" s="42">
        <v>2.0000000000000001E-4</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L45"/>
  <sheetViews>
    <sheetView tabSelected="1" workbookViewId="0">
      <selection activeCell="C1" sqref="C1"/>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6" max="6" width="23.140625" style="42" bestFit="1" customWidth="1"/>
    <col min="7" max="7" width="81.140625" style="42" bestFit="1" customWidth="1"/>
    <col min="8" max="8" width="59.85546875" style="42" bestFit="1" customWidth="1"/>
    <col min="9" max="9" width="81.140625" style="42" bestFit="1" customWidth="1"/>
    <col min="10" max="11" width="59.140625" style="42" bestFit="1" customWidth="1"/>
    <col min="13" max="13" width="12.5703125" bestFit="1" customWidth="1"/>
  </cols>
  <sheetData>
    <row r="1" spans="1:12" x14ac:dyDescent="0.25">
      <c r="B1" t="s">
        <v>156</v>
      </c>
      <c r="C1" t="s">
        <v>315</v>
      </c>
      <c r="D1" t="s">
        <v>316</v>
      </c>
      <c r="E1" t="s">
        <v>314</v>
      </c>
      <c r="F1" t="s">
        <v>510</v>
      </c>
      <c r="G1" t="s">
        <v>512</v>
      </c>
      <c r="H1" t="s">
        <v>513</v>
      </c>
      <c r="I1" t="s">
        <v>514</v>
      </c>
      <c r="J1" t="s">
        <v>515</v>
      </c>
      <c r="K1"/>
      <c r="L1" s="39" t="s">
        <v>268</v>
      </c>
    </row>
    <row r="2" spans="1:12" x14ac:dyDescent="0.25">
      <c r="A2" t="s">
        <v>415</v>
      </c>
      <c r="B2" s="18" t="s">
        <v>138</v>
      </c>
      <c r="C2" s="42">
        <v>2.0000000000000001E-4</v>
      </c>
      <c r="D2" s="42"/>
      <c r="E2" s="18"/>
      <c r="F2"/>
      <c r="G2"/>
      <c r="H2"/>
      <c r="I2"/>
      <c r="J2"/>
      <c r="K2"/>
      <c r="L2">
        <f>IF(MID(BNS_Savings_Accounts[[#This Row],[Account Balance]],1,5)="Under",0,VALUE(TRIM(MID(BNS_Savings_Accounts[[#This Row],[Account Balance]],2,FIND(" ",BNS_Savings_Accounts[[#This Row],[Account Balance]],2)-2))))</f>
        <v>0</v>
      </c>
    </row>
    <row r="3" spans="1:12" x14ac:dyDescent="0.25">
      <c r="B3" s="18" t="s">
        <v>134</v>
      </c>
      <c r="C3" s="42">
        <v>2.0000000000000001E-4</v>
      </c>
      <c r="D3" s="42"/>
      <c r="E3" s="18"/>
      <c r="F3"/>
      <c r="G3"/>
      <c r="H3"/>
      <c r="I3"/>
      <c r="J3"/>
      <c r="K3"/>
      <c r="L3" s="42">
        <f>IF(MID(BNS_Savings_Accounts[[#This Row],[Account Balance]],1,5)="Under",0,VALUE(TRIM(MID(BNS_Savings_Accounts[[#This Row],[Account Balance]],2,FIND(" ",BNS_Savings_Accounts[[#This Row],[Account Balance]],2)-2))))</f>
        <v>5000</v>
      </c>
    </row>
    <row r="4" spans="1:12" x14ac:dyDescent="0.25">
      <c r="A4" t="s">
        <v>414</v>
      </c>
      <c r="B4" s="18" t="s">
        <v>138</v>
      </c>
      <c r="C4" s="42">
        <v>2.0000000000000001E-4</v>
      </c>
      <c r="D4" s="42"/>
      <c r="E4" s="18"/>
      <c r="F4"/>
      <c r="G4"/>
      <c r="H4"/>
      <c r="I4"/>
      <c r="J4"/>
      <c r="K4"/>
      <c r="L4" s="42">
        <f>IF(MID(BNS_Savings_Accounts[[#This Row],[Account Balance]],1,5)="Under",0,VALUE(TRIM(MID(BNS_Savings_Accounts[[#This Row],[Account Balance]],2,FIND(" ",BNS_Savings_Accounts[[#This Row],[Account Balance]],2)-2))))</f>
        <v>0</v>
      </c>
    </row>
    <row r="5" spans="1:12" x14ac:dyDescent="0.25">
      <c r="B5" s="18" t="s">
        <v>134</v>
      </c>
      <c r="C5" s="42">
        <v>2.0000000000000001E-4</v>
      </c>
      <c r="D5" s="42"/>
      <c r="E5" s="18"/>
      <c r="F5"/>
      <c r="G5"/>
      <c r="H5"/>
      <c r="I5"/>
      <c r="J5"/>
      <c r="K5"/>
      <c r="L5" s="42">
        <f>IF(MID(BNS_Savings_Accounts[[#This Row],[Account Balance]],1,5)="Under",0,VALUE(TRIM(MID(BNS_Savings_Accounts[[#This Row],[Account Balance]],2,FIND(" ",BNS_Savings_Accounts[[#This Row],[Account Balance]],2)-2))))</f>
        <v>5000</v>
      </c>
    </row>
    <row r="6" spans="1:12" x14ac:dyDescent="0.25">
      <c r="A6" t="s">
        <v>413</v>
      </c>
      <c r="B6" s="18" t="s">
        <v>403</v>
      </c>
      <c r="C6" s="42">
        <v>0</v>
      </c>
      <c r="D6" s="42"/>
      <c r="E6" s="18"/>
      <c r="F6"/>
      <c r="G6"/>
      <c r="H6"/>
      <c r="I6"/>
      <c r="J6"/>
      <c r="K6"/>
      <c r="L6" s="42">
        <f>IF(MID(BNS_Savings_Accounts[[#This Row],[Account Balance]],1,5)="Under",0,VALUE(TRIM(MID(BNS_Savings_Accounts[[#This Row],[Account Balance]],2,FIND(" ",BNS_Savings_Accounts[[#This Row],[Account Balance]],2)-2))))</f>
        <v>0</v>
      </c>
    </row>
    <row r="7" spans="1:12" x14ac:dyDescent="0.25">
      <c r="B7" s="18" t="s">
        <v>404</v>
      </c>
      <c r="C7" s="42">
        <v>2.0000000000000001E-4</v>
      </c>
      <c r="D7" s="42"/>
      <c r="E7" s="18"/>
      <c r="F7"/>
      <c r="G7"/>
      <c r="H7"/>
      <c r="I7"/>
      <c r="J7"/>
      <c r="K7"/>
      <c r="L7" s="42">
        <f>IF(MID(BNS_Savings_Accounts[[#This Row],[Account Balance]],1,5)="Under",0,VALUE(TRIM(MID(BNS_Savings_Accounts[[#This Row],[Account Balance]],2,FIND(" ",BNS_Savings_Accounts[[#This Row],[Account Balance]],2)-2))))</f>
        <v>25000</v>
      </c>
    </row>
    <row r="8" spans="1:12" x14ac:dyDescent="0.25">
      <c r="A8" t="s">
        <v>412</v>
      </c>
      <c r="B8" s="18" t="s">
        <v>135</v>
      </c>
      <c r="C8" s="42">
        <v>0</v>
      </c>
      <c r="D8" s="42"/>
      <c r="E8" s="18"/>
      <c r="F8"/>
      <c r="G8"/>
      <c r="H8"/>
      <c r="I8"/>
      <c r="J8"/>
      <c r="K8"/>
      <c r="L8" s="42">
        <f>IF(MID(BNS_Savings_Accounts[[#This Row],[Account Balance]],1,5)="Under",0,VALUE(TRIM(MID(BNS_Savings_Accounts[[#This Row],[Account Balance]],2,FIND(" ",BNS_Savings_Accounts[[#This Row],[Account Balance]],2)-2))))</f>
        <v>0</v>
      </c>
    </row>
    <row r="9" spans="1:12" x14ac:dyDescent="0.25">
      <c r="B9" s="18" t="s">
        <v>134</v>
      </c>
      <c r="C9" s="42">
        <v>2.0000000000000001E-4</v>
      </c>
      <c r="D9" s="42"/>
      <c r="E9" s="18"/>
      <c r="F9"/>
      <c r="G9"/>
      <c r="H9"/>
      <c r="I9"/>
      <c r="J9"/>
      <c r="K9"/>
      <c r="L9" s="42">
        <f>IF(MID(BNS_Savings_Accounts[[#This Row],[Account Balance]],1,5)="Under",0,VALUE(TRIM(MID(BNS_Savings_Accounts[[#This Row],[Account Balance]],2,FIND(" ",BNS_Savings_Accounts[[#This Row],[Account Balance]],2)-2))))</f>
        <v>5000</v>
      </c>
    </row>
    <row r="10" spans="1:12" x14ac:dyDescent="0.25">
      <c r="A10" t="s">
        <v>411</v>
      </c>
      <c r="B10" s="18" t="s">
        <v>135</v>
      </c>
      <c r="C10" s="42">
        <v>2.0000000000000001E-4</v>
      </c>
      <c r="D10" s="42"/>
      <c r="E10" s="18"/>
      <c r="F10"/>
      <c r="G10"/>
      <c r="H10"/>
      <c r="I10"/>
      <c r="J10"/>
      <c r="K10"/>
      <c r="L10" s="42">
        <f>IF(MID(BNS_Savings_Accounts[[#This Row],[Account Balance]],1,5)="Under",0,VALUE(TRIM(MID(BNS_Savings_Accounts[[#This Row],[Account Balance]],2,FIND(" ",BNS_Savings_Accounts[[#This Row],[Account Balance]],2)-2))))</f>
        <v>0</v>
      </c>
    </row>
    <row r="11" spans="1:12" x14ac:dyDescent="0.25">
      <c r="B11" s="18" t="s">
        <v>134</v>
      </c>
      <c r="C11" s="42">
        <v>2.0000000000000001E-4</v>
      </c>
      <c r="D11" s="42"/>
      <c r="E11" s="18"/>
      <c r="F11"/>
      <c r="G11"/>
      <c r="H11"/>
      <c r="I11"/>
      <c r="J11"/>
      <c r="K11"/>
      <c r="L11" s="42">
        <f>IF(MID(BNS_Savings_Accounts[[#This Row],[Account Balance]],1,5)="Under",0,VALUE(TRIM(MID(BNS_Savings_Accounts[[#This Row],[Account Balance]],2,FIND(" ",BNS_Savings_Accounts[[#This Row],[Account Balance]],2)-2))))</f>
        <v>5000</v>
      </c>
    </row>
    <row r="12" spans="1:12" x14ac:dyDescent="0.25">
      <c r="A12" s="42" t="s">
        <v>410</v>
      </c>
      <c r="B12" s="18" t="s">
        <v>405</v>
      </c>
      <c r="C12" s="42">
        <v>0</v>
      </c>
      <c r="D12" s="42"/>
      <c r="E12" s="18"/>
      <c r="F12"/>
      <c r="G12"/>
      <c r="H12"/>
      <c r="I12"/>
      <c r="J12"/>
      <c r="K12"/>
      <c r="L12" s="42">
        <f>IF(MID(BNS_Savings_Accounts[[#This Row],[Account Balance]],1,5)="Under",0,VALUE(TRIM(MID(BNS_Savings_Accounts[[#This Row],[Account Balance]],2,FIND(" ",BNS_Savings_Accounts[[#This Row],[Account Balance]],2)-2))))</f>
        <v>0</v>
      </c>
    </row>
    <row r="13" spans="1:12" x14ac:dyDescent="0.25">
      <c r="B13" s="18" t="s">
        <v>406</v>
      </c>
      <c r="C13" s="42">
        <v>1E-4</v>
      </c>
      <c r="D13" s="42"/>
      <c r="E13" s="18"/>
      <c r="F13"/>
      <c r="G13"/>
      <c r="H13"/>
      <c r="I13"/>
      <c r="J13"/>
      <c r="K13"/>
      <c r="L13" s="42">
        <f>IF(MID(BNS_Savings_Accounts[[#This Row],[Account Balance]],1,5)="Under",0,VALUE(TRIM(MID(BNS_Savings_Accounts[[#This Row],[Account Balance]],2,FIND(" ",BNS_Savings_Accounts[[#This Row],[Account Balance]],2)-2))))</f>
        <v>5000</v>
      </c>
    </row>
    <row r="14" spans="1:12" x14ac:dyDescent="0.25">
      <c r="B14" s="18" t="s">
        <v>407</v>
      </c>
      <c r="C14" s="42">
        <v>2.5000000000000001E-4</v>
      </c>
      <c r="D14" s="42"/>
      <c r="E14" s="18"/>
      <c r="F14"/>
      <c r="G14"/>
      <c r="H14"/>
      <c r="I14"/>
      <c r="J14"/>
      <c r="K14"/>
      <c r="L14" s="42">
        <f>IF(MID(BNS_Savings_Accounts[[#This Row],[Account Balance]],1,5)="Under",0,VALUE(TRIM(MID(BNS_Savings_Accounts[[#This Row],[Account Balance]],2,FIND(" ",BNS_Savings_Accounts[[#This Row],[Account Balance]],2)-2))))</f>
        <v>10000</v>
      </c>
    </row>
    <row r="15" spans="1:12" x14ac:dyDescent="0.25">
      <c r="B15" s="18" t="s">
        <v>408</v>
      </c>
      <c r="C15" s="42">
        <v>5.0000000000000001E-4</v>
      </c>
      <c r="D15" s="42"/>
      <c r="E15" s="18"/>
      <c r="F15"/>
      <c r="G15"/>
      <c r="H15"/>
      <c r="I15"/>
      <c r="J15"/>
      <c r="K15"/>
      <c r="L15" s="42">
        <f>IF(MID(BNS_Savings_Accounts[[#This Row],[Account Balance]],1,5)="Under",0,VALUE(TRIM(MID(BNS_Savings_Accounts[[#This Row],[Account Balance]],2,FIND(" ",BNS_Savings_Accounts[[#This Row],[Account Balance]],2)-2))))</f>
        <v>25000</v>
      </c>
    </row>
    <row r="16" spans="1:12" x14ac:dyDescent="0.25">
      <c r="B16" s="18" t="s">
        <v>409</v>
      </c>
      <c r="C16" s="42">
        <v>1E-3</v>
      </c>
      <c r="D16" s="42"/>
      <c r="E16" s="18"/>
      <c r="F16"/>
      <c r="G16"/>
      <c r="H16"/>
      <c r="I16"/>
      <c r="J16"/>
      <c r="K16"/>
      <c r="L16" s="42">
        <f>IF(MID(BNS_Savings_Accounts[[#This Row],[Account Balance]],1,5)="Under",0,VALUE(TRIM(MID(BNS_Savings_Accounts[[#This Row],[Account Balance]],2,FIND(" ",BNS_Savings_Accounts[[#This Row],[Account Balance]],2)-2))))</f>
        <v>60000</v>
      </c>
    </row>
    <row r="17" spans="1:12" x14ac:dyDescent="0.25">
      <c r="A17" s="42" t="s">
        <v>192</v>
      </c>
      <c r="B17" s="18" t="s">
        <v>191</v>
      </c>
      <c r="C17" s="42">
        <v>0</v>
      </c>
      <c r="D17" s="42"/>
      <c r="E17" s="18"/>
      <c r="F17"/>
      <c r="G17"/>
      <c r="H17"/>
      <c r="I17"/>
      <c r="J17"/>
      <c r="K17"/>
      <c r="L17" s="42">
        <f>IF(MID(BNS_Savings_Accounts[[#This Row],[Account Balance]],1,5)="Under",0,VALUE(TRIM(MID(BNS_Savings_Accounts[[#This Row],[Account Balance]],2,FIND(" ",BNS_Savings_Accounts[[#This Row],[Account Balance]],2)-2))))</f>
        <v>0</v>
      </c>
    </row>
    <row r="18" spans="1:12" x14ac:dyDescent="0.25">
      <c r="B18" s="18" t="s">
        <v>190</v>
      </c>
      <c r="C18" s="42">
        <v>1E-4</v>
      </c>
      <c r="D18" s="42"/>
      <c r="E18" s="18"/>
      <c r="F18"/>
      <c r="G18"/>
      <c r="H18"/>
      <c r="I18"/>
      <c r="J18"/>
      <c r="K18"/>
      <c r="L18" s="42">
        <f>IF(MID(BNS_Savings_Accounts[[#This Row],[Account Balance]],1,5)="Under",0,VALUE(TRIM(MID(BNS_Savings_Accounts[[#This Row],[Account Balance]],2,FIND(" ",BNS_Savings_Accounts[[#This Row],[Account Balance]],2)-2))))</f>
        <v>1000</v>
      </c>
    </row>
    <row r="19" spans="1:12" x14ac:dyDescent="0.25">
      <c r="B19" s="18" t="s">
        <v>37</v>
      </c>
      <c r="C19" s="42">
        <v>2.5000000000000001E-4</v>
      </c>
      <c r="D19" s="42"/>
      <c r="E19" s="18"/>
      <c r="F19"/>
      <c r="G19"/>
      <c r="H19"/>
      <c r="I19"/>
      <c r="J19"/>
      <c r="K19"/>
      <c r="L19" s="42">
        <f>IF(MID(BNS_Savings_Accounts[[#This Row],[Account Balance]],1,5)="Under",0,VALUE(TRIM(MID(BNS_Savings_Accounts[[#This Row],[Account Balance]],2,FIND(" ",BNS_Savings_Accounts[[#This Row],[Account Balance]],2)-2))))</f>
        <v>5000</v>
      </c>
    </row>
    <row r="20" spans="1:12" x14ac:dyDescent="0.25">
      <c r="B20" s="18" t="s">
        <v>36</v>
      </c>
      <c r="C20" s="42">
        <v>5.0000000000000001E-4</v>
      </c>
      <c r="D20" s="42"/>
      <c r="E20" s="18"/>
      <c r="F20"/>
      <c r="G20"/>
      <c r="H20"/>
      <c r="I20"/>
      <c r="J20"/>
      <c r="K20"/>
      <c r="L20" s="42">
        <f>IF(MID(BNS_Savings_Accounts[[#This Row],[Account Balance]],1,5)="Under",0,VALUE(TRIM(MID(BNS_Savings_Accounts[[#This Row],[Account Balance]],2,FIND(" ",BNS_Savings_Accounts[[#This Row],[Account Balance]],2)-2))))</f>
        <v>10000</v>
      </c>
    </row>
    <row r="21" spans="1:12" x14ac:dyDescent="0.25">
      <c r="B21" s="18" t="s">
        <v>35</v>
      </c>
      <c r="C21" s="42">
        <v>1E-3</v>
      </c>
      <c r="D21" s="42"/>
      <c r="E21" s="18"/>
      <c r="F21"/>
      <c r="G21"/>
      <c r="H21"/>
      <c r="I21"/>
      <c r="J21"/>
      <c r="K21"/>
      <c r="L21" s="42">
        <f>IF(MID(BNS_Savings_Accounts[[#This Row],[Account Balance]],1,5)="Under",0,VALUE(TRIM(MID(BNS_Savings_Accounts[[#This Row],[Account Balance]],2,FIND(" ",BNS_Savings_Accounts[[#This Row],[Account Balance]],2)-2))))</f>
        <v>25000</v>
      </c>
    </row>
    <row r="22" spans="1:12" x14ac:dyDescent="0.25">
      <c r="B22" s="18" t="s">
        <v>189</v>
      </c>
      <c r="C22" s="42">
        <v>1.5E-3</v>
      </c>
      <c r="D22" s="42"/>
      <c r="E22" s="18"/>
      <c r="F22"/>
      <c r="G22"/>
      <c r="H22"/>
      <c r="I22"/>
      <c r="J22"/>
      <c r="K22"/>
      <c r="L22" s="42">
        <f>IF(MID(BNS_Savings_Accounts[[#This Row],[Account Balance]],1,5)="Under",0,VALUE(TRIM(MID(BNS_Savings_Accounts[[#This Row],[Account Balance]],2,FIND(" ",BNS_Savings_Accounts[[#This Row],[Account Balance]],2)-2))))</f>
        <v>60000</v>
      </c>
    </row>
    <row r="23" spans="1:12" x14ac:dyDescent="0.25">
      <c r="A23" s="42" t="s">
        <v>331</v>
      </c>
      <c r="B23" s="18" t="s">
        <v>327</v>
      </c>
      <c r="C23" s="42">
        <v>0.01</v>
      </c>
      <c r="D23" s="42"/>
      <c r="E23" s="18"/>
      <c r="F23"/>
      <c r="G23"/>
      <c r="H23"/>
      <c r="I23"/>
      <c r="J23"/>
      <c r="K23"/>
      <c r="L23" s="42">
        <f>IF(MID(BNS_Savings_Accounts[[#This Row],[Account Balance]],1,5)="Under",0,VALUE(TRIM(MID(BNS_Savings_Accounts[[#This Row],[Account Balance]],2,FIND(" ",BNS_Savings_Accounts[[#This Row],[Account Balance]],2)-2))))</f>
        <v>0</v>
      </c>
    </row>
    <row r="24" spans="1:12" x14ac:dyDescent="0.25">
      <c r="B24" s="18" t="s">
        <v>136</v>
      </c>
      <c r="C24" s="42">
        <v>1.0999999999999999E-2</v>
      </c>
      <c r="D24" s="42"/>
      <c r="E24" s="18"/>
      <c r="F24"/>
      <c r="G24"/>
      <c r="H24"/>
      <c r="I24"/>
      <c r="J24"/>
      <c r="K24"/>
      <c r="L24" s="42">
        <f>IF(MID(BNS_Savings_Accounts[[#This Row],[Account Balance]],1,5)="Under",0,VALUE(TRIM(MID(BNS_Savings_Accounts[[#This Row],[Account Balance]],2,FIND(" ",BNS_Savings_Accounts[[#This Row],[Account Balance]],2)-2))))</f>
        <v>250000</v>
      </c>
    </row>
    <row r="25" spans="1:12" x14ac:dyDescent="0.25">
      <c r="A25" s="42" t="s">
        <v>143</v>
      </c>
      <c r="B25" s="18" t="s">
        <v>138</v>
      </c>
      <c r="C25" s="42">
        <v>5.0000000000000001E-4</v>
      </c>
      <c r="D25" s="42"/>
      <c r="E25" s="18"/>
      <c r="F25"/>
      <c r="G25"/>
      <c r="H25"/>
      <c r="I25"/>
      <c r="J25"/>
      <c r="K25"/>
      <c r="L25" s="42">
        <f>IF(MID(BNS_Savings_Accounts[[#This Row],[Account Balance]],1,5)="Under",0,VALUE(TRIM(MID(BNS_Savings_Accounts[[#This Row],[Account Balance]],2,FIND(" ",BNS_Savings_Accounts[[#This Row],[Account Balance]],2)-2))))</f>
        <v>0</v>
      </c>
    </row>
    <row r="26" spans="1:12" x14ac:dyDescent="0.25">
      <c r="B26" s="18" t="s">
        <v>137</v>
      </c>
      <c r="C26" s="42">
        <v>0.01</v>
      </c>
      <c r="D26" s="42"/>
      <c r="E26" s="18"/>
      <c r="F26"/>
      <c r="G26"/>
      <c r="H26"/>
      <c r="I26"/>
      <c r="J26"/>
      <c r="K26"/>
      <c r="L26" s="42">
        <f>IF(MID(BNS_Savings_Accounts[[#This Row],[Account Balance]],1,5)="Under",0,VALUE(TRIM(MID(BNS_Savings_Accounts[[#This Row],[Account Balance]],2,FIND(" ",BNS_Savings_Accounts[[#This Row],[Account Balance]],2)-2))))</f>
        <v>5000</v>
      </c>
    </row>
    <row r="27" spans="1:12" x14ac:dyDescent="0.25">
      <c r="B27" s="18" t="s">
        <v>136</v>
      </c>
      <c r="C27" s="42">
        <v>1.0999999999999999E-2</v>
      </c>
      <c r="D27" s="42"/>
      <c r="E27" s="18"/>
      <c r="F27"/>
      <c r="G27"/>
      <c r="H27"/>
      <c r="I27"/>
      <c r="J27"/>
      <c r="K27"/>
      <c r="L27" s="42">
        <f>IF(MID(BNS_Savings_Accounts[[#This Row],[Account Balance]],1,5)="Under",0,VALUE(TRIM(MID(BNS_Savings_Accounts[[#This Row],[Account Balance]],2,FIND(" ",BNS_Savings_Accounts[[#This Row],[Account Balance]],2)-2))))</f>
        <v>250000</v>
      </c>
    </row>
    <row r="28" spans="1:12" x14ac:dyDescent="0.25">
      <c r="A28" s="42" t="s">
        <v>142</v>
      </c>
      <c r="B28" s="18" t="s">
        <v>135</v>
      </c>
      <c r="C28" s="42">
        <v>5.0000000000000001E-4</v>
      </c>
      <c r="D28" s="42"/>
      <c r="E28" s="18"/>
      <c r="F28"/>
      <c r="G28"/>
      <c r="H28"/>
      <c r="I28"/>
      <c r="J28"/>
      <c r="K28"/>
      <c r="L28" s="42">
        <f>IF(MID(BNS_Savings_Accounts[[#This Row],[Account Balance]],1,5)="Under",0,VALUE(TRIM(MID(BNS_Savings_Accounts[[#This Row],[Account Balance]],2,FIND(" ",BNS_Savings_Accounts[[#This Row],[Account Balance]],2)-2))))</f>
        <v>0</v>
      </c>
    </row>
    <row r="29" spans="1:12" x14ac:dyDescent="0.25">
      <c r="B29" s="18" t="s">
        <v>134</v>
      </c>
      <c r="C29" s="42">
        <v>5.0000000000000001E-4</v>
      </c>
      <c r="D29" s="42"/>
      <c r="E29" s="18"/>
      <c r="F29"/>
      <c r="G29"/>
      <c r="H29"/>
      <c r="I29"/>
      <c r="J29"/>
      <c r="K29"/>
      <c r="L29" s="42">
        <f>IF(MID(BNS_Savings_Accounts[[#This Row],[Account Balance]],1,5)="Under",0,VALUE(TRIM(MID(BNS_Savings_Accounts[[#This Row],[Account Balance]],2,FIND(" ",BNS_Savings_Accounts[[#This Row],[Account Balance]],2)-2))))</f>
        <v>5000</v>
      </c>
    </row>
    <row r="30" spans="1:12" x14ac:dyDescent="0.25">
      <c r="A30" s="42" t="s">
        <v>330</v>
      </c>
      <c r="B30" s="18" t="s">
        <v>138</v>
      </c>
      <c r="C30" s="42">
        <v>5.0000000000000001E-4</v>
      </c>
      <c r="D30" s="42">
        <v>5.0000000000000001E-4</v>
      </c>
      <c r="E30" s="18">
        <v>0</v>
      </c>
      <c r="F30"/>
      <c r="G30"/>
      <c r="H30"/>
      <c r="I30"/>
      <c r="J30"/>
      <c r="K30"/>
      <c r="L30" s="42">
        <f>IF(MID(BNS_Savings_Accounts[[#This Row],[Account Balance]],1,5)="Under",0,VALUE(TRIM(MID(BNS_Savings_Accounts[[#This Row],[Account Balance]],2,FIND(" ",BNS_Savings_Accounts[[#This Row],[Account Balance]],2)-2))))</f>
        <v>0</v>
      </c>
    </row>
    <row r="31" spans="1:12" x14ac:dyDescent="0.25">
      <c r="B31" s="18" t="s">
        <v>134</v>
      </c>
      <c r="C31" s="42">
        <v>1.4999999999999999E-2</v>
      </c>
      <c r="D31" s="42">
        <v>5.0000000000000001E-3</v>
      </c>
      <c r="E31" s="18">
        <v>0.01</v>
      </c>
      <c r="F31"/>
      <c r="G31"/>
      <c r="H31"/>
      <c r="I31"/>
      <c r="J31"/>
      <c r="K31"/>
      <c r="L31" s="42">
        <f>IF(MID(BNS_Savings_Accounts[[#This Row],[Account Balance]],1,5)="Under",0,VALUE(TRIM(MID(BNS_Savings_Accounts[[#This Row],[Account Balance]],2,FIND(" ",BNS_Savings_Accounts[[#This Row],[Account Balance]],2)-2))))</f>
        <v>5000</v>
      </c>
    </row>
    <row r="32" spans="1:12" x14ac:dyDescent="0.25">
      <c r="A32" s="42" t="s">
        <v>141</v>
      </c>
      <c r="B32" s="18" t="s">
        <v>317</v>
      </c>
      <c r="C32" s="42">
        <v>0.01</v>
      </c>
      <c r="D32" s="42"/>
      <c r="E32" s="18" t="s">
        <v>31</v>
      </c>
      <c r="F32">
        <v>0.01</v>
      </c>
      <c r="G32">
        <v>5.0000000000000001E-4</v>
      </c>
      <c r="H32">
        <v>1.0500000000000001E-2</v>
      </c>
      <c r="I32">
        <v>1E-3</v>
      </c>
      <c r="J32">
        <v>1.0999999999999999E-2</v>
      </c>
      <c r="K32"/>
      <c r="L32" s="42"/>
    </row>
    <row r="33" spans="1:12" x14ac:dyDescent="0.25">
      <c r="B33" s="18" t="s">
        <v>130</v>
      </c>
      <c r="C33" s="42">
        <v>1.4999999999999999E-2</v>
      </c>
      <c r="D33" s="42"/>
      <c r="E33" s="18" t="s">
        <v>516</v>
      </c>
      <c r="F33">
        <v>0.01</v>
      </c>
      <c r="G33">
        <v>5.0000000000000001E-4</v>
      </c>
      <c r="H33">
        <v>1.55E-2</v>
      </c>
      <c r="I33">
        <v>1E-3</v>
      </c>
      <c r="J33">
        <v>1.6E-2</v>
      </c>
      <c r="K33"/>
      <c r="L33" s="42"/>
    </row>
    <row r="34" spans="1:12" x14ac:dyDescent="0.25">
      <c r="B34" s="18" t="s">
        <v>131</v>
      </c>
      <c r="C34" s="42">
        <v>1.6E-2</v>
      </c>
      <c r="D34" s="42"/>
      <c r="E34" s="18" t="s">
        <v>517</v>
      </c>
      <c r="F34">
        <v>0.01</v>
      </c>
      <c r="G34">
        <v>5.0000000000000001E-4</v>
      </c>
      <c r="H34">
        <v>1.6500000000000001E-2</v>
      </c>
      <c r="I34">
        <v>1E-3</v>
      </c>
      <c r="J34">
        <v>1.7000000000000001E-2</v>
      </c>
      <c r="K34"/>
      <c r="L34" s="42"/>
    </row>
    <row r="35" spans="1:12" x14ac:dyDescent="0.25">
      <c r="B35" s="18" t="s">
        <v>132</v>
      </c>
      <c r="C35" s="42">
        <v>1.7999999999999999E-2</v>
      </c>
      <c r="D35" s="42"/>
      <c r="E35" s="18" t="s">
        <v>518</v>
      </c>
      <c r="F35">
        <v>0.01</v>
      </c>
      <c r="G35">
        <v>5.0000000000000001E-4</v>
      </c>
      <c r="H35">
        <v>1.8499999999999999E-2</v>
      </c>
      <c r="I35">
        <v>1E-3</v>
      </c>
      <c r="J35">
        <v>1.9E-2</v>
      </c>
      <c r="K35"/>
      <c r="L35" s="42"/>
    </row>
    <row r="36" spans="1:12" x14ac:dyDescent="0.25">
      <c r="B36" s="18" t="s">
        <v>133</v>
      </c>
      <c r="C36" s="42">
        <v>0.02</v>
      </c>
      <c r="D36" s="42"/>
      <c r="E36" s="18" t="s">
        <v>519</v>
      </c>
      <c r="F36">
        <v>0.01</v>
      </c>
      <c r="G36">
        <v>5.0000000000000001E-4</v>
      </c>
      <c r="H36">
        <v>2.0500000000000001E-2</v>
      </c>
      <c r="I36">
        <v>1E-3</v>
      </c>
      <c r="J36">
        <v>2.1000000000000001E-2</v>
      </c>
      <c r="K36"/>
      <c r="L36" s="42"/>
    </row>
    <row r="39" spans="1:12" x14ac:dyDescent="0.25">
      <c r="A39" t="s">
        <v>140</v>
      </c>
      <c r="B39" t="s">
        <v>139</v>
      </c>
      <c r="C39" t="s">
        <v>328</v>
      </c>
      <c r="D39" t="s">
        <v>329</v>
      </c>
    </row>
    <row r="40" spans="1:12" x14ac:dyDescent="0.25">
      <c r="B40" s="18" t="s">
        <v>140</v>
      </c>
      <c r="C40">
        <v>2.5000000000000001E-3</v>
      </c>
      <c r="D40">
        <v>2.5000000000000001E-3</v>
      </c>
    </row>
    <row r="41" spans="1:12" x14ac:dyDescent="0.25">
      <c r="B41" s="18" t="s">
        <v>74</v>
      </c>
      <c r="C41">
        <v>3.95E-2</v>
      </c>
      <c r="D41">
        <v>0.05</v>
      </c>
    </row>
    <row r="43" spans="1:12" x14ac:dyDescent="0.25">
      <c r="A43" s="42" t="s">
        <v>366</v>
      </c>
      <c r="B43" s="61" t="s">
        <v>139</v>
      </c>
      <c r="C43" s="63" t="s">
        <v>328</v>
      </c>
      <c r="D43" s="62" t="s">
        <v>329</v>
      </c>
    </row>
    <row r="44" spans="1:12" x14ac:dyDescent="0.25">
      <c r="B44" s="66" t="s">
        <v>368</v>
      </c>
      <c r="C44" s="68">
        <v>1.6E-2</v>
      </c>
      <c r="D44" s="69">
        <v>1.6500000000000001E-2</v>
      </c>
    </row>
    <row r="45" spans="1:12" x14ac:dyDescent="0.25">
      <c r="B45" s="67" t="s">
        <v>369</v>
      </c>
      <c r="C45" s="70">
        <v>1.7500000000000002E-2</v>
      </c>
      <c r="D45" s="71">
        <v>1.7999999999999999E-2</v>
      </c>
    </row>
  </sheetData>
  <pageMargins left="0.7" right="0.7" top="0.75" bottom="0.75" header="0.3" footer="0.3"/>
  <tableParts count="2">
    <tablePart r:id="rId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505</v>
      </c>
      <c r="C10" t="s">
        <v>506</v>
      </c>
    </row>
    <row r="11" spans="1:7" x14ac:dyDescent="0.25">
      <c r="B11" t="s">
        <v>507</v>
      </c>
      <c r="C11" t="s">
        <v>508</v>
      </c>
    </row>
    <row r="12" spans="1:7" x14ac:dyDescent="0.25">
      <c r="B12" s="42" t="s">
        <v>342</v>
      </c>
      <c r="C12" s="42" t="s">
        <v>509</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268</v>
      </c>
    </row>
    <row r="2" spans="1:5" x14ac:dyDescent="0.25">
      <c r="A2" t="s">
        <v>92</v>
      </c>
      <c r="B2" s="18" t="s">
        <v>279</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280</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432</v>
      </c>
      <c r="B1" t="s">
        <v>81</v>
      </c>
      <c r="C1" t="s">
        <v>169</v>
      </c>
      <c r="I1" s="42" t="s">
        <v>268</v>
      </c>
    </row>
    <row r="2" spans="1:9" x14ac:dyDescent="0.25">
      <c r="B2" s="18" t="s">
        <v>242</v>
      </c>
      <c r="C2">
        <v>5.4999999999999997E-3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1.15E-2</v>
      </c>
      <c r="I4" s="42">
        <f>IF(LEFT(HSBC_CAD_Savings[[#This Row],[Daily closing balance]],2)="Up",0,VALUE(MID(HSBC_CAD_Savings[[#This Row],[Daily closing balance]],FIND("$",B4),FIND(" ",B4,FIND("$",B4))-FIND("$",B4))))</f>
        <v>50000</v>
      </c>
    </row>
    <row r="5" spans="1:9" x14ac:dyDescent="0.25">
      <c r="B5" s="18" t="s">
        <v>245</v>
      </c>
      <c r="C5">
        <v>1.15E-2</v>
      </c>
      <c r="I5" s="42">
        <f>IF(LEFT(HSBC_CAD_Savings[[#This Row],[Daily closing balance]],2)="Up",0,VALUE(MID(HSBC_CAD_Savings[[#This Row],[Daily closing balance]],FIND("$",B5),FIND(" ",B5,FIND("$",B5))-FIND("$",B5))))</f>
        <v>100000</v>
      </c>
    </row>
    <row r="9" spans="1:9" x14ac:dyDescent="0.25">
      <c r="A9" s="42" t="s">
        <v>449</v>
      </c>
      <c r="B9" s="42" t="s">
        <v>81</v>
      </c>
      <c r="C9" s="42" t="s">
        <v>442</v>
      </c>
      <c r="D9" s="42" t="s">
        <v>443</v>
      </c>
      <c r="E9" s="42" t="s">
        <v>444</v>
      </c>
      <c r="F9" s="42" t="s">
        <v>445</v>
      </c>
      <c r="G9" s="42" t="s">
        <v>446</v>
      </c>
    </row>
    <row r="10" spans="1:9" x14ac:dyDescent="0.25">
      <c r="B10" s="18" t="s">
        <v>447</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448</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1.4500000000000001E-2</v>
      </c>
      <c r="E2">
        <v>1.7000000000000001E-2</v>
      </c>
    </row>
    <row r="3" spans="1:5" x14ac:dyDescent="0.25">
      <c r="A3" t="s">
        <v>146</v>
      </c>
      <c r="B3" s="18" t="s">
        <v>144</v>
      </c>
      <c r="C3" s="18" t="s">
        <v>146</v>
      </c>
      <c r="D3">
        <v>8.5000000000000006E-3</v>
      </c>
      <c r="E3"/>
    </row>
    <row r="4" spans="1:5" x14ac:dyDescent="0.25">
      <c r="A4" t="s">
        <v>147</v>
      </c>
      <c r="B4" s="18" t="s">
        <v>144</v>
      </c>
      <c r="C4" s="18" t="s">
        <v>503</v>
      </c>
      <c r="D4">
        <v>3.3000000000000002E-2</v>
      </c>
      <c r="E4"/>
    </row>
    <row r="5" spans="1:5" x14ac:dyDescent="0.25">
      <c r="A5" t="s">
        <v>148</v>
      </c>
      <c r="B5" s="18" t="s">
        <v>144</v>
      </c>
      <c r="C5" s="18" t="s">
        <v>504</v>
      </c>
      <c r="D5">
        <v>3.3000000000000002E-2</v>
      </c>
      <c r="E5"/>
    </row>
    <row r="6" spans="1:5" x14ac:dyDescent="0.25">
      <c r="A6" t="s">
        <v>149</v>
      </c>
      <c r="B6" s="18" t="s">
        <v>144</v>
      </c>
      <c r="C6" s="18" t="s">
        <v>321</v>
      </c>
      <c r="D6">
        <v>1.5E-3</v>
      </c>
      <c r="E6"/>
    </row>
    <row r="7" spans="1:5" x14ac:dyDescent="0.25">
      <c r="B7" s="18" t="s">
        <v>144</v>
      </c>
      <c r="C7" s="18" t="s">
        <v>322</v>
      </c>
      <c r="D7">
        <v>5.4999999999999997E-3</v>
      </c>
      <c r="E7"/>
    </row>
    <row r="8" spans="1:5" x14ac:dyDescent="0.25">
      <c r="B8" s="18" t="s">
        <v>144</v>
      </c>
      <c r="C8" s="18" t="s">
        <v>323</v>
      </c>
      <c r="D8" s="42">
        <v>6.4999999999999997E-3</v>
      </c>
    </row>
  </sheetData>
  <pageMargins left="0.7" right="0.7" top="0.75" bottom="0.75" header="0.3" footer="0.3"/>
  <pageSetup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324</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324</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324</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325</v>
      </c>
      <c r="E11" s="18" t="s">
        <v>204</v>
      </c>
      <c r="F11" s="18" t="s">
        <v>205</v>
      </c>
    </row>
    <row r="12" spans="1:6" x14ac:dyDescent="0.25">
      <c r="A12" s="18" t="s">
        <v>221</v>
      </c>
      <c r="B12" s="18" t="s">
        <v>221</v>
      </c>
      <c r="C12" s="18" t="s">
        <v>222</v>
      </c>
      <c r="D12" s="18" t="s">
        <v>326</v>
      </c>
      <c r="E12" s="18" t="s">
        <v>204</v>
      </c>
      <c r="F12" s="18" t="s">
        <v>205</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377</v>
      </c>
      <c r="C1" t="s">
        <v>268</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400</v>
      </c>
      <c r="C3" t="s">
        <v>401</v>
      </c>
      <c r="D3" t="s">
        <v>80</v>
      </c>
    </row>
    <row r="4" spans="1:4" x14ac:dyDescent="0.25">
      <c r="B4" t="s">
        <v>81</v>
      </c>
      <c r="C4" t="s">
        <v>81</v>
      </c>
      <c r="D4" t="s">
        <v>81</v>
      </c>
    </row>
    <row r="5" spans="1:4" x14ac:dyDescent="0.25">
      <c r="B5" t="s">
        <v>82</v>
      </c>
      <c r="C5" t="s">
        <v>82</v>
      </c>
      <c r="D5" t="s">
        <v>82</v>
      </c>
    </row>
    <row r="6" spans="1:4" x14ac:dyDescent="0.25">
      <c r="A6" t="s">
        <v>83</v>
      </c>
      <c r="B6" t="s">
        <v>558</v>
      </c>
      <c r="C6" t="s">
        <v>558</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343</v>
      </c>
    </row>
    <row r="19" spans="1:2" s="1" customFormat="1" x14ac:dyDescent="0.25">
      <c r="A19" s="1" t="s">
        <v>52</v>
      </c>
    </row>
    <row r="20" spans="1:2" x14ac:dyDescent="0.25">
      <c r="B20" t="s">
        <v>343</v>
      </c>
    </row>
    <row r="35" spans="1:2" s="1" customFormat="1" x14ac:dyDescent="0.25">
      <c r="A35" s="1" t="s">
        <v>86</v>
      </c>
    </row>
    <row r="37" spans="1:2" x14ac:dyDescent="0.25">
      <c r="A37" t="s">
        <v>87</v>
      </c>
      <c r="B37" t="s">
        <v>343</v>
      </c>
    </row>
    <row r="44" spans="1:2" s="1" customFormat="1" x14ac:dyDescent="0.25">
      <c r="A44" s="1" t="s">
        <v>88</v>
      </c>
    </row>
    <row r="45" spans="1:2" x14ac:dyDescent="0.25">
      <c r="A45" t="s">
        <v>89</v>
      </c>
      <c r="B45" t="s">
        <v>343</v>
      </c>
    </row>
    <row r="48" spans="1:2" x14ac:dyDescent="0.25">
      <c r="A48" t="s">
        <v>90</v>
      </c>
      <c r="B48" t="s">
        <v>343</v>
      </c>
    </row>
    <row r="55" spans="1:2" s="1" customFormat="1" x14ac:dyDescent="0.25">
      <c r="A55" s="1" t="s">
        <v>91</v>
      </c>
    </row>
    <row r="56" spans="1:2" x14ac:dyDescent="0.25">
      <c r="B56" t="s">
        <v>343</v>
      </c>
    </row>
  </sheetData>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268</v>
      </c>
    </row>
    <row r="3" spans="1:5" x14ac:dyDescent="0.25">
      <c r="A3" t="s">
        <v>429</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382</v>
      </c>
      <c r="C12">
        <v>5.0000000000000001E-3</v>
      </c>
      <c r="E12">
        <f>VALUE(LEFT(TD_Savings_Accounts[[#This Row],[Account Balance]],FIND(" ",TD_Savings_Accounts[[#This Row],[Account Balance]])))</f>
        <v>5000</v>
      </c>
    </row>
    <row r="13" spans="1:5" x14ac:dyDescent="0.25">
      <c r="B13" s="18" t="s">
        <v>383</v>
      </c>
      <c r="C13">
        <v>5.0000000000000001E-3</v>
      </c>
      <c r="E13">
        <f>VALUE(LEFT(TD_Savings_Accounts[[#This Row],[Account Balance]],FIND(" ",TD_Savings_Accounts[[#This Row],[Account Balance]])))</f>
        <v>50000</v>
      </c>
    </row>
    <row r="14" spans="1:5" x14ac:dyDescent="0.25">
      <c r="B14" s="18" t="s">
        <v>384</v>
      </c>
      <c r="C14">
        <v>5.0000000000000001E-3</v>
      </c>
      <c r="E14" t="e">
        <f>VALUE(LEFT(TD_Savings_Accounts[[#This Row],[Account Balance]],FIND(" ",TD_Savings_Accounts[[#This Row],[Account Balance]])))</f>
        <v>#VALUE!</v>
      </c>
    </row>
    <row r="15" spans="1:5" x14ac:dyDescent="0.25">
      <c r="B15" s="18" t="s">
        <v>385</v>
      </c>
      <c r="C15">
        <v>5.0000000000000001E-3</v>
      </c>
      <c r="E15">
        <f>VALUE(LEFT(TD_Savings_Accounts[[#This Row],[Account Balance]],FIND(" ",TD_Savings_Accounts[[#This Row],[Account Balance]])))</f>
        <v>250000</v>
      </c>
    </row>
    <row r="16" spans="1:5" x14ac:dyDescent="0.25">
      <c r="B16" s="18" t="s">
        <v>386</v>
      </c>
      <c r="C16">
        <v>5.0000000000000001E-3</v>
      </c>
      <c r="E16">
        <f>VALUE(LEFT(TD_Savings_Accounts[[#This Row],[Account Balance]],FIND(" ",TD_Savings_Accounts[[#This Row],[Account Balance]])))</f>
        <v>1000000.01</v>
      </c>
    </row>
    <row r="17" spans="1:5" x14ac:dyDescent="0.25">
      <c r="B17" s="18" t="s">
        <v>166</v>
      </c>
    </row>
    <row r="18" spans="1:5" x14ac:dyDescent="0.25">
      <c r="B18" s="18" t="s">
        <v>387</v>
      </c>
      <c r="C18">
        <v>0</v>
      </c>
      <c r="E18">
        <f>VALUE(LEFT(TD_Savings_Accounts[[#This Row],[Account Balance]],FIND(" ",TD_Savings_Accounts[[#This Row],[Account Balance]])))</f>
        <v>0</v>
      </c>
    </row>
    <row r="19" spans="1:5" x14ac:dyDescent="0.25">
      <c r="B19" s="18" t="s">
        <v>388</v>
      </c>
      <c r="C19">
        <v>1.0500000000000001E-2</v>
      </c>
      <c r="E19">
        <f>VALUE(LEFT(TD_Savings_Accounts[[#This Row],[Account Balance]],FIND(" ",TD_Savings_Accounts[[#This Row],[Account Balance]])))</f>
        <v>10000</v>
      </c>
    </row>
    <row r="20" spans="1:5" x14ac:dyDescent="0.25">
      <c r="B20" s="18" t="s">
        <v>383</v>
      </c>
      <c r="C20">
        <v>1.0500000000000001E-2</v>
      </c>
      <c r="E20">
        <f>VALUE(LEFT(TD_Savings_Accounts[[#This Row],[Account Balance]],FIND(" ",TD_Savings_Accounts[[#This Row],[Account Balance]])))</f>
        <v>50000</v>
      </c>
    </row>
    <row r="21" spans="1:5" x14ac:dyDescent="0.25">
      <c r="B21" s="18" t="s">
        <v>389</v>
      </c>
      <c r="C21">
        <v>1.0500000000000001E-2</v>
      </c>
      <c r="E21">
        <f>VALUE(LEFT(TD_Savings_Accounts[[#This Row],[Account Balance]],FIND(" ",TD_Savings_Accounts[[#This Row],[Account Balance]])))</f>
        <v>100000</v>
      </c>
    </row>
    <row r="22" spans="1:5" x14ac:dyDescent="0.25">
      <c r="B22" s="18" t="s">
        <v>385</v>
      </c>
      <c r="C22">
        <v>1.0500000000000001E-2</v>
      </c>
      <c r="E22">
        <f>VALUE(LEFT(TD_Savings_Accounts[[#This Row],[Account Balance]],FIND(" ",TD_Savings_Accounts[[#This Row],[Account Balance]])))</f>
        <v>250000</v>
      </c>
    </row>
    <row r="23" spans="1:5" x14ac:dyDescent="0.25">
      <c r="B23" s="18" t="s">
        <v>386</v>
      </c>
      <c r="C23">
        <v>1.0500000000000001E-2</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365</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428</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1.7000000000000001E-2</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1.140625" bestFit="1" customWidth="1"/>
    <col min="3" max="4" width="7" bestFit="1" customWidth="1"/>
    <col min="5" max="5" width="14.85546875" bestFit="1" customWidth="1"/>
  </cols>
  <sheetData>
    <row r="1" spans="1:8" x14ac:dyDescent="0.25">
      <c r="A1" t="s">
        <v>333</v>
      </c>
      <c r="B1" t="s">
        <v>180</v>
      </c>
      <c r="C1" t="s">
        <v>181</v>
      </c>
      <c r="D1" t="s">
        <v>182</v>
      </c>
      <c r="E1" t="s">
        <v>268</v>
      </c>
    </row>
    <row r="2" spans="1:8" x14ac:dyDescent="0.25">
      <c r="B2" s="18" t="s">
        <v>183</v>
      </c>
      <c r="E2">
        <v>500</v>
      </c>
    </row>
    <row r="3" spans="1:8" x14ac:dyDescent="0.25">
      <c r="B3" s="18" t="s">
        <v>184</v>
      </c>
    </row>
    <row r="4" spans="1:8" x14ac:dyDescent="0.25">
      <c r="B4" s="18" t="s">
        <v>185</v>
      </c>
    </row>
    <row r="5" spans="1:8" x14ac:dyDescent="0.25">
      <c r="B5" s="18" t="s">
        <v>186</v>
      </c>
    </row>
    <row r="6" spans="1:8" x14ac:dyDescent="0.25">
      <c r="B6" s="18" t="s">
        <v>187</v>
      </c>
    </row>
    <row r="7" spans="1:8" x14ac:dyDescent="0.25">
      <c r="B7" s="18" t="s">
        <v>188</v>
      </c>
    </row>
    <row r="12" spans="1:8" x14ac:dyDescent="0.25">
      <c r="B12" t="s">
        <v>282</v>
      </c>
      <c r="C12" t="s">
        <v>57</v>
      </c>
      <c r="E12" s="39" t="s">
        <v>268</v>
      </c>
    </row>
    <row r="13" spans="1:8" x14ac:dyDescent="0.25">
      <c r="A13" t="s">
        <v>313</v>
      </c>
      <c r="B13" s="42" t="s">
        <v>457</v>
      </c>
      <c r="C13" s="42" t="s">
        <v>458</v>
      </c>
      <c r="E13">
        <f>IF(LEFT(RBC_Personal_Accounts[[#This Row],[If Balance is]],1)&lt;&gt;"$",0,VALUE(LEFT(RBC_Personal_Accounts[[#This Row],[If Balance is]],FIND(" ",RBC_Personal_Accounts[[#This Row],[If Balance is]]))))</f>
        <v>0</v>
      </c>
      <c r="H13">
        <v>157</v>
      </c>
    </row>
    <row r="14" spans="1:8" x14ac:dyDescent="0.25">
      <c r="B14" s="42" t="s">
        <v>459</v>
      </c>
      <c r="C14" s="42" t="s">
        <v>458</v>
      </c>
      <c r="E14" s="42">
        <f>IF(LEFT(RBC_Personal_Accounts[[#This Row],[If Balance is]],1)&lt;&gt;"$",0,VALUE(LEFT(RBC_Personal_Accounts[[#This Row],[If Balance is]],FIND(" ",RBC_Personal_Accounts[[#This Row],[If Balance is]]))))</f>
        <v>1000</v>
      </c>
      <c r="H14">
        <v>156</v>
      </c>
    </row>
    <row r="15" spans="1:8" x14ac:dyDescent="0.25">
      <c r="B15" s="42" t="s">
        <v>460</v>
      </c>
      <c r="C15" s="42" t="s">
        <v>458</v>
      </c>
      <c r="E15" s="42">
        <f>IF(LEFT(RBC_Personal_Accounts[[#This Row],[If Balance is]],1)&lt;&gt;"$",0,VALUE(LEFT(RBC_Personal_Accounts[[#This Row],[If Balance is]],FIND(" ",RBC_Personal_Accounts[[#This Row],[If Balance is]]))))</f>
        <v>3000</v>
      </c>
      <c r="H15">
        <v>155</v>
      </c>
    </row>
    <row r="16" spans="1:8" x14ac:dyDescent="0.25">
      <c r="B16" s="42" t="s">
        <v>461</v>
      </c>
      <c r="C16" s="42" t="s">
        <v>462</v>
      </c>
      <c r="E16" s="42">
        <f>IF(LEFT(RBC_Personal_Accounts[[#This Row],[If Balance is]],1)&lt;&gt;"$",0,VALUE(LEFT(RBC_Personal_Accounts[[#This Row],[If Balance is]],FIND(" ",RBC_Personal_Accounts[[#This Row],[If Balance is]]))))</f>
        <v>5000</v>
      </c>
      <c r="H16">
        <v>154</v>
      </c>
    </row>
    <row r="17" spans="1:9" x14ac:dyDescent="0.25">
      <c r="B17" s="42" t="s">
        <v>59</v>
      </c>
      <c r="C17" s="42" t="s">
        <v>462</v>
      </c>
      <c r="E17" s="42">
        <f>IF(LEFT(RBC_Personal_Accounts[[#This Row],[If Balance is]],1)&lt;&gt;"$",0,VALUE(LEFT(RBC_Personal_Accounts[[#This Row],[If Balance is]],FIND(" ",RBC_Personal_Accounts[[#This Row],[If Balance is]]))))</f>
        <v>25000</v>
      </c>
      <c r="H17">
        <v>153</v>
      </c>
    </row>
    <row r="18" spans="1:9" x14ac:dyDescent="0.25">
      <c r="B18" s="42" t="s">
        <v>463</v>
      </c>
      <c r="C18" s="42" t="s">
        <v>464</v>
      </c>
      <c r="E18" s="42">
        <f>IF(LEFT(RBC_Personal_Accounts[[#This Row],[If Balance is]],1)&lt;&gt;"$",0,VALUE(LEFT(RBC_Personal_Accounts[[#This Row],[If Balance is]],FIND(" ",RBC_Personal_Accounts[[#This Row],[If Balance is]]))))</f>
        <v>60000</v>
      </c>
      <c r="H18">
        <v>152</v>
      </c>
    </row>
    <row r="19" spans="1:9" x14ac:dyDescent="0.25">
      <c r="A19" t="s">
        <v>312</v>
      </c>
      <c r="B19" s="42" t="s">
        <v>457</v>
      </c>
      <c r="C19" s="42" t="s">
        <v>458</v>
      </c>
      <c r="E19" s="42">
        <f>IF(LEFT(RBC_Personal_Accounts[[#This Row],[If Balance is]],1)&lt;&gt;"$",0,VALUE(LEFT(RBC_Personal_Accounts[[#This Row],[If Balance is]],FIND(" ",RBC_Personal_Accounts[[#This Row],[If Balance is]]))))</f>
        <v>0</v>
      </c>
      <c r="H19">
        <v>151</v>
      </c>
      <c r="I19" t="s">
        <v>313</v>
      </c>
    </row>
    <row r="20" spans="1:9" x14ac:dyDescent="0.25">
      <c r="B20" s="42" t="s">
        <v>459</v>
      </c>
      <c r="C20" s="42" t="s">
        <v>458</v>
      </c>
      <c r="E20" s="42">
        <f>IF(LEFT(RBC_Personal_Accounts[[#This Row],[If Balance is]],1)&lt;&gt;"$",0,VALUE(LEFT(RBC_Personal_Accounts[[#This Row],[If Balance is]],FIND(" ",RBC_Personal_Accounts[[#This Row],[If Balance is]]))))</f>
        <v>1000</v>
      </c>
      <c r="H20">
        <v>150</v>
      </c>
    </row>
    <row r="21" spans="1:9" x14ac:dyDescent="0.25">
      <c r="B21" s="42" t="s">
        <v>460</v>
      </c>
      <c r="C21" s="42" t="s">
        <v>462</v>
      </c>
      <c r="E21" s="42">
        <f>IF(LEFT(RBC_Personal_Accounts[[#This Row],[If Balance is]],1)&lt;&gt;"$",0,VALUE(LEFT(RBC_Personal_Accounts[[#This Row],[If Balance is]],FIND(" ",RBC_Personal_Accounts[[#This Row],[If Balance is]]))))</f>
        <v>3000</v>
      </c>
      <c r="H21">
        <v>149</v>
      </c>
    </row>
    <row r="22" spans="1:9" x14ac:dyDescent="0.25">
      <c r="B22" s="42" t="s">
        <v>61</v>
      </c>
      <c r="C22" s="42" t="s">
        <v>464</v>
      </c>
      <c r="E22" s="42">
        <f>IF(LEFT(RBC_Personal_Accounts[[#This Row],[If Balance is]],1)&lt;&gt;"$",0,VALUE(LEFT(RBC_Personal_Accounts[[#This Row],[If Balance is]],FIND(" ",RBC_Personal_Accounts[[#This Row],[If Balance is]]))))</f>
        <v>5000</v>
      </c>
      <c r="H22">
        <v>148</v>
      </c>
    </row>
    <row r="23" spans="1:9" x14ac:dyDescent="0.25">
      <c r="A23" t="s">
        <v>311</v>
      </c>
      <c r="B23" s="42" t="s">
        <v>457</v>
      </c>
      <c r="C23" s="42" t="s">
        <v>465</v>
      </c>
      <c r="E23" s="42">
        <f>IF(LEFT(RBC_Personal_Accounts[[#This Row],[If Balance is]],1)&lt;&gt;"$",0,VALUE(LEFT(RBC_Personal_Accounts[[#This Row],[If Balance is]],FIND(" ",RBC_Personal_Accounts[[#This Row],[If Balance is]]))))</f>
        <v>0</v>
      </c>
      <c r="H23">
        <v>147</v>
      </c>
      <c r="I23" t="s">
        <v>312</v>
      </c>
    </row>
    <row r="24" spans="1:9" x14ac:dyDescent="0.25">
      <c r="B24" s="42" t="s">
        <v>459</v>
      </c>
      <c r="C24" s="42" t="s">
        <v>466</v>
      </c>
      <c r="E24" s="42">
        <f>IF(LEFT(RBC_Personal_Accounts[[#This Row],[If Balance is]],1)&lt;&gt;"$",0,VALUE(LEFT(RBC_Personal_Accounts[[#This Row],[If Balance is]],FIND(" ",RBC_Personal_Accounts[[#This Row],[If Balance is]]))))</f>
        <v>1000</v>
      </c>
      <c r="H24">
        <v>146</v>
      </c>
    </row>
    <row r="25" spans="1:9" x14ac:dyDescent="0.25">
      <c r="B25" s="42" t="s">
        <v>460</v>
      </c>
      <c r="C25" s="42" t="s">
        <v>467</v>
      </c>
      <c r="E25" s="42">
        <f>IF(LEFT(RBC_Personal_Accounts[[#This Row],[If Balance is]],1)&lt;&gt;"$",0,VALUE(LEFT(RBC_Personal_Accounts[[#This Row],[If Balance is]],FIND(" ",RBC_Personal_Accounts[[#This Row],[If Balance is]]))))</f>
        <v>3000</v>
      </c>
      <c r="H25">
        <v>145</v>
      </c>
    </row>
    <row r="26" spans="1:9" x14ac:dyDescent="0.25">
      <c r="B26" s="42" t="s">
        <v>61</v>
      </c>
      <c r="C26" s="42" t="s">
        <v>467</v>
      </c>
      <c r="E26" s="42">
        <f>IF(LEFT(RBC_Personal_Accounts[[#This Row],[If Balance is]],1)&lt;&gt;"$",0,VALUE(LEFT(RBC_Personal_Accounts[[#This Row],[If Balance is]],FIND(" ",RBC_Personal_Accounts[[#This Row],[If Balance is]]))))</f>
        <v>5000</v>
      </c>
      <c r="H26">
        <v>144</v>
      </c>
    </row>
    <row r="27" spans="1:9" x14ac:dyDescent="0.25">
      <c r="A27" t="s">
        <v>310</v>
      </c>
      <c r="B27" s="42" t="s">
        <v>468</v>
      </c>
      <c r="C27" s="42" t="s">
        <v>458</v>
      </c>
      <c r="E27" s="42">
        <f>IF(LEFT(RBC_Personal_Accounts[[#This Row],[If Balance is]],1)&lt;&gt;"$",0,VALUE(LEFT(RBC_Personal_Accounts[[#This Row],[If Balance is]],FIND(" ",RBC_Personal_Accounts[[#This Row],[If Balance is]]))))</f>
        <v>0</v>
      </c>
      <c r="H27">
        <v>143</v>
      </c>
      <c r="I27" t="s">
        <v>311</v>
      </c>
    </row>
    <row r="28" spans="1:9" x14ac:dyDescent="0.25">
      <c r="B28" s="42" t="s">
        <v>469</v>
      </c>
      <c r="C28" s="42" t="s">
        <v>462</v>
      </c>
      <c r="E28" s="42">
        <f>IF(LEFT(RBC_Personal_Accounts[[#This Row],[If Balance is]],1)&lt;&gt;"$",0,VALUE(LEFT(RBC_Personal_Accounts[[#This Row],[If Balance is]],FIND(" ",RBC_Personal_Accounts[[#This Row],[If Balance is]]))))</f>
        <v>5000</v>
      </c>
      <c r="H28">
        <v>142</v>
      </c>
    </row>
    <row r="29" spans="1:9" x14ac:dyDescent="0.25">
      <c r="B29" s="42" t="s">
        <v>60</v>
      </c>
      <c r="C29" s="42" t="s">
        <v>465</v>
      </c>
      <c r="E29" s="42">
        <f>IF(LEFT(RBC_Personal_Accounts[[#This Row],[If Balance is]],1)&lt;&gt;"$",0,VALUE(LEFT(RBC_Personal_Accounts[[#This Row],[If Balance is]],FIND(" ",RBC_Personal_Accounts[[#This Row],[If Balance is]]))))</f>
        <v>10000</v>
      </c>
      <c r="H29">
        <v>141</v>
      </c>
    </row>
    <row r="30" spans="1:9" x14ac:dyDescent="0.25">
      <c r="B30" s="42" t="s">
        <v>59</v>
      </c>
      <c r="C30" s="42" t="s">
        <v>466</v>
      </c>
      <c r="E30" s="42">
        <f>IF(LEFT(RBC_Personal_Accounts[[#This Row],[If Balance is]],1)&lt;&gt;"$",0,VALUE(LEFT(RBC_Personal_Accounts[[#This Row],[If Balance is]],FIND(" ",RBC_Personal_Accounts[[#This Row],[If Balance is]]))))</f>
        <v>25000</v>
      </c>
      <c r="H30">
        <v>140</v>
      </c>
    </row>
    <row r="31" spans="1:9" x14ac:dyDescent="0.25">
      <c r="B31" s="42" t="s">
        <v>58</v>
      </c>
      <c r="C31" s="42" t="s">
        <v>470</v>
      </c>
      <c r="E31" s="42">
        <f>IF(LEFT(RBC_Personal_Accounts[[#This Row],[If Balance is]],1)&lt;&gt;"$",0,VALUE(LEFT(RBC_Personal_Accounts[[#This Row],[If Balance is]],FIND(" ",RBC_Personal_Accounts[[#This Row],[If Balance is]]))))</f>
        <v>60000</v>
      </c>
      <c r="H31">
        <v>139</v>
      </c>
    </row>
    <row r="32" spans="1:9" x14ac:dyDescent="0.25">
      <c r="B32" s="42" t="s">
        <v>471</v>
      </c>
      <c r="C32" s="42" t="s">
        <v>472</v>
      </c>
      <c r="E32" s="42">
        <f>IF(LEFT(RBC_Personal_Accounts[[#This Row],[If Balance is]],1)&lt;&gt;"$",0,VALUE(LEFT(RBC_Personal_Accounts[[#This Row],[If Balance is]],FIND(" ",RBC_Personal_Accounts[[#This Row],[If Balance is]]))))</f>
        <v>100000</v>
      </c>
      <c r="H32">
        <v>138</v>
      </c>
    </row>
    <row r="33" spans="1:9" x14ac:dyDescent="0.25">
      <c r="B33" s="42" t="s">
        <v>473</v>
      </c>
      <c r="C33" s="42" t="s">
        <v>474</v>
      </c>
      <c r="E33" s="42">
        <f>IF(LEFT(RBC_Personal_Accounts[[#This Row],[If Balance is]],1)&lt;&gt;"$",0,VALUE(LEFT(RBC_Personal_Accounts[[#This Row],[If Balance is]],FIND(" ",RBC_Personal_Accounts[[#This Row],[If Balance is]]))))</f>
        <v>150000</v>
      </c>
      <c r="H33">
        <v>137</v>
      </c>
    </row>
    <row r="34" spans="1:9" x14ac:dyDescent="0.25">
      <c r="B34" s="42" t="s">
        <v>475</v>
      </c>
      <c r="C34" s="42" t="s">
        <v>474</v>
      </c>
      <c r="E34" s="42">
        <f>IF(LEFT(RBC_Personal_Accounts[[#This Row],[If Balance is]],1)&lt;&gt;"$",0,VALUE(LEFT(RBC_Personal_Accounts[[#This Row],[If Balance is]],FIND(" ",RBC_Personal_Accounts[[#This Row],[If Balance is]]))))</f>
        <v>250000</v>
      </c>
      <c r="H34">
        <v>136</v>
      </c>
    </row>
    <row r="35" spans="1:9" x14ac:dyDescent="0.25">
      <c r="A35" t="s">
        <v>309</v>
      </c>
      <c r="B35" s="42" t="s">
        <v>476</v>
      </c>
      <c r="C35" s="42" t="s">
        <v>465</v>
      </c>
      <c r="E35" s="42">
        <f>IF(LEFT(RBC_Personal_Accounts[[#This Row],[If Balance is]],1)&lt;&gt;"$",0,VALUE(LEFT(RBC_Personal_Accounts[[#This Row],[If Balance is]],FIND(" ",RBC_Personal_Accounts[[#This Row],[If Balance is]]))))</f>
        <v>0</v>
      </c>
      <c r="H35">
        <v>135</v>
      </c>
      <c r="I35" t="s">
        <v>310</v>
      </c>
    </row>
    <row r="36" spans="1:9" x14ac:dyDescent="0.25">
      <c r="B36" s="42" t="s">
        <v>477</v>
      </c>
      <c r="C36" s="42" t="s">
        <v>465</v>
      </c>
      <c r="E36" s="42">
        <f>IF(LEFT(RBC_Personal_Accounts[[#This Row],[If Balance is]],1)&lt;&gt;"$",0,VALUE(LEFT(RBC_Personal_Accounts[[#This Row],[If Balance is]],FIND(" ",RBC_Personal_Accounts[[#This Row],[If Balance is]]))))</f>
        <v>1000</v>
      </c>
      <c r="H36">
        <v>134</v>
      </c>
    </row>
    <row r="37" spans="1:9" x14ac:dyDescent="0.25">
      <c r="B37" s="42" t="s">
        <v>478</v>
      </c>
      <c r="C37" s="42" t="s">
        <v>465</v>
      </c>
      <c r="E37" s="42">
        <f>IF(LEFT(RBC_Personal_Accounts[[#This Row],[If Balance is]],1)&lt;&gt;"$",0,VALUE(LEFT(RBC_Personal_Accounts[[#This Row],[If Balance is]],FIND(" ",RBC_Personal_Accounts[[#This Row],[If Balance is]]))))</f>
        <v>3000</v>
      </c>
      <c r="H37">
        <v>133</v>
      </c>
    </row>
    <row r="38" spans="1:9" x14ac:dyDescent="0.25">
      <c r="B38" s="42" t="s">
        <v>479</v>
      </c>
      <c r="C38" s="42" t="s">
        <v>465</v>
      </c>
      <c r="E38" s="42">
        <f>IF(LEFT(RBC_Personal_Accounts[[#This Row],[If Balance is]],1)&lt;&gt;"$",0,VALUE(LEFT(RBC_Personal_Accounts[[#This Row],[If Balance is]],FIND(" ",RBC_Personal_Accounts[[#This Row],[If Balance is]]))))</f>
        <v>5000</v>
      </c>
      <c r="H38">
        <v>132</v>
      </c>
    </row>
    <row r="39" spans="1:9" x14ac:dyDescent="0.25">
      <c r="B39" s="42" t="s">
        <v>480</v>
      </c>
      <c r="C39" s="42" t="s">
        <v>465</v>
      </c>
      <c r="E39" s="42">
        <f>IF(LEFT(RBC_Personal_Accounts[[#This Row],[If Balance is]],1)&lt;&gt;"$",0,VALUE(LEFT(RBC_Personal_Accounts[[#This Row],[If Balance is]],FIND(" ",RBC_Personal_Accounts[[#This Row],[If Balance is]]))))</f>
        <v>10000</v>
      </c>
      <c r="H39">
        <v>131</v>
      </c>
    </row>
    <row r="40" spans="1:9" x14ac:dyDescent="0.25">
      <c r="B40" s="42" t="s">
        <v>481</v>
      </c>
      <c r="C40" s="42" t="s">
        <v>465</v>
      </c>
      <c r="E40" s="42">
        <f>IF(LEFT(RBC_Personal_Accounts[[#This Row],[If Balance is]],1)&lt;&gt;"$",0,VALUE(LEFT(RBC_Personal_Accounts[[#This Row],[If Balance is]],FIND(" ",RBC_Personal_Accounts[[#This Row],[If Balance is]]))))</f>
        <v>25000</v>
      </c>
      <c r="H40">
        <v>130</v>
      </c>
    </row>
    <row r="41" spans="1:9" x14ac:dyDescent="0.25">
      <c r="B41" s="42" t="s">
        <v>482</v>
      </c>
      <c r="C41" s="42" t="s">
        <v>483</v>
      </c>
      <c r="E41" s="42">
        <f>IF(LEFT(RBC_Personal_Accounts[[#This Row],[If Balance is]],1)&lt;&gt;"$",0,VALUE(LEFT(RBC_Personal_Accounts[[#This Row],[If Balance is]],FIND(" ",RBC_Personal_Accounts[[#This Row],[If Balance is]]))))</f>
        <v>60000</v>
      </c>
      <c r="H41">
        <v>129</v>
      </c>
    </row>
    <row r="42" spans="1:9" x14ac:dyDescent="0.25">
      <c r="B42" s="42" t="s">
        <v>484</v>
      </c>
      <c r="C42" s="42" t="s">
        <v>483</v>
      </c>
      <c r="E42" s="42">
        <f>IF(LEFT(RBC_Personal_Accounts[[#This Row],[If Balance is]],1)&lt;&gt;"$",0,VALUE(LEFT(RBC_Personal_Accounts[[#This Row],[If Balance is]],FIND(" ",RBC_Personal_Accounts[[#This Row],[If Balance is]]))))</f>
        <v>100000</v>
      </c>
      <c r="H42">
        <v>128</v>
      </c>
    </row>
    <row r="43" spans="1:9" x14ac:dyDescent="0.25">
      <c r="B43" s="42" t="s">
        <v>485</v>
      </c>
      <c r="C43" s="42" t="s">
        <v>483</v>
      </c>
      <c r="E43" s="42">
        <f>IF(LEFT(RBC_Personal_Accounts[[#This Row],[If Balance is]],1)&lt;&gt;"$",0,VALUE(LEFT(RBC_Personal_Accounts[[#This Row],[If Balance is]],FIND(" ",RBC_Personal_Accounts[[#This Row],[If Balance is]]))))</f>
        <v>150000</v>
      </c>
      <c r="H43">
        <v>127</v>
      </c>
    </row>
    <row r="44" spans="1:9" x14ac:dyDescent="0.25">
      <c r="B44" s="42" t="s">
        <v>475</v>
      </c>
      <c r="C44" s="42" t="s">
        <v>483</v>
      </c>
      <c r="E44" s="42">
        <f>IF(LEFT(RBC_Personal_Accounts[[#This Row],[If Balance is]],1)&lt;&gt;"$",0,VALUE(LEFT(RBC_Personal_Accounts[[#This Row],[If Balance is]],FIND(" ",RBC_Personal_Accounts[[#This Row],[If Balance is]]))))</f>
        <v>250000</v>
      </c>
      <c r="H44">
        <v>126</v>
      </c>
    </row>
    <row r="45" spans="1:9" x14ac:dyDescent="0.25">
      <c r="A45" t="s">
        <v>308</v>
      </c>
      <c r="B45" s="42" t="s">
        <v>457</v>
      </c>
      <c r="C45" s="42" t="s">
        <v>458</v>
      </c>
      <c r="E45" s="42">
        <f>IF(LEFT(RBC_Personal_Accounts[[#This Row],[If Balance is]],1)&lt;&gt;"$",0,VALUE(LEFT(RBC_Personal_Accounts[[#This Row],[If Balance is]],FIND(" ",RBC_Personal_Accounts[[#This Row],[If Balance is]]))))</f>
        <v>0</v>
      </c>
      <c r="H45">
        <v>125</v>
      </c>
      <c r="I45" t="s">
        <v>309</v>
      </c>
    </row>
    <row r="46" spans="1:9" x14ac:dyDescent="0.25">
      <c r="B46" s="42" t="s">
        <v>459</v>
      </c>
      <c r="C46" s="42" t="s">
        <v>458</v>
      </c>
      <c r="E46" s="42">
        <f>IF(LEFT(RBC_Personal_Accounts[[#This Row],[If Balance is]],1)&lt;&gt;"$",0,VALUE(LEFT(RBC_Personal_Accounts[[#This Row],[If Balance is]],FIND(" ",RBC_Personal_Accounts[[#This Row],[If Balance is]]))))</f>
        <v>1000</v>
      </c>
      <c r="H46">
        <v>124</v>
      </c>
    </row>
    <row r="47" spans="1:9" x14ac:dyDescent="0.25">
      <c r="B47" s="42" t="s">
        <v>460</v>
      </c>
      <c r="C47" s="42" t="s">
        <v>458</v>
      </c>
      <c r="E47" s="42">
        <f>IF(LEFT(RBC_Personal_Accounts[[#This Row],[If Balance is]],1)&lt;&gt;"$",0,VALUE(LEFT(RBC_Personal_Accounts[[#This Row],[If Balance is]],FIND(" ",RBC_Personal_Accounts[[#This Row],[If Balance is]]))))</f>
        <v>3000</v>
      </c>
      <c r="H47">
        <v>123</v>
      </c>
    </row>
    <row r="48" spans="1:9" x14ac:dyDescent="0.25">
      <c r="B48" s="42" t="s">
        <v>461</v>
      </c>
      <c r="C48" s="42" t="s">
        <v>462</v>
      </c>
      <c r="E48" s="42">
        <f>IF(LEFT(RBC_Personal_Accounts[[#This Row],[If Balance is]],1)&lt;&gt;"$",0,VALUE(LEFT(RBC_Personal_Accounts[[#This Row],[If Balance is]],FIND(" ",RBC_Personal_Accounts[[#This Row],[If Balance is]]))))</f>
        <v>5000</v>
      </c>
      <c r="H48">
        <v>122</v>
      </c>
    </row>
    <row r="49" spans="1:9" x14ac:dyDescent="0.25">
      <c r="B49" s="42" t="s">
        <v>59</v>
      </c>
      <c r="C49" s="42" t="s">
        <v>462</v>
      </c>
      <c r="E49" s="42">
        <f>IF(LEFT(RBC_Personal_Accounts[[#This Row],[If Balance is]],1)&lt;&gt;"$",0,VALUE(LEFT(RBC_Personal_Accounts[[#This Row],[If Balance is]],FIND(" ",RBC_Personal_Accounts[[#This Row],[If Balance is]]))))</f>
        <v>25000</v>
      </c>
      <c r="H49">
        <v>121</v>
      </c>
    </row>
    <row r="50" spans="1:9" x14ac:dyDescent="0.25">
      <c r="B50" s="42" t="s">
        <v>463</v>
      </c>
      <c r="C50" s="42" t="s">
        <v>464</v>
      </c>
      <c r="E50" s="42">
        <f>IF(LEFT(RBC_Personal_Accounts[[#This Row],[If Balance is]],1)&lt;&gt;"$",0,VALUE(LEFT(RBC_Personal_Accounts[[#This Row],[If Balance is]],FIND(" ",RBC_Personal_Accounts[[#This Row],[If Balance is]]))))</f>
        <v>60000</v>
      </c>
      <c r="H50">
        <v>120</v>
      </c>
    </row>
    <row r="51" spans="1:9" x14ac:dyDescent="0.25">
      <c r="A51" t="s">
        <v>307</v>
      </c>
      <c r="B51" s="42" t="s">
        <v>468</v>
      </c>
      <c r="C51" s="42" t="s">
        <v>458</v>
      </c>
      <c r="E51" s="42">
        <f>IF(LEFT(RBC_Personal_Accounts[[#This Row],[If Balance is]],1)&lt;&gt;"$",0,VALUE(LEFT(RBC_Personal_Accounts[[#This Row],[If Balance is]],FIND(" ",RBC_Personal_Accounts[[#This Row],[If Balance is]]))))</f>
        <v>0</v>
      </c>
      <c r="H51">
        <v>119</v>
      </c>
      <c r="I51" t="s">
        <v>308</v>
      </c>
    </row>
    <row r="52" spans="1:9" x14ac:dyDescent="0.25">
      <c r="B52" s="42" t="s">
        <v>469</v>
      </c>
      <c r="C52" s="42" t="s">
        <v>462</v>
      </c>
      <c r="E52" s="42">
        <f>IF(LEFT(RBC_Personal_Accounts[[#This Row],[If Balance is]],1)&lt;&gt;"$",0,VALUE(LEFT(RBC_Personal_Accounts[[#This Row],[If Balance is]],FIND(" ",RBC_Personal_Accounts[[#This Row],[If Balance is]]))))</f>
        <v>5000</v>
      </c>
      <c r="H52">
        <v>118</v>
      </c>
    </row>
    <row r="53" spans="1:9" x14ac:dyDescent="0.25">
      <c r="B53" s="42" t="s">
        <v>60</v>
      </c>
      <c r="C53" s="42" t="s">
        <v>465</v>
      </c>
      <c r="E53" s="42">
        <f>IF(LEFT(RBC_Personal_Accounts[[#This Row],[If Balance is]],1)&lt;&gt;"$",0,VALUE(LEFT(RBC_Personal_Accounts[[#This Row],[If Balance is]],FIND(" ",RBC_Personal_Accounts[[#This Row],[If Balance is]]))))</f>
        <v>10000</v>
      </c>
      <c r="H53">
        <v>117</v>
      </c>
    </row>
    <row r="54" spans="1:9" x14ac:dyDescent="0.25">
      <c r="B54" s="42" t="s">
        <v>59</v>
      </c>
      <c r="C54" s="42" t="s">
        <v>466</v>
      </c>
      <c r="E54" s="42">
        <f>IF(LEFT(RBC_Personal_Accounts[[#This Row],[If Balance is]],1)&lt;&gt;"$",0,VALUE(LEFT(RBC_Personal_Accounts[[#This Row],[If Balance is]],FIND(" ",RBC_Personal_Accounts[[#This Row],[If Balance is]]))))</f>
        <v>25000</v>
      </c>
      <c r="H54">
        <v>116</v>
      </c>
    </row>
    <row r="55" spans="1:9" x14ac:dyDescent="0.25">
      <c r="B55" s="42" t="s">
        <v>58</v>
      </c>
      <c r="C55" s="42" t="s">
        <v>470</v>
      </c>
      <c r="E55" s="42">
        <f>IF(LEFT(RBC_Personal_Accounts[[#This Row],[If Balance is]],1)&lt;&gt;"$",0,VALUE(LEFT(RBC_Personal_Accounts[[#This Row],[If Balance is]],FIND(" ",RBC_Personal_Accounts[[#This Row],[If Balance is]]))))</f>
        <v>60000</v>
      </c>
      <c r="H55">
        <v>115</v>
      </c>
    </row>
    <row r="56" spans="1:9" x14ac:dyDescent="0.25">
      <c r="B56" s="42" t="s">
        <v>471</v>
      </c>
      <c r="C56" s="42" t="s">
        <v>472</v>
      </c>
      <c r="E56" s="42">
        <f>IF(LEFT(RBC_Personal_Accounts[[#This Row],[If Balance is]],1)&lt;&gt;"$",0,VALUE(LEFT(RBC_Personal_Accounts[[#This Row],[If Balance is]],FIND(" ",RBC_Personal_Accounts[[#This Row],[If Balance is]]))))</f>
        <v>100000</v>
      </c>
      <c r="H56">
        <v>114</v>
      </c>
    </row>
    <row r="57" spans="1:9" x14ac:dyDescent="0.25">
      <c r="B57" s="42" t="s">
        <v>473</v>
      </c>
      <c r="C57" s="42" t="s">
        <v>474</v>
      </c>
      <c r="E57" s="42">
        <f>IF(LEFT(RBC_Personal_Accounts[[#This Row],[If Balance is]],1)&lt;&gt;"$",0,VALUE(LEFT(RBC_Personal_Accounts[[#This Row],[If Balance is]],FIND(" ",RBC_Personal_Accounts[[#This Row],[If Balance is]]))))</f>
        <v>150000</v>
      </c>
      <c r="H57">
        <v>113</v>
      </c>
    </row>
    <row r="58" spans="1:9" x14ac:dyDescent="0.25">
      <c r="B58" s="42" t="s">
        <v>475</v>
      </c>
      <c r="C58" s="42" t="s">
        <v>474</v>
      </c>
      <c r="E58" s="42">
        <f>IF(LEFT(RBC_Personal_Accounts[[#This Row],[If Balance is]],1)&lt;&gt;"$",0,VALUE(LEFT(RBC_Personal_Accounts[[#This Row],[If Balance is]],FIND(" ",RBC_Personal_Accounts[[#This Row],[If Balance is]]))))</f>
        <v>250000</v>
      </c>
      <c r="H58">
        <v>112</v>
      </c>
    </row>
    <row r="59" spans="1:9" x14ac:dyDescent="0.25">
      <c r="A59" t="s">
        <v>306</v>
      </c>
      <c r="B59" s="42" t="s">
        <v>457</v>
      </c>
      <c r="C59" s="42" t="s">
        <v>465</v>
      </c>
      <c r="E59" s="42">
        <f>IF(LEFT(RBC_Personal_Accounts[[#This Row],[If Balance is]],1)&lt;&gt;"$",0,VALUE(LEFT(RBC_Personal_Accounts[[#This Row],[If Balance is]],FIND(" ",RBC_Personal_Accounts[[#This Row],[If Balance is]]))))</f>
        <v>0</v>
      </c>
      <c r="H59">
        <v>111</v>
      </c>
      <c r="I59" t="s">
        <v>307</v>
      </c>
    </row>
    <row r="60" spans="1:9" x14ac:dyDescent="0.25">
      <c r="B60" s="42" t="s">
        <v>459</v>
      </c>
      <c r="C60" s="42" t="s">
        <v>466</v>
      </c>
      <c r="E60" s="42">
        <f>IF(LEFT(RBC_Personal_Accounts[[#This Row],[If Balance is]],1)&lt;&gt;"$",0,VALUE(LEFT(RBC_Personal_Accounts[[#This Row],[If Balance is]],FIND(" ",RBC_Personal_Accounts[[#This Row],[If Balance is]]))))</f>
        <v>1000</v>
      </c>
      <c r="H60">
        <v>110</v>
      </c>
    </row>
    <row r="61" spans="1:9" x14ac:dyDescent="0.25">
      <c r="B61" s="42" t="s">
        <v>460</v>
      </c>
      <c r="C61" s="42" t="s">
        <v>467</v>
      </c>
      <c r="E61" s="42">
        <f>IF(LEFT(RBC_Personal_Accounts[[#This Row],[If Balance is]],1)&lt;&gt;"$",0,VALUE(LEFT(RBC_Personal_Accounts[[#This Row],[If Balance is]],FIND(" ",RBC_Personal_Accounts[[#This Row],[If Balance is]]))))</f>
        <v>3000</v>
      </c>
      <c r="H61">
        <v>109</v>
      </c>
    </row>
    <row r="62" spans="1:9" x14ac:dyDescent="0.25">
      <c r="B62" s="42" t="s">
        <v>61</v>
      </c>
      <c r="C62" s="42" t="s">
        <v>467</v>
      </c>
      <c r="E62" s="42">
        <f>IF(LEFT(RBC_Personal_Accounts[[#This Row],[If Balance is]],1)&lt;&gt;"$",0,VALUE(LEFT(RBC_Personal_Accounts[[#This Row],[If Balance is]],FIND(" ",RBC_Personal_Accounts[[#This Row],[If Balance is]]))))</f>
        <v>5000</v>
      </c>
      <c r="H62">
        <v>108</v>
      </c>
    </row>
    <row r="63" spans="1:9" x14ac:dyDescent="0.25">
      <c r="A63" t="s">
        <v>305</v>
      </c>
      <c r="B63" s="42" t="s">
        <v>486</v>
      </c>
      <c r="C63" s="42" t="s">
        <v>458</v>
      </c>
      <c r="E63" s="42">
        <f>IF(LEFT(RBC_Personal_Accounts[[#This Row],[If Balance is]],1)&lt;&gt;"$",0,VALUE(LEFT(RBC_Personal_Accounts[[#This Row],[If Balance is]],FIND(" ",RBC_Personal_Accounts[[#This Row],[If Balance is]]))))</f>
        <v>0</v>
      </c>
      <c r="H63">
        <v>107</v>
      </c>
      <c r="I63" t="s">
        <v>306</v>
      </c>
    </row>
    <row r="64" spans="1:9" x14ac:dyDescent="0.25">
      <c r="B64" s="42" t="s">
        <v>487</v>
      </c>
      <c r="C64" s="42" t="s">
        <v>458</v>
      </c>
      <c r="E64" s="42">
        <f>IF(LEFT(RBC_Personal_Accounts[[#This Row],[If Balance is]],1)&lt;&gt;"$",0,VALUE(LEFT(RBC_Personal_Accounts[[#This Row],[If Balance is]],FIND(" ",RBC_Personal_Accounts[[#This Row],[If Balance is]]))))</f>
        <v>500</v>
      </c>
      <c r="H64">
        <v>106</v>
      </c>
    </row>
    <row r="65" spans="1:9" x14ac:dyDescent="0.25">
      <c r="B65" s="42" t="s">
        <v>459</v>
      </c>
      <c r="C65" s="42" t="s">
        <v>458</v>
      </c>
      <c r="E65" s="42">
        <f>IF(LEFT(RBC_Personal_Accounts[[#This Row],[If Balance is]],1)&lt;&gt;"$",0,VALUE(LEFT(RBC_Personal_Accounts[[#This Row],[If Balance is]],FIND(" ",RBC_Personal_Accounts[[#This Row],[If Balance is]]))))</f>
        <v>1000</v>
      </c>
      <c r="H65">
        <v>105</v>
      </c>
    </row>
    <row r="66" spans="1:9" x14ac:dyDescent="0.25">
      <c r="B66" s="42" t="s">
        <v>460</v>
      </c>
      <c r="C66" s="42" t="s">
        <v>462</v>
      </c>
      <c r="E66" s="42">
        <f>IF(LEFT(RBC_Personal_Accounts[[#This Row],[If Balance is]],1)&lt;&gt;"$",0,VALUE(LEFT(RBC_Personal_Accounts[[#This Row],[If Balance is]],FIND(" ",RBC_Personal_Accounts[[#This Row],[If Balance is]]))))</f>
        <v>3000</v>
      </c>
      <c r="H66">
        <v>104</v>
      </c>
    </row>
    <row r="67" spans="1:9" x14ac:dyDescent="0.25">
      <c r="B67" s="42" t="s">
        <v>61</v>
      </c>
      <c r="C67" s="42" t="s">
        <v>464</v>
      </c>
      <c r="E67" s="42">
        <f>IF(LEFT(RBC_Personal_Accounts[[#This Row],[If Balance is]],1)&lt;&gt;"$",0,VALUE(LEFT(RBC_Personal_Accounts[[#This Row],[If Balance is]],FIND(" ",RBC_Personal_Accounts[[#This Row],[If Balance is]]))))</f>
        <v>5000</v>
      </c>
      <c r="H67">
        <v>103</v>
      </c>
    </row>
    <row r="68" spans="1:9" x14ac:dyDescent="0.25">
      <c r="A68" t="s">
        <v>304</v>
      </c>
      <c r="B68" s="42" t="s">
        <v>457</v>
      </c>
      <c r="C68" s="42" t="s">
        <v>458</v>
      </c>
      <c r="E68" s="42">
        <f>IF(LEFT(RBC_Personal_Accounts[[#This Row],[If Balance is]],1)&lt;&gt;"$",0,VALUE(LEFT(RBC_Personal_Accounts[[#This Row],[If Balance is]],FIND(" ",RBC_Personal_Accounts[[#This Row],[If Balance is]]))))</f>
        <v>0</v>
      </c>
      <c r="H68">
        <v>102</v>
      </c>
      <c r="I68" t="s">
        <v>305</v>
      </c>
    </row>
    <row r="69" spans="1:9" x14ac:dyDescent="0.25">
      <c r="B69" s="42" t="s">
        <v>459</v>
      </c>
      <c r="C69" s="42" t="s">
        <v>458</v>
      </c>
      <c r="E69" s="42">
        <f>IF(LEFT(RBC_Personal_Accounts[[#This Row],[If Balance is]],1)&lt;&gt;"$",0,VALUE(LEFT(RBC_Personal_Accounts[[#This Row],[If Balance is]],FIND(" ",RBC_Personal_Accounts[[#This Row],[If Balance is]]))))</f>
        <v>1000</v>
      </c>
      <c r="H69">
        <v>101</v>
      </c>
    </row>
    <row r="70" spans="1:9" x14ac:dyDescent="0.25">
      <c r="B70" s="42" t="s">
        <v>460</v>
      </c>
      <c r="C70" s="42" t="s">
        <v>458</v>
      </c>
      <c r="E70" s="42">
        <f>IF(LEFT(RBC_Personal_Accounts[[#This Row],[If Balance is]],1)&lt;&gt;"$",0,VALUE(LEFT(RBC_Personal_Accounts[[#This Row],[If Balance is]],FIND(" ",RBC_Personal_Accounts[[#This Row],[If Balance is]]))))</f>
        <v>3000</v>
      </c>
      <c r="H70">
        <v>100</v>
      </c>
    </row>
    <row r="71" spans="1:9" x14ac:dyDescent="0.25">
      <c r="B71" s="42" t="s">
        <v>461</v>
      </c>
      <c r="C71" s="42" t="s">
        <v>462</v>
      </c>
      <c r="E71" s="42">
        <f>IF(LEFT(RBC_Personal_Accounts[[#This Row],[If Balance is]],1)&lt;&gt;"$",0,VALUE(LEFT(RBC_Personal_Accounts[[#This Row],[If Balance is]],FIND(" ",RBC_Personal_Accounts[[#This Row],[If Balance is]]))))</f>
        <v>5000</v>
      </c>
      <c r="H71">
        <v>99</v>
      </c>
    </row>
    <row r="72" spans="1:9" x14ac:dyDescent="0.25">
      <c r="B72" s="42" t="s">
        <v>59</v>
      </c>
      <c r="C72" s="42" t="s">
        <v>462</v>
      </c>
      <c r="E72" s="42">
        <f>IF(LEFT(RBC_Personal_Accounts[[#This Row],[If Balance is]],1)&lt;&gt;"$",0,VALUE(LEFT(RBC_Personal_Accounts[[#This Row],[If Balance is]],FIND(" ",RBC_Personal_Accounts[[#This Row],[If Balance is]]))))</f>
        <v>25000</v>
      </c>
      <c r="H72">
        <v>98</v>
      </c>
    </row>
    <row r="73" spans="1:9" x14ac:dyDescent="0.25">
      <c r="B73" s="42" t="s">
        <v>463</v>
      </c>
      <c r="C73" s="42" t="s">
        <v>464</v>
      </c>
      <c r="E73" s="42">
        <f>IF(LEFT(RBC_Personal_Accounts[[#This Row],[If Balance is]],1)&lt;&gt;"$",0,VALUE(LEFT(RBC_Personal_Accounts[[#This Row],[If Balance is]],FIND(" ",RBC_Personal_Accounts[[#This Row],[If Balance is]]))))</f>
        <v>60000</v>
      </c>
      <c r="H73">
        <v>97</v>
      </c>
    </row>
    <row r="74" spans="1:9" x14ac:dyDescent="0.25">
      <c r="A74" t="s">
        <v>303</v>
      </c>
      <c r="B74" s="42" t="s">
        <v>486</v>
      </c>
      <c r="C74" s="42" t="s">
        <v>462</v>
      </c>
      <c r="E74" s="42">
        <f>IF(LEFT(RBC_Personal_Accounts[[#This Row],[If Balance is]],1)&lt;&gt;"$",0,VALUE(LEFT(RBC_Personal_Accounts[[#This Row],[If Balance is]],FIND(" ",RBC_Personal_Accounts[[#This Row],[If Balance is]]))))</f>
        <v>0</v>
      </c>
      <c r="H74">
        <v>96</v>
      </c>
      <c r="I74" t="s">
        <v>304</v>
      </c>
    </row>
    <row r="75" spans="1:9" x14ac:dyDescent="0.25">
      <c r="B75" s="42" t="s">
        <v>487</v>
      </c>
      <c r="C75" s="42" t="s">
        <v>462</v>
      </c>
      <c r="E75" s="42">
        <f>IF(LEFT(RBC_Personal_Accounts[[#This Row],[If Balance is]],1)&lt;&gt;"$",0,VALUE(LEFT(RBC_Personal_Accounts[[#This Row],[If Balance is]],FIND(" ",RBC_Personal_Accounts[[#This Row],[If Balance is]]))))</f>
        <v>500</v>
      </c>
      <c r="H75">
        <v>95</v>
      </c>
    </row>
    <row r="76" spans="1:9" x14ac:dyDescent="0.25">
      <c r="B76" s="42" t="s">
        <v>459</v>
      </c>
      <c r="C76" s="42" t="s">
        <v>462</v>
      </c>
      <c r="E76" s="42">
        <f>IF(LEFT(RBC_Personal_Accounts[[#This Row],[If Balance is]],1)&lt;&gt;"$",0,VALUE(LEFT(RBC_Personal_Accounts[[#This Row],[If Balance is]],FIND(" ",RBC_Personal_Accounts[[#This Row],[If Balance is]]))))</f>
        <v>1000</v>
      </c>
      <c r="H76">
        <v>94</v>
      </c>
    </row>
    <row r="77" spans="1:9" x14ac:dyDescent="0.25">
      <c r="B77" s="42" t="s">
        <v>460</v>
      </c>
      <c r="C77" s="42" t="s">
        <v>464</v>
      </c>
      <c r="E77" s="42">
        <f>IF(LEFT(RBC_Personal_Accounts[[#This Row],[If Balance is]],1)&lt;&gt;"$",0,VALUE(LEFT(RBC_Personal_Accounts[[#This Row],[If Balance is]],FIND(" ",RBC_Personal_Accounts[[#This Row],[If Balance is]]))))</f>
        <v>3000</v>
      </c>
      <c r="H77">
        <v>93</v>
      </c>
    </row>
    <row r="78" spans="1:9" x14ac:dyDescent="0.25">
      <c r="B78" s="42" t="s">
        <v>61</v>
      </c>
      <c r="C78" s="42" t="s">
        <v>464</v>
      </c>
      <c r="E78" s="42">
        <f>IF(LEFT(RBC_Personal_Accounts[[#This Row],[If Balance is]],1)&lt;&gt;"$",0,VALUE(LEFT(RBC_Personal_Accounts[[#This Row],[If Balance is]],FIND(" ",RBC_Personal_Accounts[[#This Row],[If Balance is]]))))</f>
        <v>5000</v>
      </c>
      <c r="H78">
        <v>92</v>
      </c>
    </row>
    <row r="79" spans="1:9" x14ac:dyDescent="0.25">
      <c r="A79" t="s">
        <v>302</v>
      </c>
      <c r="B79" s="42" t="s">
        <v>457</v>
      </c>
      <c r="C79" s="42" t="s">
        <v>465</v>
      </c>
      <c r="E79" s="42">
        <f>IF(LEFT(RBC_Personal_Accounts[[#This Row],[If Balance is]],1)&lt;&gt;"$",0,VALUE(LEFT(RBC_Personal_Accounts[[#This Row],[If Balance is]],FIND(" ",RBC_Personal_Accounts[[#This Row],[If Balance is]]))))</f>
        <v>0</v>
      </c>
      <c r="H79">
        <v>91</v>
      </c>
      <c r="I79" t="s">
        <v>303</v>
      </c>
    </row>
    <row r="80" spans="1:9" x14ac:dyDescent="0.25">
      <c r="B80" s="42" t="s">
        <v>459</v>
      </c>
      <c r="C80" s="42" t="s">
        <v>466</v>
      </c>
      <c r="E80" s="42">
        <f>IF(LEFT(RBC_Personal_Accounts[[#This Row],[If Balance is]],1)&lt;&gt;"$",0,VALUE(LEFT(RBC_Personal_Accounts[[#This Row],[If Balance is]],FIND(" ",RBC_Personal_Accounts[[#This Row],[If Balance is]]))))</f>
        <v>1000</v>
      </c>
      <c r="H80">
        <v>90</v>
      </c>
    </row>
    <row r="81" spans="1:9" x14ac:dyDescent="0.25">
      <c r="B81" s="42" t="s">
        <v>460</v>
      </c>
      <c r="C81" s="42" t="s">
        <v>467</v>
      </c>
      <c r="E81" s="42">
        <f>IF(LEFT(RBC_Personal_Accounts[[#This Row],[If Balance is]],1)&lt;&gt;"$",0,VALUE(LEFT(RBC_Personal_Accounts[[#This Row],[If Balance is]],FIND(" ",RBC_Personal_Accounts[[#This Row],[If Balance is]]))))</f>
        <v>3000</v>
      </c>
      <c r="H81">
        <v>89</v>
      </c>
    </row>
    <row r="82" spans="1:9" x14ac:dyDescent="0.25">
      <c r="B82" s="42" t="s">
        <v>61</v>
      </c>
      <c r="C82" s="42" t="s">
        <v>467</v>
      </c>
      <c r="E82" s="42">
        <f>IF(LEFT(RBC_Personal_Accounts[[#This Row],[If Balance is]],1)&lt;&gt;"$",0,VALUE(LEFT(RBC_Personal_Accounts[[#This Row],[If Balance is]],FIND(" ",RBC_Personal_Accounts[[#This Row],[If Balance is]]))))</f>
        <v>5000</v>
      </c>
      <c r="H82">
        <v>88</v>
      </c>
    </row>
    <row r="83" spans="1:9" x14ac:dyDescent="0.25">
      <c r="A83" t="s">
        <v>301</v>
      </c>
      <c r="B83" s="42" t="s">
        <v>468</v>
      </c>
      <c r="C83" s="42" t="s">
        <v>458</v>
      </c>
      <c r="E83" s="42">
        <f>IF(LEFT(RBC_Personal_Accounts[[#This Row],[If Balance is]],1)&lt;&gt;"$",0,VALUE(LEFT(RBC_Personal_Accounts[[#This Row],[If Balance is]],FIND(" ",RBC_Personal_Accounts[[#This Row],[If Balance is]]))))</f>
        <v>0</v>
      </c>
      <c r="H83">
        <v>87</v>
      </c>
      <c r="I83" t="s">
        <v>302</v>
      </c>
    </row>
    <row r="84" spans="1:9" x14ac:dyDescent="0.25">
      <c r="B84" s="42" t="s">
        <v>469</v>
      </c>
      <c r="C84" s="42" t="s">
        <v>462</v>
      </c>
      <c r="E84" s="42">
        <f>IF(LEFT(RBC_Personal_Accounts[[#This Row],[If Balance is]],1)&lt;&gt;"$",0,VALUE(LEFT(RBC_Personal_Accounts[[#This Row],[If Balance is]],FIND(" ",RBC_Personal_Accounts[[#This Row],[If Balance is]]))))</f>
        <v>5000</v>
      </c>
      <c r="H84">
        <v>86</v>
      </c>
    </row>
    <row r="85" spans="1:9" x14ac:dyDescent="0.25">
      <c r="B85" s="42" t="s">
        <v>60</v>
      </c>
      <c r="C85" s="42" t="s">
        <v>465</v>
      </c>
      <c r="E85" s="42">
        <f>IF(LEFT(RBC_Personal_Accounts[[#This Row],[If Balance is]],1)&lt;&gt;"$",0,VALUE(LEFT(RBC_Personal_Accounts[[#This Row],[If Balance is]],FIND(" ",RBC_Personal_Accounts[[#This Row],[If Balance is]]))))</f>
        <v>10000</v>
      </c>
      <c r="H85">
        <v>85</v>
      </c>
    </row>
    <row r="86" spans="1:9" x14ac:dyDescent="0.25">
      <c r="B86" s="42" t="s">
        <v>59</v>
      </c>
      <c r="C86" s="42" t="s">
        <v>466</v>
      </c>
      <c r="E86" s="42">
        <f>IF(LEFT(RBC_Personal_Accounts[[#This Row],[If Balance is]],1)&lt;&gt;"$",0,VALUE(LEFT(RBC_Personal_Accounts[[#This Row],[If Balance is]],FIND(" ",RBC_Personal_Accounts[[#This Row],[If Balance is]]))))</f>
        <v>25000</v>
      </c>
      <c r="H86">
        <v>84</v>
      </c>
    </row>
    <row r="87" spans="1:9" x14ac:dyDescent="0.25">
      <c r="B87" s="42" t="s">
        <v>58</v>
      </c>
      <c r="C87" s="42" t="s">
        <v>470</v>
      </c>
      <c r="E87" s="42">
        <f>IF(LEFT(RBC_Personal_Accounts[[#This Row],[If Balance is]],1)&lt;&gt;"$",0,VALUE(LEFT(RBC_Personal_Accounts[[#This Row],[If Balance is]],FIND(" ",RBC_Personal_Accounts[[#This Row],[If Balance is]]))))</f>
        <v>60000</v>
      </c>
      <c r="H87">
        <v>83</v>
      </c>
    </row>
    <row r="88" spans="1:9" x14ac:dyDescent="0.25">
      <c r="B88" s="42" t="s">
        <v>471</v>
      </c>
      <c r="C88" s="42" t="s">
        <v>472</v>
      </c>
      <c r="E88" s="42">
        <f>IF(LEFT(RBC_Personal_Accounts[[#This Row],[If Balance is]],1)&lt;&gt;"$",0,VALUE(LEFT(RBC_Personal_Accounts[[#This Row],[If Balance is]],FIND(" ",RBC_Personal_Accounts[[#This Row],[If Balance is]]))))</f>
        <v>100000</v>
      </c>
      <c r="H88">
        <v>82</v>
      </c>
    </row>
    <row r="89" spans="1:9" x14ac:dyDescent="0.25">
      <c r="B89" s="42" t="s">
        <v>473</v>
      </c>
      <c r="C89" s="42" t="s">
        <v>474</v>
      </c>
      <c r="E89" s="42">
        <f>IF(LEFT(RBC_Personal_Accounts[[#This Row],[If Balance is]],1)&lt;&gt;"$",0,VALUE(LEFT(RBC_Personal_Accounts[[#This Row],[If Balance is]],FIND(" ",RBC_Personal_Accounts[[#This Row],[If Balance is]]))))</f>
        <v>150000</v>
      </c>
      <c r="H89">
        <v>81</v>
      </c>
    </row>
    <row r="90" spans="1:9" x14ac:dyDescent="0.25">
      <c r="B90" s="42" t="s">
        <v>475</v>
      </c>
      <c r="C90" s="42" t="s">
        <v>474</v>
      </c>
      <c r="E90" s="42">
        <f>IF(LEFT(RBC_Personal_Accounts[[#This Row],[If Balance is]],1)&lt;&gt;"$",0,VALUE(LEFT(RBC_Personal_Accounts[[#This Row],[If Balance is]],FIND(" ",RBC_Personal_Accounts[[#This Row],[If Balance is]]))))</f>
        <v>250000</v>
      </c>
      <c r="H90">
        <v>80</v>
      </c>
    </row>
    <row r="91" spans="1:9" x14ac:dyDescent="0.25">
      <c r="A91" t="s">
        <v>300</v>
      </c>
      <c r="B91" s="42" t="s">
        <v>488</v>
      </c>
      <c r="C91" s="42" t="s">
        <v>458</v>
      </c>
      <c r="E91" s="42">
        <f>IF(LEFT(RBC_Personal_Accounts[[#This Row],[If Balance is]],1)&lt;&gt;"$",0,VALUE(LEFT(RBC_Personal_Accounts[[#This Row],[If Balance is]],FIND(" ",RBC_Personal_Accounts[[#This Row],[If Balance is]]))))</f>
        <v>0</v>
      </c>
      <c r="H91">
        <v>79</v>
      </c>
      <c r="I91" t="s">
        <v>301</v>
      </c>
    </row>
    <row r="92" spans="1:9" x14ac:dyDescent="0.25">
      <c r="B92" s="42" t="s">
        <v>460</v>
      </c>
      <c r="C92" s="42" t="s">
        <v>458</v>
      </c>
      <c r="E92" s="42">
        <f>IF(LEFT(RBC_Personal_Accounts[[#This Row],[If Balance is]],1)&lt;&gt;"$",0,VALUE(LEFT(RBC_Personal_Accounts[[#This Row],[If Balance is]],FIND(" ",RBC_Personal_Accounts[[#This Row],[If Balance is]]))))</f>
        <v>3000</v>
      </c>
      <c r="H92">
        <v>78</v>
      </c>
    </row>
    <row r="93" spans="1:9" x14ac:dyDescent="0.25">
      <c r="B93" s="42" t="s">
        <v>469</v>
      </c>
      <c r="C93" s="42" t="s">
        <v>462</v>
      </c>
      <c r="E93" s="42">
        <f>IF(LEFT(RBC_Personal_Accounts[[#This Row],[If Balance is]],1)&lt;&gt;"$",0,VALUE(LEFT(RBC_Personal_Accounts[[#This Row],[If Balance is]],FIND(" ",RBC_Personal_Accounts[[#This Row],[If Balance is]]))))</f>
        <v>5000</v>
      </c>
      <c r="H93">
        <v>77</v>
      </c>
    </row>
    <row r="94" spans="1:9" x14ac:dyDescent="0.25">
      <c r="B94" s="42" t="s">
        <v>60</v>
      </c>
      <c r="C94" s="42" t="s">
        <v>465</v>
      </c>
      <c r="E94" s="42">
        <f>IF(LEFT(RBC_Personal_Accounts[[#This Row],[If Balance is]],1)&lt;&gt;"$",0,VALUE(LEFT(RBC_Personal_Accounts[[#This Row],[If Balance is]],FIND(" ",RBC_Personal_Accounts[[#This Row],[If Balance is]]))))</f>
        <v>10000</v>
      </c>
      <c r="H94">
        <v>76</v>
      </c>
    </row>
    <row r="95" spans="1:9" x14ac:dyDescent="0.25">
      <c r="B95" s="42" t="s">
        <v>59</v>
      </c>
      <c r="C95" s="42" t="s">
        <v>466</v>
      </c>
      <c r="E95" s="42">
        <f>IF(LEFT(RBC_Personal_Accounts[[#This Row],[If Balance is]],1)&lt;&gt;"$",0,VALUE(LEFT(RBC_Personal_Accounts[[#This Row],[If Balance is]],FIND(" ",RBC_Personal_Accounts[[#This Row],[If Balance is]]))))</f>
        <v>25000</v>
      </c>
      <c r="H95">
        <v>75</v>
      </c>
    </row>
    <row r="96" spans="1:9" x14ac:dyDescent="0.25">
      <c r="B96" s="42" t="s">
        <v>58</v>
      </c>
      <c r="C96" s="42" t="s">
        <v>472</v>
      </c>
      <c r="E96" s="42">
        <f>IF(LEFT(RBC_Personal_Accounts[[#This Row],[If Balance is]],1)&lt;&gt;"$",0,VALUE(LEFT(RBC_Personal_Accounts[[#This Row],[If Balance is]],FIND(" ",RBC_Personal_Accounts[[#This Row],[If Balance is]]))))</f>
        <v>60000</v>
      </c>
      <c r="H96">
        <v>74</v>
      </c>
    </row>
    <row r="97" spans="1:9" x14ac:dyDescent="0.25">
      <c r="B97" s="42" t="s">
        <v>245</v>
      </c>
      <c r="C97" s="42" t="s">
        <v>489</v>
      </c>
      <c r="E97" s="42">
        <f>IF(LEFT(RBC_Personal_Accounts[[#This Row],[If Balance is]],1)&lt;&gt;"$",0,VALUE(LEFT(RBC_Personal_Accounts[[#This Row],[If Balance is]],FIND(" ",RBC_Personal_Accounts[[#This Row],[If Balance is]]))))</f>
        <v>100000</v>
      </c>
      <c r="H97">
        <v>73</v>
      </c>
    </row>
    <row r="98" spans="1:9" x14ac:dyDescent="0.25">
      <c r="A98" t="s">
        <v>299</v>
      </c>
      <c r="B98" s="42" t="s">
        <v>457</v>
      </c>
      <c r="C98" s="42" t="s">
        <v>458</v>
      </c>
      <c r="E98" s="42">
        <f>IF(LEFT(RBC_Personal_Accounts[[#This Row],[If Balance is]],1)&lt;&gt;"$",0,VALUE(LEFT(RBC_Personal_Accounts[[#This Row],[If Balance is]],FIND(" ",RBC_Personal_Accounts[[#This Row],[If Balance is]]))))</f>
        <v>0</v>
      </c>
      <c r="H98">
        <v>72</v>
      </c>
      <c r="I98" t="s">
        <v>300</v>
      </c>
    </row>
    <row r="99" spans="1:9" x14ac:dyDescent="0.25">
      <c r="B99" s="42" t="s">
        <v>459</v>
      </c>
      <c r="C99" s="42" t="s">
        <v>458</v>
      </c>
      <c r="E99" s="42">
        <f>IF(LEFT(RBC_Personal_Accounts[[#This Row],[If Balance is]],1)&lt;&gt;"$",0,VALUE(LEFT(RBC_Personal_Accounts[[#This Row],[If Balance is]],FIND(" ",RBC_Personal_Accounts[[#This Row],[If Balance is]]))))</f>
        <v>1000</v>
      </c>
      <c r="H99">
        <v>71</v>
      </c>
    </row>
    <row r="100" spans="1:9" x14ac:dyDescent="0.25">
      <c r="B100" s="42" t="s">
        <v>460</v>
      </c>
      <c r="C100" s="42" t="s">
        <v>458</v>
      </c>
      <c r="E100" s="42">
        <f>IF(LEFT(RBC_Personal_Accounts[[#This Row],[If Balance is]],1)&lt;&gt;"$",0,VALUE(LEFT(RBC_Personal_Accounts[[#This Row],[If Balance is]],FIND(" ",RBC_Personal_Accounts[[#This Row],[If Balance is]]))))</f>
        <v>3000</v>
      </c>
      <c r="H100">
        <v>70</v>
      </c>
    </row>
    <row r="101" spans="1:9" x14ac:dyDescent="0.25">
      <c r="B101" s="42" t="s">
        <v>461</v>
      </c>
      <c r="C101" s="42" t="s">
        <v>462</v>
      </c>
      <c r="E101" s="42">
        <f>IF(LEFT(RBC_Personal_Accounts[[#This Row],[If Balance is]],1)&lt;&gt;"$",0,VALUE(LEFT(RBC_Personal_Accounts[[#This Row],[If Balance is]],FIND(" ",RBC_Personal_Accounts[[#This Row],[If Balance is]]))))</f>
        <v>5000</v>
      </c>
      <c r="H101">
        <v>69</v>
      </c>
    </row>
    <row r="102" spans="1:9" x14ac:dyDescent="0.25">
      <c r="B102" s="42" t="s">
        <v>59</v>
      </c>
      <c r="C102" s="42" t="s">
        <v>462</v>
      </c>
      <c r="E102" s="42">
        <f>IF(LEFT(RBC_Personal_Accounts[[#This Row],[If Balance is]],1)&lt;&gt;"$",0,VALUE(LEFT(RBC_Personal_Accounts[[#This Row],[If Balance is]],FIND(" ",RBC_Personal_Accounts[[#This Row],[If Balance is]]))))</f>
        <v>25000</v>
      </c>
      <c r="H102">
        <v>68</v>
      </c>
    </row>
    <row r="103" spans="1:9" x14ac:dyDescent="0.25">
      <c r="B103" s="42" t="s">
        <v>463</v>
      </c>
      <c r="C103" s="42" t="s">
        <v>464</v>
      </c>
      <c r="E103" s="42">
        <f>IF(LEFT(RBC_Personal_Accounts[[#This Row],[If Balance is]],1)&lt;&gt;"$",0,VALUE(LEFT(RBC_Personal_Accounts[[#This Row],[If Balance is]],FIND(" ",RBC_Personal_Accounts[[#This Row],[If Balance is]]))))</f>
        <v>60000</v>
      </c>
      <c r="H103">
        <v>67</v>
      </c>
    </row>
    <row r="104" spans="1:9" x14ac:dyDescent="0.25">
      <c r="A104" t="s">
        <v>298</v>
      </c>
      <c r="B104" s="42" t="s">
        <v>468</v>
      </c>
      <c r="C104" s="42" t="s">
        <v>458</v>
      </c>
      <c r="E104" s="42">
        <f>IF(LEFT(RBC_Personal_Accounts[[#This Row],[If Balance is]],1)&lt;&gt;"$",0,VALUE(LEFT(RBC_Personal_Accounts[[#This Row],[If Balance is]],FIND(" ",RBC_Personal_Accounts[[#This Row],[If Balance is]]))))</f>
        <v>0</v>
      </c>
      <c r="H104">
        <v>66</v>
      </c>
      <c r="I104" t="s">
        <v>299</v>
      </c>
    </row>
    <row r="105" spans="1:9" x14ac:dyDescent="0.25">
      <c r="B105" s="42" t="s">
        <v>469</v>
      </c>
      <c r="C105" s="42" t="s">
        <v>462</v>
      </c>
      <c r="E105" s="42">
        <f>IF(LEFT(RBC_Personal_Accounts[[#This Row],[If Balance is]],1)&lt;&gt;"$",0,VALUE(LEFT(RBC_Personal_Accounts[[#This Row],[If Balance is]],FIND(" ",RBC_Personal_Accounts[[#This Row],[If Balance is]]))))</f>
        <v>5000</v>
      </c>
      <c r="H105">
        <v>65</v>
      </c>
    </row>
    <row r="106" spans="1:9" x14ac:dyDescent="0.25">
      <c r="B106" s="42" t="s">
        <v>60</v>
      </c>
      <c r="C106" s="42" t="s">
        <v>465</v>
      </c>
      <c r="E106" s="42">
        <f>IF(LEFT(RBC_Personal_Accounts[[#This Row],[If Balance is]],1)&lt;&gt;"$",0,VALUE(LEFT(RBC_Personal_Accounts[[#This Row],[If Balance is]],FIND(" ",RBC_Personal_Accounts[[#This Row],[If Balance is]]))))</f>
        <v>10000</v>
      </c>
      <c r="H106">
        <v>64</v>
      </c>
    </row>
    <row r="107" spans="1:9" x14ac:dyDescent="0.25">
      <c r="B107" s="42" t="s">
        <v>59</v>
      </c>
      <c r="C107" s="42" t="s">
        <v>466</v>
      </c>
      <c r="E107" s="42">
        <f>IF(LEFT(RBC_Personal_Accounts[[#This Row],[If Balance is]],1)&lt;&gt;"$",0,VALUE(LEFT(RBC_Personal_Accounts[[#This Row],[If Balance is]],FIND(" ",RBC_Personal_Accounts[[#This Row],[If Balance is]]))))</f>
        <v>25000</v>
      </c>
      <c r="H107">
        <v>63</v>
      </c>
    </row>
    <row r="108" spans="1:9" x14ac:dyDescent="0.25">
      <c r="B108" s="42" t="s">
        <v>58</v>
      </c>
      <c r="C108" s="42" t="s">
        <v>470</v>
      </c>
      <c r="E108" s="42">
        <f>IF(LEFT(RBC_Personal_Accounts[[#This Row],[If Balance is]],1)&lt;&gt;"$",0,VALUE(LEFT(RBC_Personal_Accounts[[#This Row],[If Balance is]],FIND(" ",RBC_Personal_Accounts[[#This Row],[If Balance is]]))))</f>
        <v>60000</v>
      </c>
      <c r="H108">
        <v>62</v>
      </c>
    </row>
    <row r="109" spans="1:9" x14ac:dyDescent="0.25">
      <c r="B109" s="42" t="s">
        <v>471</v>
      </c>
      <c r="C109" s="42" t="s">
        <v>472</v>
      </c>
      <c r="E109" s="42">
        <f>IF(LEFT(RBC_Personal_Accounts[[#This Row],[If Balance is]],1)&lt;&gt;"$",0,VALUE(LEFT(RBC_Personal_Accounts[[#This Row],[If Balance is]],FIND(" ",RBC_Personal_Accounts[[#This Row],[If Balance is]]))))</f>
        <v>100000</v>
      </c>
      <c r="H109">
        <v>61</v>
      </c>
    </row>
    <row r="110" spans="1:9" x14ac:dyDescent="0.25">
      <c r="B110" s="42" t="s">
        <v>473</v>
      </c>
      <c r="C110" s="42" t="s">
        <v>474</v>
      </c>
      <c r="E110" s="42">
        <f>IF(LEFT(RBC_Personal_Accounts[[#This Row],[If Balance is]],1)&lt;&gt;"$",0,VALUE(LEFT(RBC_Personal_Accounts[[#This Row],[If Balance is]],FIND(" ",RBC_Personal_Accounts[[#This Row],[If Balance is]]))))</f>
        <v>150000</v>
      </c>
      <c r="H110">
        <v>60</v>
      </c>
    </row>
    <row r="111" spans="1:9" x14ac:dyDescent="0.25">
      <c r="B111" s="42" t="s">
        <v>475</v>
      </c>
      <c r="C111" s="42" t="s">
        <v>474</v>
      </c>
      <c r="E111" s="42">
        <f>IF(LEFT(RBC_Personal_Accounts[[#This Row],[If Balance is]],1)&lt;&gt;"$",0,VALUE(LEFT(RBC_Personal_Accounts[[#This Row],[If Balance is]],FIND(" ",RBC_Personal_Accounts[[#This Row],[If Balance is]]))))</f>
        <v>250000</v>
      </c>
      <c r="H111">
        <v>59</v>
      </c>
    </row>
    <row r="112" spans="1:9" x14ac:dyDescent="0.25">
      <c r="A112" t="s">
        <v>297</v>
      </c>
      <c r="B112" s="42" t="s">
        <v>457</v>
      </c>
      <c r="C112" s="42" t="s">
        <v>465</v>
      </c>
      <c r="E112" s="42">
        <f>IF(LEFT(RBC_Personal_Accounts[[#This Row],[If Balance is]],1)&lt;&gt;"$",0,VALUE(LEFT(RBC_Personal_Accounts[[#This Row],[If Balance is]],FIND(" ",RBC_Personal_Accounts[[#This Row],[If Balance is]]))))</f>
        <v>0</v>
      </c>
      <c r="H112">
        <v>58</v>
      </c>
      <c r="I112" t="s">
        <v>298</v>
      </c>
    </row>
    <row r="113" spans="1:9" x14ac:dyDescent="0.25">
      <c r="B113" s="42" t="s">
        <v>459</v>
      </c>
      <c r="C113" s="42" t="s">
        <v>466</v>
      </c>
      <c r="E113" s="42">
        <f>IF(LEFT(RBC_Personal_Accounts[[#This Row],[If Balance is]],1)&lt;&gt;"$",0,VALUE(LEFT(RBC_Personal_Accounts[[#This Row],[If Balance is]],FIND(" ",RBC_Personal_Accounts[[#This Row],[If Balance is]]))))</f>
        <v>1000</v>
      </c>
      <c r="H113">
        <v>57</v>
      </c>
    </row>
    <row r="114" spans="1:9" x14ac:dyDescent="0.25">
      <c r="B114" s="42" t="s">
        <v>460</v>
      </c>
      <c r="C114" s="42" t="s">
        <v>467</v>
      </c>
      <c r="E114" s="42">
        <f>IF(LEFT(RBC_Personal_Accounts[[#This Row],[If Balance is]],1)&lt;&gt;"$",0,VALUE(LEFT(RBC_Personal_Accounts[[#This Row],[If Balance is]],FIND(" ",RBC_Personal_Accounts[[#This Row],[If Balance is]]))))</f>
        <v>3000</v>
      </c>
      <c r="H114">
        <v>56</v>
      </c>
    </row>
    <row r="115" spans="1:9" x14ac:dyDescent="0.25">
      <c r="B115" s="42" t="s">
        <v>61</v>
      </c>
      <c r="C115" s="42" t="s">
        <v>467</v>
      </c>
      <c r="E115" s="42">
        <f>IF(LEFT(RBC_Personal_Accounts[[#This Row],[If Balance is]],1)&lt;&gt;"$",0,VALUE(LEFT(RBC_Personal_Accounts[[#This Row],[If Balance is]],FIND(" ",RBC_Personal_Accounts[[#This Row],[If Balance is]]))))</f>
        <v>5000</v>
      </c>
      <c r="H115">
        <v>55</v>
      </c>
    </row>
    <row r="116" spans="1:9" x14ac:dyDescent="0.25">
      <c r="A116" t="s">
        <v>296</v>
      </c>
      <c r="B116" s="42" t="s">
        <v>486</v>
      </c>
      <c r="C116" s="42" t="s">
        <v>458</v>
      </c>
      <c r="E116" s="42">
        <f>IF(LEFT(RBC_Personal_Accounts[[#This Row],[If Balance is]],1)&lt;&gt;"$",0,VALUE(LEFT(RBC_Personal_Accounts[[#This Row],[If Balance is]],FIND(" ",RBC_Personal_Accounts[[#This Row],[If Balance is]]))))</f>
        <v>0</v>
      </c>
      <c r="H116">
        <v>54</v>
      </c>
      <c r="I116" t="s">
        <v>297</v>
      </c>
    </row>
    <row r="117" spans="1:9" x14ac:dyDescent="0.25">
      <c r="B117" s="42" t="s">
        <v>487</v>
      </c>
      <c r="C117" s="42" t="s">
        <v>458</v>
      </c>
      <c r="E117" s="42">
        <f>IF(LEFT(RBC_Personal_Accounts[[#This Row],[If Balance is]],1)&lt;&gt;"$",0,VALUE(LEFT(RBC_Personal_Accounts[[#This Row],[If Balance is]],FIND(" ",RBC_Personal_Accounts[[#This Row],[If Balance is]]))))</f>
        <v>500</v>
      </c>
      <c r="H117">
        <v>53</v>
      </c>
    </row>
    <row r="118" spans="1:9" x14ac:dyDescent="0.25">
      <c r="B118" s="42" t="s">
        <v>459</v>
      </c>
      <c r="C118" s="42" t="s">
        <v>458</v>
      </c>
      <c r="E118" s="42">
        <f>IF(LEFT(RBC_Personal_Accounts[[#This Row],[If Balance is]],1)&lt;&gt;"$",0,VALUE(LEFT(RBC_Personal_Accounts[[#This Row],[If Balance is]],FIND(" ",RBC_Personal_Accounts[[#This Row],[If Balance is]]))))</f>
        <v>1000</v>
      </c>
      <c r="H118">
        <v>52</v>
      </c>
    </row>
    <row r="119" spans="1:9" x14ac:dyDescent="0.25">
      <c r="B119" s="42" t="s">
        <v>460</v>
      </c>
      <c r="C119" s="42" t="s">
        <v>462</v>
      </c>
      <c r="E119" s="42">
        <f>IF(LEFT(RBC_Personal_Accounts[[#This Row],[If Balance is]],1)&lt;&gt;"$",0,VALUE(LEFT(RBC_Personal_Accounts[[#This Row],[If Balance is]],FIND(" ",RBC_Personal_Accounts[[#This Row],[If Balance is]]))))</f>
        <v>3000</v>
      </c>
      <c r="H119">
        <v>51</v>
      </c>
    </row>
    <row r="120" spans="1:9" x14ac:dyDescent="0.25">
      <c r="B120" s="42" t="s">
        <v>61</v>
      </c>
      <c r="C120" s="42" t="s">
        <v>462</v>
      </c>
      <c r="E120" s="42">
        <f>IF(LEFT(RBC_Personal_Accounts[[#This Row],[If Balance is]],1)&lt;&gt;"$",0,VALUE(LEFT(RBC_Personal_Accounts[[#This Row],[If Balance is]],FIND(" ",RBC_Personal_Accounts[[#This Row],[If Balance is]]))))</f>
        <v>5000</v>
      </c>
      <c r="H120">
        <v>50</v>
      </c>
    </row>
    <row r="121" spans="1:9" x14ac:dyDescent="0.25">
      <c r="A121" t="s">
        <v>295</v>
      </c>
      <c r="B121" s="42" t="s">
        <v>476</v>
      </c>
      <c r="C121" s="42" t="s">
        <v>458</v>
      </c>
      <c r="E121" s="42">
        <f>IF(LEFT(RBC_Personal_Accounts[[#This Row],[If Balance is]],1)&lt;&gt;"$",0,VALUE(LEFT(RBC_Personal_Accounts[[#This Row],[If Balance is]],FIND(" ",RBC_Personal_Accounts[[#This Row],[If Balance is]]))))</f>
        <v>0</v>
      </c>
      <c r="H121">
        <v>49</v>
      </c>
      <c r="I121" t="s">
        <v>296</v>
      </c>
    </row>
    <row r="122" spans="1:9" x14ac:dyDescent="0.25">
      <c r="B122" s="42" t="s">
        <v>477</v>
      </c>
      <c r="C122" s="42" t="s">
        <v>458</v>
      </c>
      <c r="E122" s="42">
        <f>IF(LEFT(RBC_Personal_Accounts[[#This Row],[If Balance is]],1)&lt;&gt;"$",0,VALUE(LEFT(RBC_Personal_Accounts[[#This Row],[If Balance is]],FIND(" ",RBC_Personal_Accounts[[#This Row],[If Balance is]]))))</f>
        <v>1000</v>
      </c>
      <c r="H122">
        <v>48</v>
      </c>
    </row>
    <row r="123" spans="1:9" x14ac:dyDescent="0.25">
      <c r="B123" s="42" t="s">
        <v>478</v>
      </c>
      <c r="C123" s="42" t="s">
        <v>458</v>
      </c>
      <c r="E123" s="42">
        <f>IF(LEFT(RBC_Personal_Accounts[[#This Row],[If Balance is]],1)&lt;&gt;"$",0,VALUE(LEFT(RBC_Personal_Accounts[[#This Row],[If Balance is]],FIND(" ",RBC_Personal_Accounts[[#This Row],[If Balance is]]))))</f>
        <v>3000</v>
      </c>
      <c r="H123">
        <v>47</v>
      </c>
    </row>
    <row r="124" spans="1:9" x14ac:dyDescent="0.25">
      <c r="B124" s="42" t="s">
        <v>479</v>
      </c>
      <c r="C124" s="42" t="s">
        <v>462</v>
      </c>
      <c r="E124" s="42">
        <f>IF(LEFT(RBC_Personal_Accounts[[#This Row],[If Balance is]],1)&lt;&gt;"$",0,VALUE(LEFT(RBC_Personal_Accounts[[#This Row],[If Balance is]],FIND(" ",RBC_Personal_Accounts[[#This Row],[If Balance is]]))))</f>
        <v>5000</v>
      </c>
      <c r="H124">
        <v>46</v>
      </c>
    </row>
    <row r="125" spans="1:9" x14ac:dyDescent="0.25">
      <c r="B125" s="42" t="s">
        <v>480</v>
      </c>
      <c r="C125" s="42" t="s">
        <v>465</v>
      </c>
      <c r="E125" s="42">
        <f>IF(LEFT(RBC_Personal_Accounts[[#This Row],[If Balance is]],1)&lt;&gt;"$",0,VALUE(LEFT(RBC_Personal_Accounts[[#This Row],[If Balance is]],FIND(" ",RBC_Personal_Accounts[[#This Row],[If Balance is]]))))</f>
        <v>10000</v>
      </c>
      <c r="H125">
        <v>45</v>
      </c>
    </row>
    <row r="126" spans="1:9" x14ac:dyDescent="0.25">
      <c r="B126" s="42" t="s">
        <v>481</v>
      </c>
      <c r="C126" s="42" t="s">
        <v>466</v>
      </c>
      <c r="E126" s="42">
        <f>IF(LEFT(RBC_Personal_Accounts[[#This Row],[If Balance is]],1)&lt;&gt;"$",0,VALUE(LEFT(RBC_Personal_Accounts[[#This Row],[If Balance is]],FIND(" ",RBC_Personal_Accounts[[#This Row],[If Balance is]]))))</f>
        <v>25000</v>
      </c>
      <c r="H126">
        <v>44</v>
      </c>
    </row>
    <row r="127" spans="1:9" x14ac:dyDescent="0.25">
      <c r="B127" s="42" t="s">
        <v>482</v>
      </c>
      <c r="C127" s="42" t="s">
        <v>489</v>
      </c>
      <c r="E127" s="42">
        <f>IF(LEFT(RBC_Personal_Accounts[[#This Row],[If Balance is]],1)&lt;&gt;"$",0,VALUE(LEFT(RBC_Personal_Accounts[[#This Row],[If Balance is]],FIND(" ",RBC_Personal_Accounts[[#This Row],[If Balance is]]))))</f>
        <v>60000</v>
      </c>
      <c r="H127">
        <v>43</v>
      </c>
    </row>
    <row r="128" spans="1:9" x14ac:dyDescent="0.25">
      <c r="B128" s="42" t="s">
        <v>484</v>
      </c>
      <c r="C128" s="42" t="s">
        <v>489</v>
      </c>
      <c r="E128" s="42">
        <f>IF(LEFT(RBC_Personal_Accounts[[#This Row],[If Balance is]],1)&lt;&gt;"$",0,VALUE(LEFT(RBC_Personal_Accounts[[#This Row],[If Balance is]],FIND(" ",RBC_Personal_Accounts[[#This Row],[If Balance is]]))))</f>
        <v>100000</v>
      </c>
      <c r="H128">
        <v>42</v>
      </c>
    </row>
    <row r="129" spans="1:9" x14ac:dyDescent="0.25">
      <c r="B129" s="42" t="s">
        <v>485</v>
      </c>
      <c r="C129" s="42" t="s">
        <v>489</v>
      </c>
      <c r="E129" s="42">
        <f>IF(LEFT(RBC_Personal_Accounts[[#This Row],[If Balance is]],1)&lt;&gt;"$",0,VALUE(LEFT(RBC_Personal_Accounts[[#This Row],[If Balance is]],FIND(" ",RBC_Personal_Accounts[[#This Row],[If Balance is]]))))</f>
        <v>150000</v>
      </c>
      <c r="H129">
        <v>41</v>
      </c>
    </row>
    <row r="130" spans="1:9" x14ac:dyDescent="0.25">
      <c r="B130" s="42" t="s">
        <v>490</v>
      </c>
      <c r="C130" s="42" t="s">
        <v>489</v>
      </c>
      <c r="E130" s="42">
        <f>IF(LEFT(RBC_Personal_Accounts[[#This Row],[If Balance is]],1)&lt;&gt;"$",0,VALUE(LEFT(RBC_Personal_Accounts[[#This Row],[If Balance is]],FIND(" ",RBC_Personal_Accounts[[#This Row],[If Balance is]]))))</f>
        <v>250000</v>
      </c>
      <c r="H130">
        <v>40</v>
      </c>
    </row>
    <row r="131" spans="1:9" x14ac:dyDescent="0.25">
      <c r="B131" s="42" t="s">
        <v>491</v>
      </c>
      <c r="C131" s="42" t="s">
        <v>489</v>
      </c>
      <c r="E131" s="42">
        <f>IF(LEFT(RBC_Personal_Accounts[[#This Row],[If Balance is]],1)&lt;&gt;"$",0,VALUE(LEFT(RBC_Personal_Accounts[[#This Row],[If Balance is]],FIND(" ",RBC_Personal_Accounts[[#This Row],[If Balance is]]))))</f>
        <v>500000</v>
      </c>
      <c r="H131">
        <v>39</v>
      </c>
    </row>
    <row r="132" spans="1:9" x14ac:dyDescent="0.25">
      <c r="B132" s="42" t="s">
        <v>492</v>
      </c>
      <c r="C132" s="42" t="s">
        <v>489</v>
      </c>
      <c r="E132" s="42">
        <f>IF(LEFT(RBC_Personal_Accounts[[#This Row],[If Balance is]],1)&lt;&gt;"$",0,VALUE(LEFT(RBC_Personal_Accounts[[#This Row],[If Balance is]],FIND(" ",RBC_Personal_Accounts[[#This Row],[If Balance is]]))))</f>
        <v>1000000</v>
      </c>
      <c r="H132">
        <v>38</v>
      </c>
    </row>
    <row r="133" spans="1:9" x14ac:dyDescent="0.25">
      <c r="A133" t="s">
        <v>294</v>
      </c>
      <c r="B133" s="42" t="s">
        <v>493</v>
      </c>
      <c r="C133" s="42" t="s">
        <v>458</v>
      </c>
      <c r="E133" s="42">
        <f>IF(LEFT(RBC_Personal_Accounts[[#This Row],[If Balance is]],1)&lt;&gt;"$",0,VALUE(LEFT(RBC_Personal_Accounts[[#This Row],[If Balance is]],FIND(" ",RBC_Personal_Accounts[[#This Row],[If Balance is]]))))</f>
        <v>0</v>
      </c>
      <c r="H133">
        <v>37</v>
      </c>
      <c r="I133" t="s">
        <v>295</v>
      </c>
    </row>
    <row r="134" spans="1:9" x14ac:dyDescent="0.25">
      <c r="A134" t="s">
        <v>293</v>
      </c>
      <c r="B134" s="42" t="s">
        <v>493</v>
      </c>
      <c r="C134" s="42" t="s">
        <v>494</v>
      </c>
      <c r="E134" s="42">
        <f>IF(LEFT(RBC_Personal_Accounts[[#This Row],[If Balance is]],1)&lt;&gt;"$",0,VALUE(LEFT(RBC_Personal_Accounts[[#This Row],[If Balance is]],FIND(" ",RBC_Personal_Accounts[[#This Row],[If Balance is]]))))</f>
        <v>0</v>
      </c>
      <c r="H134">
        <v>36</v>
      </c>
      <c r="I134" t="s">
        <v>294</v>
      </c>
    </row>
    <row r="135" spans="1:9" x14ac:dyDescent="0.25">
      <c r="A135" t="s">
        <v>292</v>
      </c>
      <c r="B135" s="42" t="s">
        <v>493</v>
      </c>
      <c r="C135" s="42" t="s">
        <v>458</v>
      </c>
      <c r="E135" s="42">
        <f>IF(LEFT(RBC_Personal_Accounts[[#This Row],[If Balance is]],1)&lt;&gt;"$",0,VALUE(LEFT(RBC_Personal_Accounts[[#This Row],[If Balance is]],FIND(" ",RBC_Personal_Accounts[[#This Row],[If Balance is]]))))</f>
        <v>0</v>
      </c>
      <c r="H135">
        <v>35</v>
      </c>
      <c r="I135" t="s">
        <v>293</v>
      </c>
    </row>
    <row r="136" spans="1:9" x14ac:dyDescent="0.25">
      <c r="A136" t="s">
        <v>291</v>
      </c>
      <c r="B136" s="42" t="s">
        <v>468</v>
      </c>
      <c r="C136" s="42" t="s">
        <v>458</v>
      </c>
      <c r="E136" s="42">
        <f>IF(LEFT(RBC_Personal_Accounts[[#This Row],[If Balance is]],1)&lt;&gt;"$",0,VALUE(LEFT(RBC_Personal_Accounts[[#This Row],[If Balance is]],FIND(" ",RBC_Personal_Accounts[[#This Row],[If Balance is]]))))</f>
        <v>0</v>
      </c>
      <c r="H136">
        <v>34</v>
      </c>
      <c r="I136" t="s">
        <v>292</v>
      </c>
    </row>
    <row r="137" spans="1:9" x14ac:dyDescent="0.25">
      <c r="B137" s="42" t="s">
        <v>469</v>
      </c>
      <c r="C137" s="42" t="s">
        <v>462</v>
      </c>
      <c r="E137" s="42">
        <f>IF(LEFT(RBC_Personal_Accounts[[#This Row],[If Balance is]],1)&lt;&gt;"$",0,VALUE(LEFT(RBC_Personal_Accounts[[#This Row],[If Balance is]],FIND(" ",RBC_Personal_Accounts[[#This Row],[If Balance is]]))))</f>
        <v>5000</v>
      </c>
      <c r="H137">
        <v>33</v>
      </c>
    </row>
    <row r="138" spans="1:9" x14ac:dyDescent="0.25">
      <c r="B138" s="42" t="s">
        <v>60</v>
      </c>
      <c r="C138" s="42" t="s">
        <v>465</v>
      </c>
      <c r="E138" s="42">
        <f>IF(LEFT(RBC_Personal_Accounts[[#This Row],[If Balance is]],1)&lt;&gt;"$",0,VALUE(LEFT(RBC_Personal_Accounts[[#This Row],[If Balance is]],FIND(" ",RBC_Personal_Accounts[[#This Row],[If Balance is]]))))</f>
        <v>10000</v>
      </c>
      <c r="H138">
        <v>32</v>
      </c>
    </row>
    <row r="139" spans="1:9" x14ac:dyDescent="0.25">
      <c r="B139" s="42" t="s">
        <v>59</v>
      </c>
      <c r="C139" s="42" t="s">
        <v>466</v>
      </c>
      <c r="E139" s="42">
        <f>IF(LEFT(RBC_Personal_Accounts[[#This Row],[If Balance is]],1)&lt;&gt;"$",0,VALUE(LEFT(RBC_Personal_Accounts[[#This Row],[If Balance is]],FIND(" ",RBC_Personal_Accounts[[#This Row],[If Balance is]]))))</f>
        <v>25000</v>
      </c>
      <c r="H139">
        <v>31</v>
      </c>
    </row>
    <row r="140" spans="1:9" x14ac:dyDescent="0.25">
      <c r="B140" s="42" t="s">
        <v>58</v>
      </c>
      <c r="C140" s="42" t="s">
        <v>470</v>
      </c>
      <c r="E140" s="42">
        <f>IF(LEFT(RBC_Personal_Accounts[[#This Row],[If Balance is]],1)&lt;&gt;"$",0,VALUE(LEFT(RBC_Personal_Accounts[[#This Row],[If Balance is]],FIND(" ",RBC_Personal_Accounts[[#This Row],[If Balance is]]))))</f>
        <v>60000</v>
      </c>
      <c r="H140">
        <v>30</v>
      </c>
    </row>
    <row r="141" spans="1:9" x14ac:dyDescent="0.25">
      <c r="B141" s="42" t="s">
        <v>471</v>
      </c>
      <c r="C141" s="42" t="s">
        <v>472</v>
      </c>
      <c r="E141" s="42">
        <f>IF(LEFT(RBC_Personal_Accounts[[#This Row],[If Balance is]],1)&lt;&gt;"$",0,VALUE(LEFT(RBC_Personal_Accounts[[#This Row],[If Balance is]],FIND(" ",RBC_Personal_Accounts[[#This Row],[If Balance is]]))))</f>
        <v>100000</v>
      </c>
      <c r="H141">
        <v>29</v>
      </c>
    </row>
    <row r="142" spans="1:9" x14ac:dyDescent="0.25">
      <c r="B142" s="42" t="s">
        <v>473</v>
      </c>
      <c r="C142" s="42" t="s">
        <v>474</v>
      </c>
      <c r="E142" s="42">
        <f>IF(LEFT(RBC_Personal_Accounts[[#This Row],[If Balance is]],1)&lt;&gt;"$",0,VALUE(LEFT(RBC_Personal_Accounts[[#This Row],[If Balance is]],FIND(" ",RBC_Personal_Accounts[[#This Row],[If Balance is]]))))</f>
        <v>150000</v>
      </c>
      <c r="H142">
        <v>28</v>
      </c>
    </row>
    <row r="143" spans="1:9" x14ac:dyDescent="0.25">
      <c r="B143" s="42" t="s">
        <v>475</v>
      </c>
      <c r="C143" s="42" t="s">
        <v>474</v>
      </c>
      <c r="E143" s="42">
        <f>IF(LEFT(RBC_Personal_Accounts[[#This Row],[If Balance is]],1)&lt;&gt;"$",0,VALUE(LEFT(RBC_Personal_Accounts[[#This Row],[If Balance is]],FIND(" ",RBC_Personal_Accounts[[#This Row],[If Balance is]]))))</f>
        <v>250000</v>
      </c>
      <c r="H143">
        <v>27</v>
      </c>
    </row>
    <row r="144" spans="1:9" x14ac:dyDescent="0.25">
      <c r="A144" t="s">
        <v>290</v>
      </c>
      <c r="B144" s="42" t="s">
        <v>457</v>
      </c>
      <c r="C144" s="42" t="s">
        <v>465</v>
      </c>
      <c r="E144" s="42">
        <f>IF(LEFT(RBC_Personal_Accounts[[#This Row],[If Balance is]],1)&lt;&gt;"$",0,VALUE(LEFT(RBC_Personal_Accounts[[#This Row],[If Balance is]],FIND(" ",RBC_Personal_Accounts[[#This Row],[If Balance is]]))))</f>
        <v>0</v>
      </c>
      <c r="H144">
        <v>26</v>
      </c>
      <c r="I144" t="s">
        <v>291</v>
      </c>
    </row>
    <row r="145" spans="1:9" x14ac:dyDescent="0.25">
      <c r="B145" s="42" t="s">
        <v>459</v>
      </c>
      <c r="C145" s="42" t="s">
        <v>466</v>
      </c>
      <c r="E145" s="42">
        <f>IF(LEFT(RBC_Personal_Accounts[[#This Row],[If Balance is]],1)&lt;&gt;"$",0,VALUE(LEFT(RBC_Personal_Accounts[[#This Row],[If Balance is]],FIND(" ",RBC_Personal_Accounts[[#This Row],[If Balance is]]))))</f>
        <v>1000</v>
      </c>
      <c r="H145">
        <v>25</v>
      </c>
    </row>
    <row r="146" spans="1:9" x14ac:dyDescent="0.25">
      <c r="B146" s="42" t="s">
        <v>460</v>
      </c>
      <c r="C146" s="42" t="s">
        <v>467</v>
      </c>
      <c r="E146" s="42">
        <f>IF(LEFT(RBC_Personal_Accounts[[#This Row],[If Balance is]],1)&lt;&gt;"$",0,VALUE(LEFT(RBC_Personal_Accounts[[#This Row],[If Balance is]],FIND(" ",RBC_Personal_Accounts[[#This Row],[If Balance is]]))))</f>
        <v>3000</v>
      </c>
      <c r="H146">
        <v>24</v>
      </c>
    </row>
    <row r="147" spans="1:9" x14ac:dyDescent="0.25">
      <c r="B147" s="42" t="s">
        <v>61</v>
      </c>
      <c r="C147" s="42" t="s">
        <v>467</v>
      </c>
      <c r="E147" s="42">
        <f>IF(LEFT(RBC_Personal_Accounts[[#This Row],[If Balance is]],1)&lt;&gt;"$",0,VALUE(LEFT(RBC_Personal_Accounts[[#This Row],[If Balance is]],FIND(" ",RBC_Personal_Accounts[[#This Row],[If Balance is]]))))</f>
        <v>5000</v>
      </c>
      <c r="H147">
        <v>23</v>
      </c>
    </row>
    <row r="148" spans="1:9" x14ac:dyDescent="0.25">
      <c r="A148" t="s">
        <v>289</v>
      </c>
      <c r="B148" s="42" t="s">
        <v>493</v>
      </c>
      <c r="C148" s="42" t="s">
        <v>458</v>
      </c>
      <c r="E148" s="42">
        <f>IF(LEFT(RBC_Personal_Accounts[[#This Row],[If Balance is]],1)&lt;&gt;"$",0,VALUE(LEFT(RBC_Personal_Accounts[[#This Row],[If Balance is]],FIND(" ",RBC_Personal_Accounts[[#This Row],[If Balance is]]))))</f>
        <v>0</v>
      </c>
      <c r="H148">
        <v>22</v>
      </c>
      <c r="I148" t="s">
        <v>290</v>
      </c>
    </row>
    <row r="149" spans="1:9" x14ac:dyDescent="0.25">
      <c r="A149" t="s">
        <v>288</v>
      </c>
      <c r="B149" s="42" t="s">
        <v>493</v>
      </c>
      <c r="C149" s="42" t="s">
        <v>458</v>
      </c>
      <c r="E149" s="42">
        <f>IF(LEFT(RBC_Personal_Accounts[[#This Row],[If Balance is]],1)&lt;&gt;"$",0,VALUE(LEFT(RBC_Personal_Accounts[[#This Row],[If Balance is]],FIND(" ",RBC_Personal_Accounts[[#This Row],[If Balance is]]))))</f>
        <v>0</v>
      </c>
      <c r="H149">
        <v>21</v>
      </c>
      <c r="I149" t="s">
        <v>289</v>
      </c>
    </row>
    <row r="150" spans="1:9" x14ac:dyDescent="0.25">
      <c r="A150" t="s">
        <v>287</v>
      </c>
      <c r="B150" s="42" t="s">
        <v>493</v>
      </c>
      <c r="C150" s="42" t="s">
        <v>458</v>
      </c>
      <c r="E150" s="42">
        <f>IF(LEFT(RBC_Personal_Accounts[[#This Row],[If Balance is]],1)&lt;&gt;"$",0,VALUE(LEFT(RBC_Personal_Accounts[[#This Row],[If Balance is]],FIND(" ",RBC_Personal_Accounts[[#This Row],[If Balance is]]))))</f>
        <v>0</v>
      </c>
      <c r="H150">
        <v>20</v>
      </c>
      <c r="I150" t="s">
        <v>288</v>
      </c>
    </row>
    <row r="151" spans="1:9" x14ac:dyDescent="0.25">
      <c r="A151" t="s">
        <v>286</v>
      </c>
      <c r="B151" s="42" t="s">
        <v>457</v>
      </c>
      <c r="C151" s="42" t="s">
        <v>466</v>
      </c>
      <c r="E151" s="42">
        <f>IF(LEFT(RBC_Personal_Accounts[[#This Row],[If Balance is]],1)&lt;&gt;"$",0,VALUE(LEFT(RBC_Personal_Accounts[[#This Row],[If Balance is]],FIND(" ",RBC_Personal_Accounts[[#This Row],[If Balance is]]))))</f>
        <v>0</v>
      </c>
      <c r="H151">
        <v>19</v>
      </c>
      <c r="I151" t="s">
        <v>287</v>
      </c>
    </row>
    <row r="152" spans="1:9" x14ac:dyDescent="0.25">
      <c r="B152" s="42" t="s">
        <v>459</v>
      </c>
      <c r="C152" s="42" t="s">
        <v>466</v>
      </c>
      <c r="E152" s="42">
        <f>IF(LEFT(RBC_Personal_Accounts[[#This Row],[If Balance is]],1)&lt;&gt;"$",0,VALUE(LEFT(RBC_Personal_Accounts[[#This Row],[If Balance is]],FIND(" ",RBC_Personal_Accounts[[#This Row],[If Balance is]]))))</f>
        <v>1000</v>
      </c>
      <c r="H152">
        <v>18</v>
      </c>
    </row>
    <row r="153" spans="1:9" x14ac:dyDescent="0.25">
      <c r="B153" s="42" t="s">
        <v>460</v>
      </c>
      <c r="C153" s="42" t="s">
        <v>467</v>
      </c>
      <c r="E153" s="42">
        <f>IF(LEFT(RBC_Personal_Accounts[[#This Row],[If Balance is]],1)&lt;&gt;"$",0,VALUE(LEFT(RBC_Personal_Accounts[[#This Row],[If Balance is]],FIND(" ",RBC_Personal_Accounts[[#This Row],[If Balance is]]))))</f>
        <v>3000</v>
      </c>
      <c r="H153">
        <v>17</v>
      </c>
    </row>
    <row r="154" spans="1:9" x14ac:dyDescent="0.25">
      <c r="B154" s="42" t="s">
        <v>61</v>
      </c>
      <c r="C154" s="42" t="s">
        <v>467</v>
      </c>
      <c r="E154" s="42">
        <f>IF(LEFT(RBC_Personal_Accounts[[#This Row],[If Balance is]],1)&lt;&gt;"$",0,VALUE(LEFT(RBC_Personal_Accounts[[#This Row],[If Balance is]],FIND(" ",RBC_Personal_Accounts[[#This Row],[If Balance is]]))))</f>
        <v>5000</v>
      </c>
      <c r="H154">
        <v>16</v>
      </c>
    </row>
    <row r="155" spans="1:9" x14ac:dyDescent="0.25">
      <c r="A155" t="s">
        <v>285</v>
      </c>
      <c r="B155" s="42" t="s">
        <v>493</v>
      </c>
      <c r="C155" s="42" t="s">
        <v>495</v>
      </c>
      <c r="E155" s="42">
        <f>IF(LEFT(RBC_Personal_Accounts[[#This Row],[If Balance is]],1)&lt;&gt;"$",0,VALUE(LEFT(RBC_Personal_Accounts[[#This Row],[If Balance is]],FIND(" ",RBC_Personal_Accounts[[#This Row],[If Balance is]]))))</f>
        <v>0</v>
      </c>
      <c r="H155">
        <v>15</v>
      </c>
      <c r="I155" t="s">
        <v>286</v>
      </c>
    </row>
    <row r="156" spans="1:9" x14ac:dyDescent="0.25">
      <c r="A156" t="s">
        <v>284</v>
      </c>
      <c r="B156" s="42" t="s">
        <v>457</v>
      </c>
      <c r="C156" s="42" t="s">
        <v>465</v>
      </c>
      <c r="E156" s="42">
        <f>IF(LEFT(RBC_Personal_Accounts[[#This Row],[If Balance is]],1)&lt;&gt;"$",0,VALUE(LEFT(RBC_Personal_Accounts[[#This Row],[If Balance is]],FIND(" ",RBC_Personal_Accounts[[#This Row],[If Balance is]]))))</f>
        <v>0</v>
      </c>
      <c r="H156">
        <v>14</v>
      </c>
      <c r="I156" t="s">
        <v>285</v>
      </c>
    </row>
    <row r="157" spans="1:9" x14ac:dyDescent="0.25">
      <c r="B157" s="42" t="s">
        <v>459</v>
      </c>
      <c r="C157" s="42" t="s">
        <v>466</v>
      </c>
      <c r="E157" s="42">
        <f>IF(LEFT(RBC_Personal_Accounts[[#This Row],[If Balance is]],1)&lt;&gt;"$",0,VALUE(LEFT(RBC_Personal_Accounts[[#This Row],[If Balance is]],FIND(" ",RBC_Personal_Accounts[[#This Row],[If Balance is]]))))</f>
        <v>1000</v>
      </c>
      <c r="H157">
        <v>13</v>
      </c>
    </row>
    <row r="158" spans="1:9" x14ac:dyDescent="0.25">
      <c r="B158" s="42" t="s">
        <v>460</v>
      </c>
      <c r="C158" s="42" t="s">
        <v>467</v>
      </c>
      <c r="E158" s="42">
        <f>IF(LEFT(RBC_Personal_Accounts[[#This Row],[If Balance is]],1)&lt;&gt;"$",0,VALUE(LEFT(RBC_Personal_Accounts[[#This Row],[If Balance is]],FIND(" ",RBC_Personal_Accounts[[#This Row],[If Balance is]]))))</f>
        <v>3000</v>
      </c>
      <c r="H158">
        <v>12</v>
      </c>
    </row>
    <row r="159" spans="1:9" x14ac:dyDescent="0.25">
      <c r="B159" s="42" t="s">
        <v>61</v>
      </c>
      <c r="C159" s="42" t="s">
        <v>467</v>
      </c>
      <c r="E159" s="42">
        <f>IF(LEFT(RBC_Personal_Accounts[[#This Row],[If Balance is]],1)&lt;&gt;"$",0,VALUE(LEFT(RBC_Personal_Accounts[[#This Row],[If Balance is]],FIND(" ",RBC_Personal_Accounts[[#This Row],[If Balance is]]))))</f>
        <v>5000</v>
      </c>
      <c r="H159">
        <v>11</v>
      </c>
    </row>
    <row r="160" spans="1:9" x14ac:dyDescent="0.25">
      <c r="A160" t="s">
        <v>283</v>
      </c>
      <c r="B160" s="42" t="s">
        <v>468</v>
      </c>
      <c r="C160" s="42" t="s">
        <v>458</v>
      </c>
      <c r="E160" s="42">
        <f>IF(LEFT(RBC_Personal_Accounts[[#This Row],[If Balance is]],1)&lt;&gt;"$",0,VALUE(LEFT(RBC_Personal_Accounts[[#This Row],[If Balance is]],FIND(" ",RBC_Personal_Accounts[[#This Row],[If Balance is]]))))</f>
        <v>0</v>
      </c>
      <c r="H160">
        <v>10</v>
      </c>
      <c r="I160" t="s">
        <v>284</v>
      </c>
    </row>
    <row r="161" spans="1:9" x14ac:dyDescent="0.25">
      <c r="B161" s="42" t="s">
        <v>469</v>
      </c>
      <c r="C161" s="42" t="s">
        <v>462</v>
      </c>
      <c r="E161" s="42">
        <f>IF(LEFT(RBC_Personal_Accounts[[#This Row],[If Balance is]],1)&lt;&gt;"$",0,VALUE(LEFT(RBC_Personal_Accounts[[#This Row],[If Balance is]],FIND(" ",RBC_Personal_Accounts[[#This Row],[If Balance is]]))))</f>
        <v>5000</v>
      </c>
      <c r="H161">
        <v>9</v>
      </c>
    </row>
    <row r="162" spans="1:9" x14ac:dyDescent="0.25">
      <c r="B162" s="42" t="s">
        <v>60</v>
      </c>
      <c r="C162" s="42" t="s">
        <v>465</v>
      </c>
      <c r="E162" s="42">
        <f>IF(LEFT(RBC_Personal_Accounts[[#This Row],[If Balance is]],1)&lt;&gt;"$",0,VALUE(LEFT(RBC_Personal_Accounts[[#This Row],[If Balance is]],FIND(" ",RBC_Personal_Accounts[[#This Row],[If Balance is]]))))</f>
        <v>10000</v>
      </c>
      <c r="H162">
        <v>8</v>
      </c>
    </row>
    <row r="163" spans="1:9" x14ac:dyDescent="0.25">
      <c r="B163" s="42" t="s">
        <v>59</v>
      </c>
      <c r="C163" s="42" t="s">
        <v>466</v>
      </c>
      <c r="E163" s="42">
        <f>IF(LEFT(RBC_Personal_Accounts[[#This Row],[If Balance is]],1)&lt;&gt;"$",0,VALUE(LEFT(RBC_Personal_Accounts[[#This Row],[If Balance is]],FIND(" ",RBC_Personal_Accounts[[#This Row],[If Balance is]]))))</f>
        <v>25000</v>
      </c>
      <c r="H163">
        <v>7</v>
      </c>
    </row>
    <row r="164" spans="1:9" x14ac:dyDescent="0.25">
      <c r="B164" s="42" t="s">
        <v>58</v>
      </c>
      <c r="C164" s="42" t="s">
        <v>470</v>
      </c>
      <c r="E164" s="42">
        <f>IF(LEFT(RBC_Personal_Accounts[[#This Row],[If Balance is]],1)&lt;&gt;"$",0,VALUE(LEFT(RBC_Personal_Accounts[[#This Row],[If Balance is]],FIND(" ",RBC_Personal_Accounts[[#This Row],[If Balance is]]))))</f>
        <v>60000</v>
      </c>
      <c r="H164">
        <v>6</v>
      </c>
    </row>
    <row r="165" spans="1:9" x14ac:dyDescent="0.25">
      <c r="B165" s="42" t="s">
        <v>471</v>
      </c>
      <c r="C165" s="42" t="s">
        <v>472</v>
      </c>
      <c r="E165" s="42">
        <f>IF(LEFT(RBC_Personal_Accounts[[#This Row],[If Balance is]],1)&lt;&gt;"$",0,VALUE(LEFT(RBC_Personal_Accounts[[#This Row],[If Balance is]],FIND(" ",RBC_Personal_Accounts[[#This Row],[If Balance is]]))))</f>
        <v>100000</v>
      </c>
      <c r="H165">
        <v>5</v>
      </c>
    </row>
    <row r="166" spans="1:9" x14ac:dyDescent="0.25">
      <c r="B166" s="42" t="s">
        <v>473</v>
      </c>
      <c r="C166" s="42" t="s">
        <v>474</v>
      </c>
      <c r="E166" s="42">
        <f>IF(LEFT(RBC_Personal_Accounts[[#This Row],[If Balance is]],1)&lt;&gt;"$",0,VALUE(LEFT(RBC_Personal_Accounts[[#This Row],[If Balance is]],FIND(" ",RBC_Personal_Accounts[[#This Row],[If Balance is]]))))</f>
        <v>150000</v>
      </c>
      <c r="H166">
        <v>4</v>
      </c>
    </row>
    <row r="167" spans="1:9" x14ac:dyDescent="0.25">
      <c r="B167" s="42" t="s">
        <v>475</v>
      </c>
      <c r="C167" s="42" t="s">
        <v>474</v>
      </c>
      <c r="E167" s="42">
        <f>IF(LEFT(RBC_Personal_Accounts[[#This Row],[If Balance is]],1)&lt;&gt;"$",0,VALUE(LEFT(RBC_Personal_Accounts[[#This Row],[If Balance is]],FIND(" ",RBC_Personal_Accounts[[#This Row],[If Balance is]]))))</f>
        <v>250000</v>
      </c>
      <c r="H167">
        <v>3</v>
      </c>
    </row>
    <row r="168" spans="1:9" x14ac:dyDescent="0.25">
      <c r="A168" t="s">
        <v>51</v>
      </c>
      <c r="B168" s="42" t="s">
        <v>493</v>
      </c>
      <c r="C168" s="42" t="s">
        <v>496</v>
      </c>
      <c r="E168" s="42">
        <f>IF(LEFT(RBC_Personal_Accounts[[#This Row],[If Balance is]],1)&lt;&gt;"$",0,VALUE(LEFT(RBC_Personal_Accounts[[#This Row],[If Balance is]],FIND(" ",RBC_Personal_Accounts[[#This Row],[If Balance is]]))))</f>
        <v>0</v>
      </c>
      <c r="H168">
        <v>2</v>
      </c>
      <c r="I168" t="s">
        <v>283</v>
      </c>
    </row>
    <row r="169" spans="1:9" x14ac:dyDescent="0.25">
      <c r="E169" s="42"/>
      <c r="H169">
        <v>1</v>
      </c>
      <c r="I169" t="s">
        <v>51</v>
      </c>
    </row>
  </sheetData>
  <pageMargins left="0.7" right="0.7" top="0.75" bottom="0.75" header="0.3" footer="0.3"/>
  <tableParts count="2">
    <tablePart r:id="rId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423</v>
      </c>
      <c r="B1" t="s">
        <v>334</v>
      </c>
      <c r="C1" t="s">
        <v>56</v>
      </c>
    </row>
    <row r="2" spans="1:4" x14ac:dyDescent="0.25">
      <c r="B2" s="18" t="s">
        <v>23</v>
      </c>
      <c r="C2" s="18">
        <v>1.2E-2</v>
      </c>
    </row>
    <row r="3" spans="1:4" x14ac:dyDescent="0.25">
      <c r="B3" s="18" t="s">
        <v>393</v>
      </c>
      <c r="C3" s="18">
        <v>0</v>
      </c>
    </row>
    <row r="4" spans="1:4" x14ac:dyDescent="0.25">
      <c r="B4" s="18" t="s">
        <v>394</v>
      </c>
      <c r="C4" s="18">
        <v>0.15</v>
      </c>
    </row>
    <row r="6" spans="1:4" x14ac:dyDescent="0.25">
      <c r="A6" t="s">
        <v>424</v>
      </c>
      <c r="B6" s="42" t="s">
        <v>334</v>
      </c>
      <c r="C6" s="42" t="s">
        <v>56</v>
      </c>
      <c r="D6" s="42"/>
    </row>
    <row r="7" spans="1:4" x14ac:dyDescent="0.25">
      <c r="B7" s="18" t="s">
        <v>24</v>
      </c>
      <c r="C7" s="42">
        <v>1.2E-2</v>
      </c>
    </row>
    <row r="8" spans="1:4" x14ac:dyDescent="0.25">
      <c r="B8" s="18" t="s">
        <v>417</v>
      </c>
      <c r="C8" s="42">
        <v>1.2E-2</v>
      </c>
    </row>
    <row r="9" spans="1:4" x14ac:dyDescent="0.25">
      <c r="B9" s="18" t="s">
        <v>418</v>
      </c>
      <c r="C9" s="42">
        <v>1.2E-2</v>
      </c>
    </row>
    <row r="10" spans="1:4" s="42" customFormat="1" x14ac:dyDescent="0.25">
      <c r="B10" s="74" t="s">
        <v>419</v>
      </c>
      <c r="C10" s="42">
        <v>1.2E-2</v>
      </c>
    </row>
    <row r="11" spans="1:4" s="42" customFormat="1" x14ac:dyDescent="0.25">
      <c r="B11" s="74" t="s">
        <v>420</v>
      </c>
      <c r="C11" s="42">
        <v>1.2E-2</v>
      </c>
    </row>
    <row r="12" spans="1:4" s="42" customFormat="1" x14ac:dyDescent="0.25">
      <c r="B12" s="74" t="s">
        <v>355</v>
      </c>
      <c r="C12" s="42">
        <v>5.0000000000000001E-3</v>
      </c>
    </row>
    <row r="13" spans="1:4" s="42" customFormat="1" x14ac:dyDescent="0.25">
      <c r="B13" s="74" t="s">
        <v>421</v>
      </c>
      <c r="C13" s="42">
        <v>5.0000000000000001E-3</v>
      </c>
    </row>
    <row r="14" spans="1:4" s="42" customFormat="1" x14ac:dyDescent="0.25"/>
    <row r="15" spans="1:4" s="42" customFormat="1" x14ac:dyDescent="0.25">
      <c r="B15"/>
      <c r="C15" s="39"/>
    </row>
    <row r="16" spans="1:4" s="42" customFormat="1" x14ac:dyDescent="0.25">
      <c r="B16" t="s">
        <v>402</v>
      </c>
      <c r="C16" t="s">
        <v>422</v>
      </c>
    </row>
    <row r="17" spans="1:4" s="42" customFormat="1" x14ac:dyDescent="0.25">
      <c r="A17" s="58" t="s">
        <v>376</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Menu</vt:lpstr>
      <vt:lpstr>Retail_Report</vt:lpstr>
      <vt:lpstr>US$_Report</vt:lpstr>
      <vt:lpstr>Broker_Report</vt:lpstr>
      <vt:lpstr>Dev Change Log</vt:lpstr>
      <vt:lpstr>CIBC_rates</vt:lpstr>
      <vt:lpstr>BMO_rates</vt:lpstr>
      <vt:lpstr>Sheet13</vt:lpstr>
      <vt:lpstr>Sheet12</vt:lpstr>
      <vt:lpstr>Sheet11</vt:lpstr>
      <vt:lpstr>Sheet10</vt:lpstr>
      <vt:lpstr>Sheet9</vt:lpstr>
      <vt:lpstr>Sheet8</vt:lpstr>
      <vt:lpstr>Sheet7</vt:lpstr>
      <vt:lpstr>Sheet6</vt:lpstr>
      <vt:lpstr>Sheet5</vt:lpstr>
      <vt:lpstr>Sheet4</vt:lpstr>
      <vt:lpstr>Sheet3</vt:lpstr>
      <vt:lpstr>Sheet1</vt:lpstr>
      <vt:lpstr>Sheet2</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Gjinaj, Ada</cp:lastModifiedBy>
  <cp:revision/>
  <cp:lastPrinted>2019-07-02T14:04:23Z</cp:lastPrinted>
  <dcterms:created xsi:type="dcterms:W3CDTF">2015-06-05T18:17:20Z</dcterms:created>
  <dcterms:modified xsi:type="dcterms:W3CDTF">2019-11-01T15:19:04Z</dcterms:modified>
  <cp:category/>
  <cp:contentStatus/>
</cp:coreProperties>
</file>