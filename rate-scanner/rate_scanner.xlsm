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emyev\OneDrive - CIBC\Competitive Tracker\Rate Scanner Versions\"/>
    </mc:Choice>
  </mc:AlternateContent>
  <xr:revisionPtr revIDLastSave="4274" documentId="13_ncr:1_{77FC6B3F-880F-46DB-B852-17B66BE4E739}" xr6:coauthVersionLast="45" xr6:coauthVersionMax="45" xr10:uidLastSave="{A24077C6-EEA9-4F57-B5B3-232340C1028E}"/>
  <bookViews>
    <workbookView xWindow="-110" yWindow="-110" windowWidth="18490" windowHeight="11020" tabRatio="920" xr2:uid="{00000000-000D-0000-FFFF-FFFF00000000}"/>
  </bookViews>
  <sheets>
    <sheet name="Menu" sheetId="29" r:id="rId1"/>
    <sheet name="Retail_Report" sheetId="24" r:id="rId2"/>
    <sheet name="US$_Report" sheetId="25" r:id="rId3"/>
    <sheet name="Broker_Report" sheetId="26" r:id="rId4"/>
    <sheet name="CIBC" sheetId="30" r:id="rId5"/>
    <sheet name="BMO" sheetId="27" r:id="rId6"/>
    <sheet name="BNS" sheetId="60" r:id="rId7"/>
    <sheet name="Simplii" sheetId="20" r:id="rId8"/>
    <sheet name="NBC" sheetId="22" r:id="rId9"/>
    <sheet name="HSBC" sheetId="32" r:id="rId10"/>
    <sheet name="B2B" sheetId="28" r:id="rId11"/>
    <sheet name="Meridian" sheetId="33" r:id="rId12"/>
    <sheet name="Altamira" sheetId="37" r:id="rId13"/>
    <sheet name="HomeTrust" sheetId="59" r:id="rId14"/>
    <sheet name="EQ" sheetId="39" r:id="rId15"/>
    <sheet name="CT" sheetId="5" r:id="rId16"/>
    <sheet name="TD" sheetId="12" r:id="rId17"/>
    <sheet name="RBC" sheetId="41" r:id="rId18"/>
    <sheet name="Manulife" sheetId="23" r:id="rId19"/>
    <sheet name="ICICI" sheetId="21" r:id="rId20"/>
    <sheet name="Wealthsimple" sheetId="62" r:id="rId21"/>
    <sheet name="LBC Digital" sheetId="64" r:id="rId22"/>
    <sheet name="MotusBank" sheetId="66" r:id="rId23"/>
    <sheet name="Motive Financial" sheetId="68" r:id="rId24"/>
  </sheets>
  <functionGroups builtInGroupCount="19"/>
  <definedNames>
    <definedName name="ExternalData_1" localSheetId="12" hidden="1">Altamira!$A$1:$F$12</definedName>
    <definedName name="ExternalData_1" localSheetId="10" hidden="1">B2B!$B$1:$E$9</definedName>
    <definedName name="ExternalData_1" localSheetId="6" hidden="1">BNS!$B$1:$E$36</definedName>
    <definedName name="ExternalData_1" localSheetId="15" hidden="1">CT!$A$1:$B$2</definedName>
    <definedName name="ExternalData_1" localSheetId="13" hidden="1">HomeTrust!$A$1:$B$27</definedName>
    <definedName name="ExternalData_1" localSheetId="9" hidden="1">HSBC!$B$1:$C$5</definedName>
    <definedName name="ExternalData_1" localSheetId="19" hidden="1">ICICI!$B$2:$D$9</definedName>
    <definedName name="ExternalData_1" localSheetId="21" hidden="1">'LBC Digital'!$A$1:$B$3</definedName>
    <definedName name="ExternalData_1" localSheetId="11" hidden="1">Meridian!$A$1:$C$5</definedName>
    <definedName name="ExternalData_1" localSheetId="23" hidden="1">'Motive Financial'!$B$1:$C$3</definedName>
    <definedName name="ExternalData_1" localSheetId="22" hidden="1">MotusBank!$B$1:$B$2</definedName>
    <definedName name="ExternalData_1" localSheetId="8" hidden="1">NBC!$B$1:$C$28</definedName>
    <definedName name="ExternalData_1" localSheetId="7" hidden="1">Simplii!$B$10:$C$11</definedName>
    <definedName name="ExternalData_1" localSheetId="16" hidden="1">TD!$B$2:$C$26</definedName>
    <definedName name="ExternalData_1" localSheetId="20" hidden="1">Wealthsimple!$C$1:$C$2</definedName>
    <definedName name="ExternalData_12" localSheetId="17" hidden="1">RBC!$B$1:$D$7</definedName>
    <definedName name="ExternalData_12" localSheetId="16" hidden="1">TD!$G$39:$K$44</definedName>
    <definedName name="ExternalData_13" localSheetId="17" hidden="1">RBC!$B$12:$C$168</definedName>
    <definedName name="ExternalData_14" localSheetId="16" hidden="1">TD!$B$29:$C$37</definedName>
    <definedName name="ExternalData_16" localSheetId="4" hidden="1">CIBC!$B$24:$B$25</definedName>
    <definedName name="ExternalData_17" localSheetId="4" hidden="1">CIBC!$C$20:$D$22</definedName>
    <definedName name="ExternalData_2" localSheetId="4" hidden="1">CIBC!$C$1:$D$13</definedName>
    <definedName name="ExternalData_2" localSheetId="9" hidden="1">HSBC!$B$9:$G$13</definedName>
    <definedName name="ExternalData_2" localSheetId="23" hidden="1">'Motive Financial'!$C$6:$C$7</definedName>
    <definedName name="ExternalData_6" localSheetId="18" hidden="1">Manulife!$B$15:$C$16</definedName>
    <definedName name="ExternalData_7" localSheetId="6" hidden="1">BNS!$B$39:$D$41</definedName>
    <definedName name="ExternalData_7" localSheetId="18" hidden="1">Manulife!$B$1:$C$11</definedName>
    <definedName name="Query___BMO___SBA_SSA_PRSA" localSheetId="5" hidden="1">BMO!$B$1:$C$14</definedName>
    <definedName name="Query___Column1" localSheetId="14" hidden="1">EQ!#REF!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" i="24" l="1"/>
  <c r="K14" i="24"/>
  <c r="K15" i="24"/>
  <c r="K16" i="24"/>
  <c r="K17" i="24"/>
  <c r="K18" i="24"/>
  <c r="K19" i="24"/>
  <c r="K20" i="24"/>
  <c r="K21" i="24"/>
  <c r="K22" i="24"/>
  <c r="K11" i="24"/>
  <c r="K12" i="24"/>
  <c r="AD12" i="24" l="1" a="1"/>
  <c r="AD12" i="24" s="1"/>
  <c r="AD13" i="24" a="1"/>
  <c r="AD13" i="24"/>
  <c r="AD14" i="24" a="1"/>
  <c r="AD14" i="24" s="1"/>
  <c r="AD15" i="24" a="1"/>
  <c r="AD15" i="24"/>
  <c r="AD16" i="24" a="1"/>
  <c r="AD16" i="24" s="1"/>
  <c r="AD17" i="24" a="1"/>
  <c r="AD17" i="24"/>
  <c r="AD18" i="24" a="1"/>
  <c r="AD18" i="24" s="1"/>
  <c r="AD19" i="24" a="1"/>
  <c r="AD19" i="24"/>
  <c r="AD20" i="24" a="1"/>
  <c r="AD20" i="24" s="1"/>
  <c r="AD21" i="24" a="1"/>
  <c r="AD21" i="24"/>
  <c r="AD22" i="24" a="1"/>
  <c r="AD22" i="24" s="1"/>
  <c r="AD11" i="24" a="1"/>
  <c r="AD11" i="24" s="1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B12" i="24" l="1" a="1"/>
  <c r="AB12" i="24" s="1"/>
  <c r="AB13" i="24" a="1"/>
  <c r="AB13" i="24"/>
  <c r="AB14" i="24" a="1"/>
  <c r="AB14" i="24" s="1"/>
  <c r="AB15" i="24" a="1"/>
  <c r="AB15" i="24"/>
  <c r="AB16" i="24" a="1"/>
  <c r="AB16" i="24" s="1"/>
  <c r="AB17" i="24" a="1"/>
  <c r="AB17" i="24"/>
  <c r="AB18" i="24" a="1"/>
  <c r="AB18" i="24" s="1"/>
  <c r="AB19" i="24" a="1"/>
  <c r="AB19" i="24"/>
  <c r="AB20" i="24" a="1"/>
  <c r="AB20" i="24" s="1"/>
  <c r="AB21" i="24" a="1"/>
  <c r="AB21" i="24"/>
  <c r="AB22" i="24" a="1"/>
  <c r="AB22" i="24" s="1"/>
  <c r="AB11" i="24" a="1"/>
  <c r="AB11" i="24" s="1"/>
  <c r="AA12" i="24"/>
  <c r="AA13" i="24"/>
  <c r="AA14" i="24"/>
  <c r="AA15" i="24"/>
  <c r="AA16" i="24"/>
  <c r="AA17" i="24"/>
  <c r="AA18" i="24"/>
  <c r="AA19" i="24"/>
  <c r="AA20" i="24"/>
  <c r="AA21" i="24"/>
  <c r="AA22" i="24"/>
  <c r="Y11" i="24" l="1"/>
  <c r="G24" i="60" l="1"/>
  <c r="G27" i="60"/>
  <c r="G8" i="60"/>
  <c r="G9" i="60"/>
  <c r="G10" i="60"/>
  <c r="G11" i="60"/>
  <c r="G12" i="60"/>
  <c r="G13" i="60"/>
  <c r="G14" i="60"/>
  <c r="G15" i="60"/>
  <c r="G16" i="60"/>
  <c r="G17" i="60"/>
  <c r="G18" i="60"/>
  <c r="G19" i="60"/>
  <c r="G2" i="60"/>
  <c r="K20" i="25" l="1"/>
  <c r="K21" i="25"/>
  <c r="K18" i="25"/>
  <c r="K19" i="25"/>
  <c r="AA11" i="24"/>
  <c r="Z11" i="24"/>
  <c r="Z12" i="24"/>
  <c r="Y12" i="24"/>
  <c r="X11" i="24"/>
  <c r="X12" i="24"/>
  <c r="W11" i="24"/>
  <c r="W12" i="24"/>
  <c r="W13" i="24"/>
  <c r="U11" i="24"/>
  <c r="U12" i="24"/>
  <c r="T11" i="24"/>
  <c r="T12" i="24"/>
  <c r="S11" i="24"/>
  <c r="R11" i="24"/>
  <c r="E15" i="22"/>
  <c r="E16" i="22"/>
  <c r="E14" i="22"/>
  <c r="G3" i="60"/>
  <c r="E165" i="41"/>
  <c r="E33" i="41"/>
  <c r="E13" i="41"/>
  <c r="B12" i="26" l="1"/>
  <c r="B13" i="26"/>
  <c r="B14" i="26"/>
  <c r="B15" i="26"/>
  <c r="B16" i="26"/>
  <c r="B17" i="26"/>
  <c r="B18" i="26"/>
  <c r="B19" i="26"/>
  <c r="B20" i="26"/>
  <c r="B21" i="26"/>
  <c r="B11" i="26"/>
  <c r="Z13" i="24"/>
  <c r="Z14" i="24"/>
  <c r="Z15" i="24"/>
  <c r="Z16" i="24"/>
  <c r="Z17" i="24"/>
  <c r="Z18" i="24"/>
  <c r="Z19" i="24"/>
  <c r="Z20" i="24"/>
  <c r="Z21" i="24"/>
  <c r="Z22" i="24"/>
  <c r="R12" i="24" l="1"/>
  <c r="R13" i="24"/>
  <c r="R14" i="24"/>
  <c r="R22" i="24"/>
  <c r="R15" i="24"/>
  <c r="R16" i="24"/>
  <c r="R17" i="24"/>
  <c r="R18" i="24"/>
  <c r="R19" i="24"/>
  <c r="R20" i="24"/>
  <c r="R21" i="24"/>
  <c r="Q13" i="24" l="1"/>
  <c r="Q14" i="24"/>
  <c r="Q15" i="24"/>
  <c r="Q16" i="24"/>
  <c r="Q17" i="24"/>
  <c r="Q18" i="24"/>
  <c r="Q19" i="24"/>
  <c r="Q20" i="24"/>
  <c r="Q21" i="24"/>
  <c r="Q22" i="24"/>
  <c r="I11" i="26" l="1"/>
  <c r="I13" i="26"/>
  <c r="I14" i="26"/>
  <c r="I15" i="26"/>
  <c r="I16" i="26"/>
  <c r="I17" i="26"/>
  <c r="I18" i="26"/>
  <c r="I19" i="26"/>
  <c r="I20" i="26"/>
  <c r="I21" i="26"/>
  <c r="I12" i="26"/>
  <c r="J12" i="26"/>
  <c r="J13" i="26"/>
  <c r="J14" i="26"/>
  <c r="J15" i="26"/>
  <c r="J16" i="26"/>
  <c r="J17" i="26"/>
  <c r="J18" i="26"/>
  <c r="J19" i="26"/>
  <c r="J20" i="26"/>
  <c r="J21" i="26"/>
  <c r="N12" i="26"/>
  <c r="N13" i="26"/>
  <c r="N14" i="26"/>
  <c r="N15" i="26"/>
  <c r="N16" i="26"/>
  <c r="N17" i="26"/>
  <c r="N18" i="26"/>
  <c r="N19" i="26"/>
  <c r="N20" i="26"/>
  <c r="N21" i="26"/>
  <c r="N12" i="25" l="1"/>
  <c r="N13" i="25"/>
  <c r="N14" i="25"/>
  <c r="N15" i="25"/>
  <c r="N16" i="25"/>
  <c r="N17" i="25"/>
  <c r="N18" i="25"/>
  <c r="N19" i="25"/>
  <c r="N20" i="25"/>
  <c r="N21" i="25"/>
  <c r="N11" i="25"/>
  <c r="H13" i="25"/>
  <c r="H14" i="25"/>
  <c r="H15" i="25"/>
  <c r="H16" i="25"/>
  <c r="H17" i="25"/>
  <c r="H18" i="25"/>
  <c r="H19" i="25"/>
  <c r="H20" i="25"/>
  <c r="H21" i="25"/>
  <c r="H11" i="25"/>
  <c r="K15" i="26" l="1"/>
  <c r="K16" i="26"/>
  <c r="K17" i="26"/>
  <c r="K18" i="26"/>
  <c r="K19" i="26"/>
  <c r="K20" i="26"/>
  <c r="K21" i="26"/>
  <c r="K11" i="26"/>
  <c r="K12" i="26"/>
  <c r="K13" i="26"/>
  <c r="K14" i="26"/>
  <c r="O12" i="25"/>
  <c r="O13" i="25"/>
  <c r="O14" i="25"/>
  <c r="O15" i="25"/>
  <c r="O16" i="25"/>
  <c r="O17" i="25"/>
  <c r="O18" i="25"/>
  <c r="O19" i="25"/>
  <c r="O20" i="25"/>
  <c r="O21" i="25"/>
  <c r="O11" i="25"/>
  <c r="J14" i="25" l="1"/>
  <c r="J15" i="25"/>
  <c r="J16" i="25"/>
  <c r="J17" i="25"/>
  <c r="J18" i="25"/>
  <c r="J19" i="25"/>
  <c r="J20" i="25"/>
  <c r="J21" i="25"/>
  <c r="J13" i="25"/>
  <c r="J12" i="25"/>
  <c r="J11" i="25"/>
  <c r="L13" i="25"/>
  <c r="L14" i="25"/>
  <c r="L15" i="25"/>
  <c r="L16" i="25"/>
  <c r="L17" i="25"/>
  <c r="L18" i="25"/>
  <c r="L19" i="25"/>
  <c r="L20" i="25"/>
  <c r="L21" i="25"/>
  <c r="L12" i="25"/>
  <c r="H11" i="26" l="1"/>
  <c r="H12" i="26"/>
  <c r="H14" i="26"/>
  <c r="H15" i="26"/>
  <c r="H16" i="26"/>
  <c r="H17" i="26"/>
  <c r="H18" i="26"/>
  <c r="H19" i="26"/>
  <c r="H20" i="26"/>
  <c r="H21" i="26"/>
  <c r="H13" i="26"/>
  <c r="C12" i="25" l="1"/>
  <c r="C13" i="25"/>
  <c r="C14" i="25"/>
  <c r="C15" i="25"/>
  <c r="C16" i="25"/>
  <c r="C17" i="25"/>
  <c r="C18" i="25"/>
  <c r="C19" i="25"/>
  <c r="C20" i="25"/>
  <c r="C21" i="25"/>
  <c r="C11" i="25"/>
  <c r="C12" i="26"/>
  <c r="Y13" i="24" l="1"/>
  <c r="Y14" i="24"/>
  <c r="Y15" i="24"/>
  <c r="Y16" i="24"/>
  <c r="Y17" i="24"/>
  <c r="Y18" i="24"/>
  <c r="Y19" i="24"/>
  <c r="Y20" i="24"/>
  <c r="Y21" i="24"/>
  <c r="Y22" i="24"/>
  <c r="E14" i="41" l="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3" i="41"/>
  <c r="E64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121" i="41"/>
  <c r="E122" i="41"/>
  <c r="E123" i="41"/>
  <c r="E124" i="41"/>
  <c r="E125" i="41"/>
  <c r="E126" i="41"/>
  <c r="E127" i="41"/>
  <c r="E128" i="41"/>
  <c r="E129" i="41"/>
  <c r="E130" i="41"/>
  <c r="E131" i="41"/>
  <c r="E132" i="41"/>
  <c r="E133" i="41"/>
  <c r="E134" i="41"/>
  <c r="E135" i="41"/>
  <c r="E136" i="41"/>
  <c r="E137" i="41"/>
  <c r="E138" i="41"/>
  <c r="E139" i="41"/>
  <c r="E140" i="41"/>
  <c r="E141" i="41"/>
  <c r="E142" i="41"/>
  <c r="E143" i="41"/>
  <c r="E144" i="41"/>
  <c r="E145" i="41"/>
  <c r="E146" i="41"/>
  <c r="E147" i="41"/>
  <c r="E148" i="41"/>
  <c r="E149" i="41"/>
  <c r="E150" i="41"/>
  <c r="E151" i="41"/>
  <c r="E152" i="41"/>
  <c r="E153" i="41"/>
  <c r="E154" i="41"/>
  <c r="E155" i="41"/>
  <c r="E156" i="41"/>
  <c r="E157" i="41"/>
  <c r="E158" i="41"/>
  <c r="E159" i="41"/>
  <c r="E160" i="41"/>
  <c r="E161" i="41"/>
  <c r="E162" i="41"/>
  <c r="E163" i="41"/>
  <c r="E164" i="41"/>
  <c r="E166" i="41"/>
  <c r="E167" i="41"/>
  <c r="E168" i="41"/>
  <c r="N11" i="24" s="1"/>
  <c r="P21" i="24" l="1"/>
  <c r="P22" i="24"/>
  <c r="P11" i="24"/>
  <c r="O11" i="24"/>
  <c r="O15" i="24"/>
  <c r="O16" i="24"/>
  <c r="O20" i="24"/>
  <c r="O17" i="24"/>
  <c r="O14" i="24"/>
  <c r="O18" i="24"/>
  <c r="O22" i="24"/>
  <c r="O19" i="24"/>
  <c r="O12" i="24"/>
  <c r="O13" i="24"/>
  <c r="O21" i="24"/>
  <c r="P14" i="24"/>
  <c r="P18" i="24"/>
  <c r="P19" i="24"/>
  <c r="P12" i="24"/>
  <c r="P16" i="24"/>
  <c r="P20" i="24"/>
  <c r="P13" i="24"/>
  <c r="P17" i="24"/>
  <c r="P15" i="24"/>
  <c r="G11" i="25"/>
  <c r="G15" i="25"/>
  <c r="G19" i="25"/>
  <c r="G20" i="25"/>
  <c r="G12" i="25"/>
  <c r="G13" i="25"/>
  <c r="G17" i="25"/>
  <c r="G21" i="25"/>
  <c r="G14" i="25"/>
  <c r="G18" i="25"/>
  <c r="G16" i="25"/>
  <c r="N13" i="24"/>
  <c r="N17" i="24"/>
  <c r="N21" i="24"/>
  <c r="N18" i="24"/>
  <c r="N15" i="24"/>
  <c r="N19" i="24"/>
  <c r="N12" i="24"/>
  <c r="N14" i="24"/>
  <c r="N16" i="24"/>
  <c r="N20" i="24"/>
  <c r="N22" i="24"/>
  <c r="F13" i="25"/>
  <c r="F17" i="25"/>
  <c r="F21" i="25"/>
  <c r="F14" i="25"/>
  <c r="F11" i="25"/>
  <c r="F15" i="25"/>
  <c r="F19" i="25"/>
  <c r="F12" i="25"/>
  <c r="F16" i="25"/>
  <c r="F20" i="25"/>
  <c r="F18" i="25"/>
  <c r="I3" i="32" l="1"/>
  <c r="I4" i="32"/>
  <c r="I5" i="32"/>
  <c r="I2" i="32"/>
  <c r="I11" i="32"/>
  <c r="I12" i="32"/>
  <c r="I13" i="32"/>
  <c r="I10" i="32"/>
  <c r="V11" i="24" l="1"/>
  <c r="P12" i="25"/>
  <c r="V14" i="24"/>
  <c r="V21" i="24"/>
  <c r="V17" i="24"/>
  <c r="V13" i="24"/>
  <c r="P19" i="25"/>
  <c r="P15" i="25"/>
  <c r="V20" i="24"/>
  <c r="V16" i="24"/>
  <c r="P11" i="25"/>
  <c r="P18" i="25"/>
  <c r="P14" i="25"/>
  <c r="V12" i="24"/>
  <c r="V19" i="24"/>
  <c r="V15" i="24"/>
  <c r="P21" i="25"/>
  <c r="P17" i="25"/>
  <c r="P13" i="25"/>
  <c r="V22" i="24"/>
  <c r="V18" i="24"/>
  <c r="P20" i="25"/>
  <c r="P16" i="25"/>
  <c r="M21" i="26"/>
  <c r="M20" i="26"/>
  <c r="M19" i="26"/>
  <c r="M18" i="26"/>
  <c r="M17" i="26"/>
  <c r="M16" i="26"/>
  <c r="M15" i="26"/>
  <c r="M14" i="26"/>
  <c r="M13" i="26"/>
  <c r="M12" i="26"/>
  <c r="M11" i="26"/>
  <c r="E20" i="25" l="1"/>
  <c r="M20" i="25"/>
  <c r="Q20" i="25"/>
  <c r="R20" i="25"/>
  <c r="E12" i="25"/>
  <c r="H12" i="25"/>
  <c r="M12" i="25"/>
  <c r="Q12" i="25"/>
  <c r="R12" i="25"/>
  <c r="L12" i="26" l="1"/>
  <c r="G12" i="26"/>
  <c r="F12" i="26"/>
  <c r="E12" i="26"/>
  <c r="D12" i="26"/>
  <c r="C20" i="26"/>
  <c r="D20" i="26"/>
  <c r="E20" i="26"/>
  <c r="F20" i="26"/>
  <c r="G20" i="26"/>
  <c r="L20" i="26"/>
  <c r="U13" i="24"/>
  <c r="U14" i="24"/>
  <c r="U15" i="24"/>
  <c r="U16" i="24"/>
  <c r="U17" i="24"/>
  <c r="U18" i="24"/>
  <c r="U19" i="24"/>
  <c r="U20" i="24"/>
  <c r="U21" i="24"/>
  <c r="U22" i="24"/>
  <c r="G22" i="60" l="1"/>
  <c r="G23" i="60"/>
  <c r="G25" i="60"/>
  <c r="G26" i="60"/>
  <c r="G28" i="60"/>
  <c r="G29" i="60"/>
  <c r="G30" i="60"/>
  <c r="G31" i="60"/>
  <c r="G4" i="60"/>
  <c r="G5" i="60"/>
  <c r="G6" i="60"/>
  <c r="G7" i="60"/>
  <c r="G20" i="60"/>
  <c r="K17" i="25" s="1"/>
  <c r="G21" i="60"/>
  <c r="M12" i="24" l="1"/>
  <c r="M16" i="24"/>
  <c r="M20" i="24"/>
  <c r="M14" i="24"/>
  <c r="M18" i="24"/>
  <c r="M22" i="24"/>
  <c r="M15" i="24"/>
  <c r="M19" i="24"/>
  <c r="M11" i="24"/>
  <c r="M13" i="24"/>
  <c r="M17" i="24"/>
  <c r="M21" i="24"/>
  <c r="K12" i="25"/>
  <c r="K16" i="25"/>
  <c r="K11" i="25"/>
  <c r="K14" i="25"/>
  <c r="K15" i="25"/>
  <c r="K13" i="25"/>
  <c r="L12" i="24"/>
  <c r="L16" i="24"/>
  <c r="L20" i="24"/>
  <c r="L18" i="24"/>
  <c r="L15" i="24"/>
  <c r="L19" i="24"/>
  <c r="L13" i="24"/>
  <c r="L17" i="24"/>
  <c r="L21" i="24"/>
  <c r="L14" i="24"/>
  <c r="L22" i="24"/>
  <c r="L11" i="24"/>
  <c r="C13" i="26"/>
  <c r="C14" i="26"/>
  <c r="C15" i="26"/>
  <c r="C16" i="26"/>
  <c r="C17" i="26"/>
  <c r="C18" i="26"/>
  <c r="C19" i="26"/>
  <c r="C21" i="26"/>
  <c r="C11" i="26"/>
  <c r="L13" i="26"/>
  <c r="L14" i="26"/>
  <c r="L15" i="26"/>
  <c r="L16" i="26"/>
  <c r="L17" i="26"/>
  <c r="L18" i="26"/>
  <c r="L19" i="26"/>
  <c r="L21" i="26"/>
  <c r="L11" i="26"/>
  <c r="N11" i="26"/>
  <c r="J11" i="26"/>
  <c r="D11" i="26"/>
  <c r="G13" i="26"/>
  <c r="G14" i="26"/>
  <c r="G15" i="26"/>
  <c r="G16" i="26"/>
  <c r="G17" i="26"/>
  <c r="G18" i="26"/>
  <c r="G19" i="26"/>
  <c r="G21" i="26"/>
  <c r="G11" i="26"/>
  <c r="F13" i="26"/>
  <c r="F14" i="26"/>
  <c r="F15" i="26"/>
  <c r="F16" i="26"/>
  <c r="F17" i="26"/>
  <c r="F18" i="26"/>
  <c r="F19" i="26"/>
  <c r="F21" i="26"/>
  <c r="F11" i="26"/>
  <c r="E13" i="26"/>
  <c r="E14" i="26"/>
  <c r="E15" i="26"/>
  <c r="E16" i="26"/>
  <c r="E17" i="26"/>
  <c r="E18" i="26"/>
  <c r="E19" i="26"/>
  <c r="E21" i="26"/>
  <c r="E11" i="26"/>
  <c r="D13" i="26"/>
  <c r="D14" i="26"/>
  <c r="D15" i="26"/>
  <c r="D16" i="26"/>
  <c r="D17" i="26"/>
  <c r="D18" i="26"/>
  <c r="D19" i="26"/>
  <c r="D21" i="26"/>
  <c r="F10" i="30"/>
  <c r="F11" i="30"/>
  <c r="F12" i="30"/>
  <c r="F8" i="30"/>
  <c r="F9" i="30"/>
  <c r="E32" i="12"/>
  <c r="E34" i="12"/>
  <c r="E35" i="12"/>
  <c r="E11" i="25"/>
  <c r="E9" i="27"/>
  <c r="E10" i="27"/>
  <c r="M11" i="25"/>
  <c r="Q11" i="25"/>
  <c r="R11" i="25"/>
  <c r="M14" i="25"/>
  <c r="Q14" i="25"/>
  <c r="R14" i="25"/>
  <c r="E14" i="25"/>
  <c r="E33" i="12"/>
  <c r="E30" i="12"/>
  <c r="E31" i="12"/>
  <c r="M15" i="25"/>
  <c r="E13" i="25"/>
  <c r="E4" i="12"/>
  <c r="Q15" i="25"/>
  <c r="Q16" i="25"/>
  <c r="Q17" i="25"/>
  <c r="Q18" i="25"/>
  <c r="Q19" i="25"/>
  <c r="Q21" i="25"/>
  <c r="Q13" i="25"/>
  <c r="R15" i="25"/>
  <c r="R16" i="25"/>
  <c r="R17" i="25"/>
  <c r="R18" i="25"/>
  <c r="R19" i="25"/>
  <c r="R21" i="25"/>
  <c r="R13" i="25"/>
  <c r="M16" i="25"/>
  <c r="M17" i="25"/>
  <c r="M18" i="25"/>
  <c r="M19" i="25"/>
  <c r="M21" i="25"/>
  <c r="M13" i="25"/>
  <c r="E15" i="25"/>
  <c r="E16" i="25"/>
  <c r="E17" i="25"/>
  <c r="E18" i="25"/>
  <c r="E19" i="25"/>
  <c r="E21" i="25"/>
  <c r="S13" i="24"/>
  <c r="S14" i="24"/>
  <c r="S15" i="24"/>
  <c r="S16" i="24"/>
  <c r="S17" i="24"/>
  <c r="S18" i="24"/>
  <c r="S19" i="24"/>
  <c r="S20" i="24"/>
  <c r="S21" i="24"/>
  <c r="S22" i="24"/>
  <c r="S12" i="24"/>
  <c r="T13" i="24"/>
  <c r="T14" i="24"/>
  <c r="T15" i="24"/>
  <c r="T16" i="24"/>
  <c r="T17" i="24"/>
  <c r="T18" i="24"/>
  <c r="T19" i="24"/>
  <c r="T20" i="24"/>
  <c r="T21" i="24"/>
  <c r="T22" i="24"/>
  <c r="E3" i="22"/>
  <c r="E4" i="22"/>
  <c r="E5" i="22"/>
  <c r="E6" i="22"/>
  <c r="E7" i="22"/>
  <c r="E8" i="22"/>
  <c r="E9" i="22"/>
  <c r="E10" i="22"/>
  <c r="E11" i="22"/>
  <c r="E12" i="22"/>
  <c r="E13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" i="22"/>
  <c r="W14" i="24"/>
  <c r="W15" i="24"/>
  <c r="W16" i="24"/>
  <c r="W17" i="24"/>
  <c r="W18" i="24"/>
  <c r="W19" i="24"/>
  <c r="W20" i="24"/>
  <c r="W21" i="24"/>
  <c r="W22" i="24"/>
  <c r="X13" i="24"/>
  <c r="X14" i="24"/>
  <c r="X15" i="24"/>
  <c r="X16" i="24"/>
  <c r="X17" i="24"/>
  <c r="X18" i="24"/>
  <c r="X19" i="24"/>
  <c r="X20" i="24"/>
  <c r="X21" i="24"/>
  <c r="X22" i="24"/>
  <c r="E11" i="27"/>
  <c r="E12" i="27"/>
  <c r="E13" i="27"/>
  <c r="E14" i="27"/>
  <c r="E3" i="27"/>
  <c r="E4" i="27"/>
  <c r="E5" i="27"/>
  <c r="E6" i="27"/>
  <c r="E7" i="27"/>
  <c r="E8" i="27"/>
  <c r="E11" i="12"/>
  <c r="E12" i="12"/>
  <c r="E13" i="12"/>
  <c r="E14" i="12"/>
  <c r="E15" i="12"/>
  <c r="E16" i="12"/>
  <c r="E18" i="12"/>
  <c r="E19" i="12"/>
  <c r="E20" i="12"/>
  <c r="E21" i="12"/>
  <c r="E22" i="12"/>
  <c r="E23" i="12"/>
  <c r="E25" i="12"/>
  <c r="E26" i="12"/>
  <c r="E5" i="12"/>
  <c r="E6" i="12"/>
  <c r="E7" i="12"/>
  <c r="E8" i="12"/>
  <c r="E9" i="12"/>
  <c r="E2" i="27"/>
  <c r="F2" i="30"/>
  <c r="F3" i="30"/>
  <c r="F4" i="30"/>
  <c r="F5" i="30"/>
  <c r="F6" i="30"/>
  <c r="F7" i="30"/>
  <c r="E11" i="24" l="1"/>
  <c r="C11" i="24"/>
  <c r="G12" i="24"/>
  <c r="G11" i="24"/>
  <c r="F11" i="24"/>
  <c r="F12" i="24"/>
  <c r="H12" i="24"/>
  <c r="H11" i="24"/>
  <c r="J12" i="24"/>
  <c r="J11" i="24"/>
  <c r="I11" i="24"/>
  <c r="I12" i="24"/>
  <c r="D16" i="24"/>
  <c r="D11" i="24"/>
  <c r="B11" i="24"/>
  <c r="B12" i="24"/>
  <c r="G16" i="24"/>
  <c r="E19" i="24"/>
  <c r="D22" i="24"/>
  <c r="B21" i="24"/>
  <c r="I20" i="24"/>
  <c r="B19" i="25"/>
  <c r="D18" i="25"/>
  <c r="D12" i="25"/>
  <c r="D20" i="25"/>
  <c r="I12" i="25"/>
  <c r="I20" i="25"/>
  <c r="C17" i="24"/>
  <c r="D17" i="25"/>
  <c r="B21" i="25"/>
  <c r="B20" i="25"/>
  <c r="B12" i="25"/>
  <c r="I22" i="24"/>
  <c r="J19" i="24"/>
  <c r="H20" i="24"/>
  <c r="B16" i="25"/>
  <c r="B15" i="25"/>
  <c r="G20" i="24"/>
  <c r="F14" i="24"/>
  <c r="D16" i="25"/>
  <c r="F21" i="24"/>
  <c r="G21" i="24"/>
  <c r="F16" i="24"/>
  <c r="D19" i="25"/>
  <c r="G18" i="24"/>
  <c r="G22" i="24"/>
  <c r="F13" i="24"/>
  <c r="E21" i="24"/>
  <c r="E13" i="24"/>
  <c r="G17" i="24"/>
  <c r="F15" i="24"/>
  <c r="F17" i="24"/>
  <c r="G19" i="24"/>
  <c r="E20" i="24"/>
  <c r="E15" i="24"/>
  <c r="E22" i="24"/>
  <c r="H22" i="24"/>
  <c r="I17" i="24"/>
  <c r="J14" i="24"/>
  <c r="J16" i="24"/>
  <c r="I13" i="24"/>
  <c r="H16" i="24"/>
  <c r="I11" i="25"/>
  <c r="D18" i="24"/>
  <c r="B19" i="24"/>
  <c r="D17" i="24"/>
  <c r="D12" i="24"/>
  <c r="B14" i="24"/>
  <c r="D15" i="24"/>
  <c r="D13" i="24"/>
  <c r="B15" i="24"/>
  <c r="C13" i="24"/>
  <c r="C22" i="24"/>
  <c r="C12" i="24"/>
  <c r="C15" i="24"/>
  <c r="B11" i="25"/>
  <c r="C18" i="24"/>
  <c r="B13" i="25"/>
  <c r="D15" i="25"/>
  <c r="D13" i="25"/>
  <c r="D14" i="25"/>
  <c r="D11" i="25"/>
  <c r="D21" i="25"/>
  <c r="G13" i="24"/>
  <c r="F22" i="24"/>
  <c r="E14" i="24"/>
  <c r="G15" i="24"/>
  <c r="G14" i="24"/>
  <c r="E18" i="24"/>
  <c r="E12" i="24"/>
  <c r="F20" i="24"/>
  <c r="F19" i="24"/>
  <c r="F18" i="24"/>
  <c r="E17" i="24"/>
  <c r="E16" i="24"/>
  <c r="I21" i="24"/>
  <c r="I14" i="24"/>
  <c r="I15" i="24"/>
  <c r="J20" i="24"/>
  <c r="H17" i="24"/>
  <c r="I18" i="24"/>
  <c r="I16" i="24"/>
  <c r="J13" i="24"/>
  <c r="J18" i="24"/>
  <c r="H21" i="24"/>
  <c r="H19" i="24"/>
  <c r="I19" i="24"/>
  <c r="I13" i="25"/>
  <c r="I17" i="25"/>
  <c r="I18" i="25"/>
  <c r="J22" i="24"/>
  <c r="H14" i="24"/>
  <c r="H15" i="24"/>
  <c r="I21" i="25"/>
  <c r="I16" i="25"/>
  <c r="J17" i="24"/>
  <c r="J21" i="24"/>
  <c r="J15" i="24"/>
  <c r="H18" i="24"/>
  <c r="H13" i="24"/>
  <c r="I19" i="25"/>
  <c r="I15" i="25"/>
  <c r="I14" i="25"/>
  <c r="B13" i="24"/>
  <c r="D19" i="24"/>
  <c r="D14" i="24"/>
  <c r="D20" i="24"/>
  <c r="B20" i="24"/>
  <c r="B22" i="24"/>
  <c r="B17" i="24"/>
  <c r="B14" i="25"/>
  <c r="D21" i="24"/>
  <c r="B16" i="24"/>
  <c r="B18" i="24"/>
  <c r="B17" i="25"/>
  <c r="C21" i="24"/>
  <c r="C16" i="24"/>
  <c r="B18" i="25"/>
  <c r="C19" i="24"/>
  <c r="C14" i="24"/>
  <c r="C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Anila\TGRP\Competitive Tracker\competitive-tracker\Rate Scanner\Queries\Query - Altamira Rates.odc" keepAlive="1" name="Query - Altamira Rates" description="Connection to the 'Altamira Rates' query in the workbook." type="5" refreshedVersion="6" saveData="1">
    <dbPr connection="Provider=Microsoft.Mashup.OleDb.1;Data Source=$Workbook$;Location=Altamira Rates;Extended Properties=&quot;&quot;" command="SELECT * FROM [Altamira Rates]"/>
  </connection>
  <connection id="2" xr16:uid="{00000000-0015-0000-FFFF-FFFF01000000}" odcFile="C:\Anila\TGRP\Competitive Tracker\competitive-tracker\Rate Scanner\Queries\Query - B2B Rates.odc" keepAlive="1" name="Query - B2B Rates" description="Connection to the 'B2B Rates' query in the workbook." type="5" refreshedVersion="6" saveData="1">
    <dbPr connection="Provider=Microsoft.Mashup.OleDb.1;Data Source=$Workbook$;Location=B2B Rates;Extended Properties=&quot;&quot;" command="SELECT * FROM [B2B Rates]"/>
  </connection>
  <connection id="3" xr16:uid="{00000000-0015-0000-FFFF-FFFF02000000}" odcFile="C:\Anila\TGRP\Competitive Tracker\competitive-tracker\Rate Scanner\Queries\Query - BMO Savings Accounts.odc" keepAlive="1" name="Query - BMO Savings Accounts" description="Connection to the 'BMO Savings Accounts' query in the workbook." type="5" refreshedVersion="6" saveData="1">
    <dbPr connection="Provider=Microsoft.Mashup.OleDb.1;Data Source=$Workbook$;Location=BMO Savings Accounts;Extended Properties=&quot;&quot;" command="SELECT * FROM [BMO Savings Accounts]"/>
  </connection>
  <connection id="4" xr16:uid="{00000000-0015-0000-FFFF-FFFF05000000}" odcFile="C:\Anila\TGRP\Competitive Tracker\competitive-tracker\Rate Scanner\Queries\Query - BNS Cash Optimizer Investment.odc" keepAlive="1" name="Query - BNS Cash Optimizer Investment" description="Connection to the 'BNS Cash Optimizer Investment' query in the workbook." type="5" refreshedVersion="6" saveData="1">
    <dbPr connection="Provider=Microsoft.Mashup.OleDb.1;Data Source=$Workbook$;Location=BNS Cash Optimizer Investment;Extended Properties=&quot;&quot;" command="SELECT * FROM [BNS Cash Optimizer Investment]"/>
  </connection>
  <connection id="5" xr16:uid="{4244F518-BF1F-4714-9B0C-518D68279E43}" odcFile="C:\Anila\TGRP\Competitive Tracker\competitive-tracker\Rate Scanner\Queries\Query - BNS Savings Accounts.odc" keepAlive="1" name="Query - BNS Savings Accounts" description="Connection to the 'BNS Savings Accounts' query in the workbook." type="5" refreshedVersion="6" saveData="1">
    <dbPr connection="Provider=Microsoft.Mashup.OleDb.1;Data Source=$Workbook$;Location=BNS Savings Accounts;Extended Properties=&quot;&quot;" command="SELECT * FROM [BNS Savings Accounts]"/>
  </connection>
  <connection id="6" xr16:uid="{B11DB3D6-2EEF-4F98-8DC1-C6DC76DD6C1E}" odcFile="C:\Anila\TGRP\Competitive Tracker\competitive-tracker\Rate Scanner\Queries\Query - CIBC Renaissance HISA.odc" keepAlive="1" name="Query - CIBC Renaissance HISA" description="Connection to the 'CIBC Renaissance HISA' query in the workbook." type="5" refreshedVersion="6" saveData="1">
    <dbPr connection="Provider=Microsoft.Mashup.OleDb.1;Data Source=$Workbook$;Location=CIBC Renaissance HISA;Extended Properties=&quot;&quot;" command="SELECT * FROM [CIBC Renaissance HISA]"/>
  </connection>
  <connection id="7" xr16:uid="{00000000-0015-0000-FFFF-FFFF06000000}" odcFile="C:\Anila\TGRP\Competitive Tracker\competitive-tracker\Rate Scanner\Queries\Query - CIBC Savings Accounts.odc" keepAlive="1" name="Query - CIBC Savings Accounts" description="Connection to the 'CIBC Savings Accounts' query in the workbook." type="5" refreshedVersion="6" saveData="1">
    <dbPr connection="Provider=Microsoft.Mashup.OleDb.1;Data Source=$Workbook$;Location=CIBC Savings Accounts;Extended Properties=&quot;&quot;" command="SELECT * FROM [CIBC Savings Accounts]"/>
  </connection>
  <connection id="8" xr16:uid="{81DEA38E-A166-48B7-8AB9-F650712A8109}" odcFile="C:\Anila\TGRP\Competitive Tracker\competitive-tracker\Rate Scanner\Queries\Query - CIBC Wood Gundy HISA CTC.odc" keepAlive="1" name="Query - CIBC Wood Gundy HISA CTC" description="Connection to the 'CIBC Wood Gundy HISA CTC' query in the workbook." type="5" refreshedVersion="6" saveData="1">
    <dbPr connection="Provider=Microsoft.Mashup.OleDb.1;Data Source=$Workbook$;Location=CIBC Wood Gundy HISA CTC;Extended Properties=&quot;&quot;" command="SELECT * FROM [CIBC Wood Gundy HISA CTC]"/>
  </connection>
  <connection id="9" xr16:uid="{00000000-0015-0000-FFFF-FFFF07000000}" odcFile="C:\Anila\TGRP\Competitive Tracker\competitive-tracker\Rate Scanner\Queries\Query - CT HISA.odc" keepAlive="1" name="Query - CT HISA" description="Connection to the 'CT HISA' query in the workbook." type="5" refreshedVersion="6" saveData="1">
    <dbPr connection="Provider=Microsoft.Mashup.OleDb.1;Data Source=$Workbook$;Location=CT HISA;Extended Properties=&quot;&quot;" command="SELECT * FROM [CT HISA]"/>
  </connection>
  <connection id="10" xr16:uid="{E38D7A82-36FA-4AF6-872C-131BEA0ED444}" odcFile="C:\Anila\TGRP\Competitive Tracker\competitive-tracker\Rate Scanner\Queries\Query - EQ Bank Savings Plus Account.odc" keepAlive="1" name="Query - EQ Bank Savings Plus Account" description="Connection to the 'EQ Bank Savings Plus Account' query in the workbook." type="5" refreshedVersion="6" saveData="1">
    <dbPr connection="Provider=Microsoft.Mashup.OleDb.1;Data Source=$Workbook$;Location=&quot;EQ Bank Savings Plus Account&quot;;Extended Properties=&quot;&quot;" command="SELECT * FROM [EQ Bank Savings Plus Account]"/>
  </connection>
  <connection id="11" xr16:uid="{6A0854F7-C932-4E9E-9FBB-EC246ADFAFC5}" odcFile="C:\Anila\TGRP\Competitive Tracker\competitive-tracker\Rate Scanner\Queries\Query - Home Trust Company.odc" keepAlive="1" name="Query - Home Trust Company" description="Connection to the 'Home Trust Company' query in the workbook." type="5" refreshedVersion="6" saveData="1">
    <dbPr connection="Provider=Microsoft.Mashup.OleDb.1;Data Source=$Workbook$;Location=Home Trust Company;Extended Properties=&quot;&quot;" command="SELECT * FROM [Home Trust Company]"/>
  </connection>
  <connection id="12" xr16:uid="{00000000-0015-0000-FFFF-FFFF09000000}" keepAlive="1" name="Query - HSBC CAD Savings" description="Connection to the 'HSBC CAD Savings' query in the workbook." type="5" refreshedVersion="6" saveData="1">
    <dbPr connection="Provider=Microsoft.Mashup.OleDb.1;Data Source=$Workbook$;Location=HSBC CAD Savings;Extended Properties=&quot;&quot;" command="SELECT * FROM [HSBC CAD Savings]"/>
  </connection>
  <connection id="13" xr16:uid="{871479F1-40E5-4445-92FC-E9A9815491E3}" keepAlive="1" name="Query - HSBC Foreign Savings" description="Connection to the 'HSBC Foreign Savings' query in the workbook." type="5" refreshedVersion="6" saveData="1">
    <dbPr connection="Provider=Microsoft.Mashup.OleDb.1;Data Source=$Workbook$;Location=HSBC Foreign Savings;Extended Properties=&quot;&quot;" command="SELECT * FROM [HSBC Foreign Savings]"/>
  </connection>
  <connection id="14" xr16:uid="{00000000-0015-0000-FFFF-FFFF0A000000}" odcFile="C:\Anila\TGRP\Competitive Tracker\competitive-tracker\Rate Scanner\Queries\Query - ICICI Chequing Accounts.odc" keepAlive="1" name="Query - ICICI Chequing Accounts" description="Connection to the 'ICICI Chequing Accounts' query in the workbook." type="5" refreshedVersion="6" background="1" saveData="1">
    <dbPr connection="Provider=Microsoft.Mashup.OleDb.1;Data Source=$Workbook$;Location=&quot;ICICI Chequing Accounts&quot;;Extended Properties=&quot;&quot;" command="SELECT * FROM [ICICI Chequing Accounts]"/>
  </connection>
  <connection id="15" xr16:uid="{00000000-0015-0000-FFFF-FFFF0B000000}" odcFile="C:\Anila\TGRP\Competitive Tracker\competitive-tracker\Rate Scanner\Queries\Query - ICICI GICs.odc" keepAlive="1" name="Query - ICICI GICs" description="Connection to the 'ICICI GICs' query in the workbook." type="5" refreshedVersion="6" background="1" saveData="1">
    <dbPr connection="Provider=Microsoft.Mashup.OleDb.1;Data Source=$Workbook$;Location=&quot;ICICI GICs&quot;;Extended Properties=&quot;&quot;" command="SELECT * FROM [ICICI GICs]"/>
  </connection>
  <connection id="16" xr16:uid="{00000000-0015-0000-FFFF-FFFF0C000000}" odcFile="C:\Anila\TGRP\Competitive Tracker\competitive-tracker\Rate Scanner\Queries\Query - ICICI Prime Rate.odc" keepAlive="1" name="Query - ICICI Prime Rate" description="Connection to the 'ICICI Prime Rate' query in the workbook." type="5" refreshedVersion="6" background="1" saveData="1">
    <dbPr connection="Provider=Microsoft.Mashup.OleDb.1;Data Source=$Workbook$;Location=&quot;ICICI Prime Rate&quot;;Extended Properties=&quot;&quot;" command="SELECT * FROM [ICICI Prime Rate]"/>
  </connection>
  <connection id="17" xr16:uid="{00000000-0015-0000-FFFF-FFFF0D000000}" odcFile="C:\Anila\TGRP\Competitive Tracker\competitive-tracker\Rate Scanner\Queries\Query - ICICI RSP GIC.odc" keepAlive="1" name="Query - ICICI RSP GIC" description="Connection to the 'ICICI RSP GIC' query in the workbook." type="5" refreshedVersion="6" background="1" saveData="1">
    <dbPr connection="Provider=Microsoft.Mashup.OleDb.1;Data Source=$Workbook$;Location=&quot;ICICI RSP GIC&quot;;Extended Properties=&quot;&quot;" command="SELECT * FROM [ICICI RSP GIC]"/>
  </connection>
  <connection id="18" xr16:uid="{00000000-0015-0000-FFFF-FFFF0E000000}" odcFile="C:\Anila\TGRP\Competitive Tracker\competitive-tracker\Rate Scanner\Queries\Query - ICICI Tax-Free GIC.odc" keepAlive="1" name="Query - ICICI Tax-Free GIC" description="Connection to the 'ICICI Tax-Free GIC' query in the workbook." type="5" refreshedVersion="6" background="1" saveData="1">
    <dbPr connection="Provider=Microsoft.Mashup.OleDb.1;Data Source=$Workbook$;Location=&quot;ICICI Tax-Free GIC&quot;;Extended Properties=&quot;&quot;" command="SELECT * FROM [ICICI Tax-Free GIC]"/>
  </connection>
  <connection id="19" xr16:uid="{00000000-0015-0000-FFFF-FFFF0F000000}" odcFile="C:\Anila\TGRP\Competitive Tracker\competitive-tracker\Rate Scanner\Queries\Query - ICICI_Savings Accounts.odc" keepAlive="1" name="Query - ICICI_Savings Accounts" description="Connection to the 'ICICI_Savings Accounts' query in the workbook." type="5" refreshedVersion="6" saveData="1">
    <dbPr connection="Provider=Microsoft.Mashup.OleDb.1;Data Source=$Workbook$;Location=ICICI_Savings Accounts;Extended Properties=&quot;&quot;" command="SELECT * FROM [ICICI_Savings Accounts]"/>
  </connection>
  <connection id="20" xr16:uid="{8A2B4210-17B8-4DC4-A4A1-4D855FB1663A}" keepAlive="1" name="Query - LBC DIgital High Interest Savings Account (HISA) rates" description="Connection to the 'LBC DIgital High Interest Savings Account (HISA) rates' query in the workbook." type="5" refreshedVersion="6" background="1" saveData="1">
    <dbPr connection="Provider=Microsoft.Mashup.OleDb.1;Data Source=$Workbook$;Location=LBC DIgital High Interest Savings Account (HISA) rates;Extended Properties=&quot;&quot;" command="SELECT * FROM [LBC DIgital High Interest Savings Account (HISA) rates]"/>
  </connection>
  <connection id="21" xr16:uid="{3C4BDE5A-F1B1-44FB-A633-85B7A8BDD186}" keepAlive="1" name="Query - Manulife All-In and Advantage" description="Connection to the 'Manulife All-In and Advantage' query in the workbook." type="5" refreshedVersion="6" saveData="1">
    <dbPr connection="Provider=Microsoft.Mashup.OleDb.1;Data Source=$Workbook$;Location=Manulife All-In and Advantage;Extended Properties=&quot;&quot;" command="SELECT * FROM [Manulife All-In and Advantage]"/>
  </connection>
  <connection id="22" xr16:uid="{103E6EFC-F0B9-4914-9AC2-496CC34C60AE}" keepAlive="1" name="Query - Manulife ISA" description="Connection to the 'Manulife ISA' query in the workbook." type="5" refreshedVersion="6" saveData="1">
    <dbPr connection="Provider=Microsoft.Mashup.OleDb.1;Data Source=$Workbook$;Location=Manulife ISA;Extended Properties=&quot;&quot;" command="SELECT * FROM [Manulife ISA]"/>
  </connection>
  <connection id="23" xr16:uid="{00000000-0015-0000-FFFF-FFFF11000000}" odcFile="C:\Anila\TGRP\Competitive Tracker\competitive-tracker\Rate Scanner\Queries\Query - Meridian Rates.odc" keepAlive="1" name="Query - Meridian Rates" description="Connection to the 'Meridian Rates' query in the workbook." type="5" refreshedVersion="6" saveData="1">
    <dbPr connection="Provider=Microsoft.Mashup.OleDb.1;Data Source=$Workbook$;Location=Meridian Rates;Extended Properties=&quot;&quot;" command="SELECT * FROM [Meridian Rates]"/>
  </connection>
  <connection id="24" xr16:uid="{E05659B1-77D2-4B3A-BEFB-CB38E210F6A3}" keepAlive="1" name="Query - Motive Savvy Savings Account" description="Connection to the 'Motive Savvy Savings Account' query in the workbook." type="5" refreshedVersion="6" background="1" saveData="1">
    <dbPr connection="Provider=Microsoft.Mashup.OleDb.1;Data Source=$Workbook$;Location=Motive Savvy Savings Account;Extended Properties=&quot;&quot;" command="SELECT * FROM [Motive Savvy Savings Account]"/>
  </connection>
  <connection id="25" xr16:uid="{6EC766DB-EB3D-487A-B03B-00B64F46885A}" keepAlive="1" name="Query - Motive® Savings Account1,2" description="Connection to the 'Motive® Savings Account1,2' query in the workbook." type="5" refreshedVersion="6" background="1" saveData="1">
    <dbPr connection="Provider=Microsoft.Mashup.OleDb.1;Data Source=$Workbook$;Location=Motive® Savings Account1,2;Extended Properties=&quot;&quot;" command="SELECT * FROM [Motive® Savings Account1,2]"/>
  </connection>
  <connection id="26" xr16:uid="{35234A25-446F-437E-B167-46C2A6FDC418}" keepAlive="1" name="Query - MotusBank HISA" description="Connection to the 'MotusBank HISA' query in the workbook." type="5" refreshedVersion="6" background="1" saveData="1">
    <dbPr connection="Provider=Microsoft.Mashup.OleDb.1;Data Source=$Workbook$;Location=MotusBank HISA;Extended Properties=&quot;&quot;" command="SELECT * FROM [MotusBank HISA]"/>
  </connection>
  <connection id="27" xr16:uid="{00000000-0015-0000-FFFF-FFFF12000000}" odcFile="C:\Anila\TGRP\Competitive Tracker\competitive-tracker\Rate Scanner\Queries\Query - NBC Bank Accounts.odc" keepAlive="1" name="Query - NBC Bank Accounts" description="Connection to the 'NBC Bank Accounts' query in the workbook." type="5" refreshedVersion="6" saveData="1">
    <dbPr connection="Provider=Microsoft.Mashup.OleDb.1;Data Source=$Workbook$;Location=NBC Bank Accounts;Extended Properties=&quot;&quot;" command="SELECT * FROM [NBC Bank Accounts]"/>
  </connection>
  <connection id="28" xr16:uid="{AEB7A27C-D319-4B39-A99A-B5BBB5A77274}" odcFile="C:\Anila\TGRP\Competitive Tracker\competitive-tracker\Rate Scanner\Queries\Query - NBC HISA.odc" keepAlive="1" name="Query - NBC HISA" description="Connection to the 'NBC HISA' query in the workbook." type="5" refreshedVersion="0" background="1">
    <dbPr connection="Provider=Microsoft.Mashup.OleDb.1;Data Source=$Workbook$;Location=&quot;NBC HISA&quot;;Extended Properties=&quot;&quot;" command="SELECT * FROM [NBC HISA]"/>
  </connection>
  <connection id="29" xr16:uid="{01702197-3BB6-4E09-B8F8-6247B98653B8}" odcFile="C:\Anila\TGRP\Competitive Tracker\competitive-tracker\Rate Scanner\Queries\Query - RBC Investment Savings Account.odc" keepAlive="1" name="Query - RBC Investment Savings Account" description="Connection to the 'RBC Investment Savings Account' query in the workbook." type="5" refreshedVersion="6" saveData="1">
    <dbPr connection="Provider=Microsoft.Mashup.OleDb.1;Data Source=$Workbook$;Location=RBC Investment Savings Account;Extended Properties=&quot;&quot;" command="SELECT * FROM [RBC Investment Savings Account]"/>
  </connection>
  <connection id="30" xr16:uid="{246DB2EA-63FE-4785-9CB0-24D9D4F30D2F}" odcFile="C:\Anila\TGRP\Competitive Tracker\competitive-tracker\Rate Scanner\Queries\Query - RBC Personal Accounts.odc" keepAlive="1" name="Query - RBC Personal Accounts" description="Connection to the 'RBC Personal Accounts' query in the workbook." type="5" refreshedVersion="6" saveData="1">
    <dbPr connection="Provider=Microsoft.Mashup.OleDb.1;Data Source=$Workbook$;Location=RBC Personal Accounts;Extended Properties=&quot;&quot;" command="SELECT * FROM [RBC Personal Accounts]"/>
  </connection>
  <connection id="31" xr16:uid="{00000000-0015-0000-FFFF-FFFF1C000000}" odcFile="C:\Anila\TGRP\Competitive Tracker\competitive-tracker\Rate Scanner\Queries\Query - RSP Savings Account.odc" keepAlive="1" name="Query - RSP Savings Account" description="Connection to the 'RSP Savings Account' query in the workbook." type="5" refreshedVersion="6" background="1" saveData="1">
    <dbPr connection="Provider=Microsoft.Mashup.OleDb.1;Data Source=$Workbook$;Location=&quot;RSP Savings Account&quot;;Extended Properties=&quot;&quot;" command="SELECT * FROM [RSP Savings Account]"/>
  </connection>
  <connection id="32" xr16:uid="{A012FB4C-D7CE-4ECE-A221-7773EC0D6E03}" odcFile="C:\Anila\TGRP\Competitive Tracker\competitive-tracker\Rate Scanner\Queries\Query - Simplii HISA.odc" keepAlive="1" name="Query - Simplii HISA" description="Connection to the 'Simplii HISA' query in the workbook." type="5" refreshedVersion="6" saveData="1">
    <dbPr connection="Provider=Microsoft.Mashup.OleDb.1;Data Source=$Workbook$;Location=Simplii HISA;Extended Properties=&quot;&quot;" command="SELECT * FROM [Simplii HISA]"/>
  </connection>
  <connection id="33" xr16:uid="{00000000-0015-0000-FFFF-FFFF24000000}" odcFile="C:\Anila\TGRP\Competitive Tracker\competitive-tracker\Rate Scanner\Queries\Query - TD Investment Savings Account.odc" keepAlive="1" name="Query - TD Investment Savings Account" description="Connection to the 'TD Investment Savings Account' query in the workbook." type="5" refreshedVersion="6" saveData="1">
    <dbPr connection="Provider=Microsoft.Mashup.OleDb.1;Data Source=$Workbook$;Location=TD Investment Savings Account;Extended Properties=&quot;&quot;" command="SELECT * FROM [TD Investment Savings Account]"/>
  </connection>
  <connection id="34" xr16:uid="{00000000-0015-0000-FFFF-FFFF25000000}" odcFile="C:\Anila\TGRP\Competitive Tracker\competitive-tracker\Rate Scanner\Queries\Query - TD Savings Accounts.odc" keepAlive="1" name="Query - TD Savings Accounts" description="Connection to the 'TD Savings Accounts' query in the workbook." type="5" refreshedVersion="6" saveData="1">
    <dbPr connection="Provider=Microsoft.Mashup.OleDb.1;Data Source=$Workbook$;Location=TD Savings Accounts;Extended Properties=&quot;&quot;" command="SELECT * FROM [TD Savings Accounts]"/>
  </connection>
  <connection id="35" xr16:uid="{00000000-0015-0000-FFFF-FFFF26000000}" odcFile="C:\Anila\TGRP\Competitive Tracker\competitive-tracker\Rate Scanner\Queries\Query - TD TFSA.odc" keepAlive="1" name="Query - TD TFSA" description="Connection to the 'TD TFSA' query in the workbook." type="5" refreshedVersion="6" background="1" saveData="1">
    <dbPr connection="Provider=Microsoft.Mashup.OleDb.1;Data Source=$Workbook$;Location=&quot;TD TFSA&quot;;Extended Properties=&quot;&quot;" command="SELECT * FROM [TD TFSA]"/>
  </connection>
  <connection id="36" xr16:uid="{36E7AC21-9877-429E-8F0D-FF2E922BB586}" odcFile="C:\Anila\TGRP\Competitive Tracker\competitive-tracker\Rate Scanner\Queries\Query - TD US Daily Interest.odc" keepAlive="1" name="Query - TD US Daily Interest" description="Connection to the 'TD US Daily Interest' query in the workbook." type="5" refreshedVersion="6" saveData="1">
    <dbPr connection="Provider=Microsoft.Mashup.OleDb.1;Data Source=$Workbook$;Location=TD US Daily Interest;Extended Properties=&quot;&quot;" command="SELECT * FROM [TD US Daily Interest]"/>
  </connection>
  <connection id="37" xr16:uid="{64BEC3B6-1CCF-4B60-B748-02C29AE48385}" keepAlive="1" name="Query - Wealthsimple Cash HISA" description="Connection to the 'Wealthsimple Cash HISA' query in the workbook." type="5" refreshedVersion="6" background="1" saveData="1">
    <dbPr connection="Provider=Microsoft.Mashup.OleDb.1;Data Source=$Workbook$;Location=Wealthsimple Cash HISA;Extended Properties=&quot;&quot;" command="SELECT * FROM [Wealthsimple Cash HIS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<sst xmlns="http://schemas.openxmlformats.org/spreadsheetml/2006/main" count="1186" uniqueCount="539">
  <si>
    <t>CIBC</t>
  </si>
  <si>
    <t>TDCT</t>
  </si>
  <si>
    <t>BMO</t>
  </si>
  <si>
    <t xml:space="preserve">BMO </t>
  </si>
  <si>
    <t>BNS</t>
  </si>
  <si>
    <t>RBC</t>
  </si>
  <si>
    <t>Simplii</t>
  </si>
  <si>
    <t>National Bank</t>
  </si>
  <si>
    <t xml:space="preserve">Manulife </t>
  </si>
  <si>
    <t>HSBC</t>
  </si>
  <si>
    <t>CDN TIRE</t>
  </si>
  <si>
    <t>B2B Bank</t>
  </si>
  <si>
    <t>Scotia iTrade</t>
  </si>
  <si>
    <t xml:space="preserve">Meridian Credit </t>
  </si>
  <si>
    <t>EQ Bank</t>
  </si>
  <si>
    <t>eAdvantage Savings Account</t>
  </si>
  <si>
    <t>Bonus Savings Account</t>
  </si>
  <si>
    <t>Premium Growth Account</t>
  </si>
  <si>
    <t>Everyday Savings Account</t>
  </si>
  <si>
    <t>High Interest Savings Account</t>
  </si>
  <si>
    <t>ePremium Savings Account</t>
  </si>
  <si>
    <t>Savings Accelerator</t>
  </si>
  <si>
    <t>Day to Day Savings Account</t>
  </si>
  <si>
    <t>High-Interest Savings Account</t>
  </si>
  <si>
    <t>Advantage Account</t>
  </si>
  <si>
    <t>High Interest Savings</t>
  </si>
  <si>
    <t>Cash Optimizer Investment</t>
  </si>
  <si>
    <t xml:space="preserve"> Union High Interest Savings Account </t>
  </si>
  <si>
    <t>Savings Plus Account</t>
  </si>
  <si>
    <t>Rate Effective Date</t>
  </si>
  <si>
    <t>Original Launch Date</t>
  </si>
  <si>
    <t>N/A</t>
  </si>
  <si>
    <t>Market Comparative (Jul 4, 2018)</t>
  </si>
  <si>
    <t>CIBC US$ Personal Account</t>
  </si>
  <si>
    <t>Renaissance High Interest Savings Account (USD)</t>
  </si>
  <si>
    <t>$10,000 - $24,999</t>
  </si>
  <si>
    <t>$5,000 - $9,999</t>
  </si>
  <si>
    <t>$3,000 - $4,999</t>
  </si>
  <si>
    <t>$1,000 - $2,999</t>
  </si>
  <si>
    <t>$0 - $999</t>
  </si>
  <si>
    <t>Type</t>
  </si>
  <si>
    <t>Retail</t>
  </si>
  <si>
    <t>Broker</t>
  </si>
  <si>
    <t>Altamira</t>
  </si>
  <si>
    <t>Home Trust</t>
  </si>
  <si>
    <t xml:space="preserve">Renaissance High Interest Savings Account </t>
  </si>
  <si>
    <t>Investment Savings Account</t>
  </si>
  <si>
    <t>High Interest Investment Account</t>
  </si>
  <si>
    <t>High Interest Savings Account Rate</t>
  </si>
  <si>
    <t>Rate</t>
  </si>
  <si>
    <t>RBC High Interest eSavings</t>
  </si>
  <si>
    <t>GICs</t>
  </si>
  <si>
    <t>Column1</t>
  </si>
  <si>
    <t>Column2</t>
  </si>
  <si>
    <t>Column3</t>
  </si>
  <si>
    <t>Interest Rate</t>
  </si>
  <si>
    <t>Interest Rate [%]</t>
  </si>
  <si>
    <t>$60,000.00 to $99,999.99</t>
  </si>
  <si>
    <t>$25,000.00 to $59,999.99</t>
  </si>
  <si>
    <t>Annual Rates</t>
  </si>
  <si>
    <t>Products</t>
  </si>
  <si>
    <t>No Fee Chequing Account</t>
  </si>
  <si>
    <t>Overdraft</t>
  </si>
  <si>
    <t>Variable Rate Mortgages</t>
  </si>
  <si>
    <t>Fixed Rate Mortgages</t>
  </si>
  <si>
    <t>Cashback Mortgages</t>
  </si>
  <si>
    <t>Convertible Mortgages</t>
  </si>
  <si>
    <t>Discontinued Mortgage Products</t>
  </si>
  <si>
    <t>GIC/RGIC</t>
  </si>
  <si>
    <t>RRSP Savings Account</t>
  </si>
  <si>
    <t>Tax-Free Savings Account</t>
  </si>
  <si>
    <t>Prime Rate</t>
  </si>
  <si>
    <t>SAVING ACCOUNTS</t>
  </si>
  <si>
    <t>HiSAVE Savings Account</t>
  </si>
  <si>
    <t>Premium Savings Account</t>
  </si>
  <si>
    <t>Young Stars Savings Account</t>
  </si>
  <si>
    <t>Canadian Dollar</t>
  </si>
  <si>
    <t>Daily closing balance</t>
  </si>
  <si>
    <t>Monthly</t>
  </si>
  <si>
    <t>US Dollar</t>
  </si>
  <si>
    <t>CHEQUING ACCOUNTS</t>
  </si>
  <si>
    <t>TFSA</t>
  </si>
  <si>
    <t>TF GIC</t>
  </si>
  <si>
    <t>RSP</t>
  </si>
  <si>
    <t>RSP Savings Account</t>
  </si>
  <si>
    <t>RSP GIC</t>
  </si>
  <si>
    <t>PRIME</t>
  </si>
  <si>
    <t>Savings Account</t>
  </si>
  <si>
    <t>Youth savings*</t>
  </si>
  <si>
    <t>Daily interest savings account*</t>
  </si>
  <si>
    <t>Corporate chequing-savings account*</t>
  </si>
  <si>
    <t>Corporate savings account*</t>
  </si>
  <si>
    <t>CDN $ Progress Account</t>
  </si>
  <si>
    <t>$0.00 to $1,999.99</t>
  </si>
  <si>
    <t>$100,000.00 and +</t>
  </si>
  <si>
    <t xml:space="preserve">High Interest Savings Account </t>
  </si>
  <si>
    <t>$5,000 and +</t>
  </si>
  <si>
    <t>US $ Progress Account</t>
  </si>
  <si>
    <t>$0 and +</t>
  </si>
  <si>
    <t>$1,000 and +</t>
  </si>
  <si>
    <t>$2,000 and +</t>
  </si>
  <si>
    <t>$10,000 and +</t>
  </si>
  <si>
    <t>Strategist Account or Natcan Strategist Account</t>
  </si>
  <si>
    <t>$25,000 and +</t>
  </si>
  <si>
    <t>$60,000 and +</t>
  </si>
  <si>
    <t>Crescendo Account</t>
  </si>
  <si>
    <t>$3,000 and +</t>
  </si>
  <si>
    <t>$30,000 and +</t>
  </si>
  <si>
    <t>Overdraft Rate applicable on personal and business accounts</t>
  </si>
  <si>
    <t>CDN $</t>
  </si>
  <si>
    <t>US $</t>
  </si>
  <si>
    <t>Dealer Trust Accounts</t>
  </si>
  <si>
    <t>Short-term Deposits (RSP and non-registered)</t>
  </si>
  <si>
    <t>Guaranteed Investment Certificates (RSP and non-registered)</t>
  </si>
  <si>
    <t>Tax-Free Guaranteed Investment Certificates</t>
  </si>
  <si>
    <t>Manulife One</t>
  </si>
  <si>
    <t>Manulife Bank Select</t>
  </si>
  <si>
    <t>Preferred Rate Mortgage</t>
  </si>
  <si>
    <t>Investment Loans</t>
  </si>
  <si>
    <t>RRSP Loans</t>
  </si>
  <si>
    <t>Lines of Credit</t>
  </si>
  <si>
    <t>Manuplus</t>
  </si>
  <si>
    <t>High Interest Savings*</t>
  </si>
  <si>
    <t>All Balances</t>
  </si>
  <si>
    <t>Accounts</t>
  </si>
  <si>
    <t>Cash Optimizer Investment Account</t>
  </si>
  <si>
    <t xml:space="preserve">Scotiabank® MomentumPLUS Savings Account </t>
  </si>
  <si>
    <t>Money Master® Savings Account</t>
  </si>
  <si>
    <t xml:space="preserve">Scotiabank® Savings Accelerator Account </t>
  </si>
  <si>
    <t>Banking Services</t>
  </si>
  <si>
    <t>High Interest Investment Account (HIIA)</t>
  </si>
  <si>
    <t>Money Maximizer</t>
  </si>
  <si>
    <t>High Interest Savings Account (HISA) (no longer available for sale)</t>
  </si>
  <si>
    <t>Business High Interest Savings Account (Business HISA) (no longer available for sale)</t>
  </si>
  <si>
    <t>Unlimited Chequing Account (no longer available for sale)</t>
  </si>
  <si>
    <t>Data.Daily Closing Balance</t>
  </si>
  <si>
    <t>Data.Rate</t>
  </si>
  <si>
    <t>CIBC eAdvantage® Savings Account</t>
  </si>
  <si>
    <t>CIBC Bonus Savings Account</t>
  </si>
  <si>
    <t>CIBC Premium Growth Account</t>
  </si>
  <si>
    <t>CIBC Advantage® for Youth</t>
  </si>
  <si>
    <t>Account Balance</t>
  </si>
  <si>
    <t>TD Every Day Savings Account1</t>
  </si>
  <si>
    <t>$0 to $999.99</t>
  </si>
  <si>
    <t>$1,000 to $4,999.99</t>
  </si>
  <si>
    <t>$5,000 to $9,999.99</t>
  </si>
  <si>
    <t>$10,000 to $24,999.99</t>
  </si>
  <si>
    <t>$25,000 to $59,999.99</t>
  </si>
  <si>
    <t>$60,000 and over</t>
  </si>
  <si>
    <t>TD High Interest Savings Account2</t>
  </si>
  <si>
    <t>$0 to $4,999.99</t>
  </si>
  <si>
    <t>TD ePremium Savings Account2</t>
  </si>
  <si>
    <t>Youth Account3,4</t>
  </si>
  <si>
    <t>$5,000 and over</t>
  </si>
  <si>
    <t>CAD High Rate Savings</t>
  </si>
  <si>
    <t>Product</t>
  </si>
  <si>
    <t>Get Started</t>
  </si>
  <si>
    <t>Open Online</t>
  </si>
  <si>
    <t>TFSA High Interest Savings</t>
  </si>
  <si>
    <t>RRSP High Interest Savings</t>
  </si>
  <si>
    <t>RRIF High Interest Savings</t>
  </si>
  <si>
    <t>Find a Branch</t>
  </si>
  <si>
    <t>Step 1: Scan websites for latest rates</t>
  </si>
  <si>
    <t>Step 2: Export Reports</t>
  </si>
  <si>
    <t>One Click Automation</t>
  </si>
  <si>
    <t>Interest Rates(3)</t>
  </si>
  <si>
    <t>CAD</t>
  </si>
  <si>
    <t>USD</t>
  </si>
  <si>
    <t>Series A</t>
  </si>
  <si>
    <t>Series F</t>
  </si>
  <si>
    <t>Corporate Series A</t>
  </si>
  <si>
    <t>Corporate Series F</t>
  </si>
  <si>
    <t>Notice Period Series A</t>
  </si>
  <si>
    <t>Notice Period Series F</t>
  </si>
  <si>
    <t>Scotia U.S. Dollar Daily Interest Account</t>
  </si>
  <si>
    <t>Column4</t>
  </si>
  <si>
    <t>Column5</t>
  </si>
  <si>
    <t>Column6</t>
  </si>
  <si>
    <t>NBI Altamira_x000D_
 CashPerformerAccount and NBI_x000D_
 Altamira U.S. CashPerformer_x000D_
 Account1</t>
  </si>
  <si>
    <t>FundSERV_x000D_
 Codes</t>
  </si>
  <si>
    <t>Rates2</t>
  </si>
  <si>
    <t>Minimum_x000D_
 investment</t>
  </si>
  <si>
    <t>Maximum_x000D_
 investment3</t>
  </si>
  <si>
    <t>NBI Altamira CashPerformer Account</t>
  </si>
  <si>
    <t>National Bank of Canada (NBC) _x000D_
 A Series</t>
  </si>
  <si>
    <t>NBC100</t>
  </si>
  <si>
    <t>$1,000</t>
  </si>
  <si>
    <t>$5,000,000</t>
  </si>
  <si>
    <t>National Bank of Canada (NBC)_x000D_
 F Series</t>
  </si>
  <si>
    <t>NBC200</t>
  </si>
  <si>
    <t>National Bank Trust (NBT)  _x000D_
 A Series</t>
  </si>
  <si>
    <t>NBC6100</t>
  </si>
  <si>
    <t>$150,000</t>
  </si>
  <si>
    <t>National Bank Trust (NBT)  _x000D_
 F Series</t>
  </si>
  <si>
    <t>NBC6200</t>
  </si>
  <si>
    <t>Natcan Trust Company (NTC)  _x000D_
 A Series</t>
  </si>
  <si>
    <t>NBC8100</t>
  </si>
  <si>
    <t>Natcan Trust Company (NTC)  _x000D_
 F Series</t>
  </si>
  <si>
    <t>NBC8200</t>
  </si>
  <si>
    <t>NBI Altamira U.S. CashPerformer Account</t>
  </si>
  <si>
    <t>National Bank of Canada (NBC)  _x000D_
 A Series</t>
  </si>
  <si>
    <t>NBC101</t>
  </si>
  <si>
    <t>National Bank of Canada (NBC)  _x000D_
 F Series</t>
  </si>
  <si>
    <t>NBC201</t>
  </si>
  <si>
    <t>Account Name</t>
  </si>
  <si>
    <t>Currency</t>
  </si>
  <si>
    <t>Minimum1</t>
  </si>
  <si>
    <t>Maximum</t>
  </si>
  <si>
    <t>Current Rate2</t>
  </si>
  <si>
    <t>TD Investment Savings Account
_x000D_
TDB8150</t>
  </si>
  <si>
    <t>$5 Million</t>
  </si>
  <si>
    <t>TD Investment Savings Account
_x000D_
TDB8152</t>
  </si>
  <si>
    <t>TD Investment Savings Account (TDMC)
_x000D_
TDB8155</t>
  </si>
  <si>
    <t>TD Investment Savings Account (TDPMC)
_x000D_
TDB8157</t>
  </si>
  <si>
    <t>TD Investment Savings Account (CTC)
_x000D_
TDB8159</t>
  </si>
  <si>
    <t>Date</t>
  </si>
  <si>
    <t>Up to $24,999.99</t>
  </si>
  <si>
    <t>Between $25,000 and $49,999.99</t>
  </si>
  <si>
    <t>Between $50,000 and $99,999.99</t>
  </si>
  <si>
    <t>$100,000.00 and over</t>
  </si>
  <si>
    <t>Balance</t>
  </si>
  <si>
    <t>up to $250,000.00</t>
  </si>
  <si>
    <t>$250,000.01 and over</t>
  </si>
  <si>
    <t>Balance up to $4,999</t>
  </si>
  <si>
    <t>Balance $5,000 or more</t>
  </si>
  <si>
    <t>Balance $3,000 or more</t>
  </si>
  <si>
    <t>Portion $60,000 and over</t>
  </si>
  <si>
    <t>Balance up to $2,999.99</t>
  </si>
  <si>
    <t>Balance $3,000 to $9,999.99</t>
  </si>
  <si>
    <t>Balance $10,000 to $24,999.99</t>
  </si>
  <si>
    <t>Balance $25,000 to $59,999.99</t>
  </si>
  <si>
    <t>Query Outcome Summary</t>
  </si>
  <si>
    <t>Number</t>
  </si>
  <si>
    <t>Table Name</t>
  </si>
  <si>
    <t>Status</t>
  </si>
  <si>
    <t>Message</t>
  </si>
  <si>
    <t>Lower Bound</t>
  </si>
  <si>
    <t>Competitive Tracker</t>
  </si>
  <si>
    <t>Smart Saver Account - CAD</t>
  </si>
  <si>
    <t>Premium Rate Savings Account - CAD</t>
  </si>
  <si>
    <t>Personal accounts no longer offered - CAD</t>
  </si>
  <si>
    <t>Savings Builder Account - CAD</t>
  </si>
  <si>
    <t>Premium Rate Savings Account - US</t>
  </si>
  <si>
    <t>Special Project Savings Account*</t>
  </si>
  <si>
    <t>$100,000 and +</t>
  </si>
  <si>
    <t>Tangerine</t>
  </si>
  <si>
    <t>If Balance is</t>
  </si>
  <si>
    <t>RBC Enhanced Savings®</t>
  </si>
  <si>
    <t>RBC Day to Day Savings®</t>
  </si>
  <si>
    <t>Find &amp; Save™</t>
  </si>
  <si>
    <t>RBC Leo's Young Savers Account®</t>
  </si>
  <si>
    <t>Banking Accounts</t>
  </si>
  <si>
    <t>Banking Accounts for Students</t>
  </si>
  <si>
    <t>RBC Day to Day Banking® linked to VIP1, PRF2 or PRI3</t>
  </si>
  <si>
    <t>RBC Day to Day Savings® linked to VIP1, PRF2 or PRI3</t>
  </si>
  <si>
    <t>RBC Enhanced Savings® linked to VIP1, PRF2 or PRI3</t>
  </si>
  <si>
    <t>U.S. Personal™ Account linked to VIP1, PRF2 or PRI3</t>
  </si>
  <si>
    <t>RBC US High Interest eSavings™</t>
  </si>
  <si>
    <t>U.S. Personal™ Account</t>
  </si>
  <si>
    <t>RateLink Preference® Private Banking including linked accounts4,5</t>
  </si>
  <si>
    <t>RBC Private Banking™</t>
  </si>
  <si>
    <t>RBC Private Banking Savings™</t>
  </si>
  <si>
    <t>RBC Private Banking Enhanced Savings™</t>
  </si>
  <si>
    <t>U.S. Personal™ Private Banking</t>
  </si>
  <si>
    <t>RateLink Essential® and RateLink Preference® including linked accounts4,5</t>
  </si>
  <si>
    <t>Royal Money Maker Plus® Sixty-Plus®</t>
  </si>
  <si>
    <t>Calculator Plus® Sixty-Plus®</t>
  </si>
  <si>
    <t>Signature Plus® Sixty-Plus®</t>
  </si>
  <si>
    <t>U.S. Personal™ Sixty-Plus®</t>
  </si>
  <si>
    <t xml:space="preserve">RBC Day to Day Banking®Special </t>
  </si>
  <si>
    <t>RBC Day to Day Savings®Special</t>
  </si>
  <si>
    <t>RBC Enhanced Savings®Special</t>
  </si>
  <si>
    <t>U.S. Personal™ Account Special</t>
  </si>
  <si>
    <t>Royal Trust Alliance Plan® including linked accounts4</t>
  </si>
  <si>
    <t>Royal Trust T-Bills Savings®</t>
  </si>
  <si>
    <t>Royal Trust Daily Interest Savings</t>
  </si>
  <si>
    <t>Royal Trust Daily Interest Chequing®</t>
  </si>
  <si>
    <t>Royal Trust US Daily Interest®</t>
  </si>
  <si>
    <t>Premium Interest Rate</t>
  </si>
  <si>
    <t>Total Annual Interest Rate</t>
  </si>
  <si>
    <t>Regular Interest Rate</t>
  </si>
  <si>
    <t>B2B Bank Chequing Account ($0 - $49,999.99)4</t>
  </si>
  <si>
    <t>B2B Bank Chequing Account ($50,000.00 - $99,999.99)4</t>
  </si>
  <si>
    <t>B2B Bank Chequing Account ($100,000.00+)4</t>
  </si>
  <si>
    <t>CAD $</t>
  </si>
  <si>
    <t>U.S. $</t>
  </si>
  <si>
    <t xml:space="preserve">Scotiabank® Momentum Savings Account TM  </t>
  </si>
  <si>
    <t>Scotiabank® Savings Accelerator Account - Tax-Free Savings Account</t>
  </si>
  <si>
    <t>Execution Time</t>
  </si>
  <si>
    <t>RBC Investment Savings Account</t>
  </si>
  <si>
    <t>Account</t>
  </si>
  <si>
    <t>Smart Saver</t>
  </si>
  <si>
    <t>Momentum Plus Savings</t>
  </si>
  <si>
    <t>Money Master</t>
  </si>
  <si>
    <t>High Interest eSavings</t>
  </si>
  <si>
    <t>Enhanced Savings</t>
  </si>
  <si>
    <t>Savings Acount</t>
  </si>
  <si>
    <t>HiSave Savings</t>
  </si>
  <si>
    <t>$0.00 and up</t>
  </si>
  <si>
    <t>x</t>
  </si>
  <si>
    <t>ICICI</t>
  </si>
  <si>
    <t>Manulife</t>
  </si>
  <si>
    <t>US$ Personal Account</t>
  </si>
  <si>
    <t>US$ Daily Interest Chequing &amp; Borderless Account</t>
  </si>
  <si>
    <t>Investment Savings Account (US$)</t>
  </si>
  <si>
    <t>US$ High Interest eSavings Account</t>
  </si>
  <si>
    <t>US$ Investment Savings Account</t>
  </si>
  <si>
    <t>US$ Premium Rate Savings Account</t>
  </si>
  <si>
    <t>US$ Daily Interest Account</t>
  </si>
  <si>
    <t>US$ Savings Account</t>
  </si>
  <si>
    <t>US$ HiSave Savings Account</t>
  </si>
  <si>
    <t>US$ Advantage Account</t>
  </si>
  <si>
    <t>US$ Cash Performer</t>
  </si>
  <si>
    <t>Cash Optimizer US$ Account</t>
  </si>
  <si>
    <t>$150,000 - $249,999</t>
  </si>
  <si>
    <t>$100,000 - $149,999</t>
  </si>
  <si>
    <t>$60,000 - $99,999</t>
  </si>
  <si>
    <t>$50,000 - $59,999</t>
  </si>
  <si>
    <t>$25,000 - $49,999</t>
  </si>
  <si>
    <t>Renaissance High Interest Savings Account</t>
  </si>
  <si>
    <t>TD daily interest chequing and borderless account</t>
  </si>
  <si>
    <t>US Dollar Investment Savings Account</t>
  </si>
  <si>
    <t>$0 - $99,999</t>
  </si>
  <si>
    <t xml:space="preserve">$100,000 or more </t>
  </si>
  <si>
    <t>Investment Savings Account (TDMC)</t>
  </si>
  <si>
    <t xml:space="preserve">Investment Savings Account (TDPMC) </t>
  </si>
  <si>
    <t>Investment Savings Account (CTC)</t>
  </si>
  <si>
    <t>Investment Saving Account</t>
  </si>
  <si>
    <t>Class A</t>
  </si>
  <si>
    <t>Investment Savings Account (Personal)</t>
  </si>
  <si>
    <t>Column1.2</t>
  </si>
  <si>
    <t>Column1.1</t>
  </si>
  <si>
    <t>$5,000.00 to $49,999.99</t>
  </si>
  <si>
    <t>$50,000.00 to $99,999.99</t>
  </si>
  <si>
    <t>$250,000.00 to $1,000,000.00</t>
  </si>
  <si>
    <t>$1,000,000.01 and over</t>
  </si>
  <si>
    <t>$0 to $9,999.99</t>
  </si>
  <si>
    <t>$10,000.00 to $49,999.99</t>
  </si>
  <si>
    <t>$100,000.00 to $249,999.99</t>
  </si>
  <si>
    <t>High Interest Savings Account (CTC)</t>
  </si>
  <si>
    <t>Everyday Banking Account</t>
  </si>
  <si>
    <t>ISA CAD</t>
  </si>
  <si>
    <t>Scotia Euro Daily Interest Savings Account</t>
  </si>
  <si>
    <t>Money Master® for business (not available)</t>
  </si>
  <si>
    <t>Scotia Power Savings Account TM (not available)</t>
  </si>
  <si>
    <t>Scotia Power Savings for business (not available)</t>
  </si>
  <si>
    <t>Scotia® Tax-Free Savings Account1 (not available)</t>
  </si>
  <si>
    <t>Investment Cash# (not available)</t>
  </si>
  <si>
    <t>Business Advantage Account</t>
  </si>
  <si>
    <t>Tax-Free Advantage Account</t>
  </si>
  <si>
    <t>Registered Advantage Account</t>
  </si>
  <si>
    <t>Retirement Income Advantage Account</t>
  </si>
  <si>
    <t>US$ Business Advantage Account</t>
  </si>
  <si>
    <t>All in Banking Package</t>
  </si>
  <si>
    <t>High-interest Advantage Account</t>
  </si>
  <si>
    <t>$500 - $999</t>
  </si>
  <si>
    <t>$0 - $499</t>
  </si>
  <si>
    <t>$150,000 +</t>
  </si>
  <si>
    <t>TD Investment Savings Account</t>
  </si>
  <si>
    <t>TD Every Day Savings Account</t>
  </si>
  <si>
    <t>Market Comparative (Jul 18, 2018)</t>
  </si>
  <si>
    <t>Market Comparative (Jul 17, 2018)</t>
  </si>
  <si>
    <t>Canadian Dollar Savings Accounts</t>
  </si>
  <si>
    <t>Savings Builder Account</t>
  </si>
  <si>
    <t>High Rate Savings</t>
  </si>
  <si>
    <t>Premium Rate Savings Account</t>
  </si>
  <si>
    <t>High-Interest Cash Performer (NBC)</t>
  </si>
  <si>
    <t>USD High Rate Savings</t>
  </si>
  <si>
    <t>GBP High Rate Savings*</t>
  </si>
  <si>
    <t>EUR High Rate Savings*</t>
  </si>
  <si>
    <t>HKD Foreign Currency Savings</t>
  </si>
  <si>
    <t>RMB Foreign Currency Savings</t>
  </si>
  <si>
    <t>Up to $24,999.99</t>
  </si>
  <si>
    <t>$100,000.00 and over*</t>
  </si>
  <si>
    <t xml:space="preserve">USD High Rate Savings </t>
  </si>
  <si>
    <t>US$ Investment Savings Account (Personal)</t>
  </si>
  <si>
    <t>CDN Retail Accounts</t>
  </si>
  <si>
    <t>USD Retail &amp; Class A Broker Accounts</t>
  </si>
  <si>
    <t>CDN Class A Broker Accounts</t>
  </si>
  <si>
    <t>$5,000.00 to $24,999.99</t>
  </si>
  <si>
    <t>Business High Interest Savings Account (Business HISA)2 (no longer available for sale)</t>
  </si>
  <si>
    <t>Text</t>
  </si>
  <si>
    <t>Current Canadian Interest Rate</t>
  </si>
  <si>
    <t>Current U.S. Interest Rate</t>
  </si>
  <si>
    <t>ISA US</t>
  </si>
  <si>
    <t>Borderless Plan 4,5</t>
  </si>
  <si>
    <t>Attempts</t>
  </si>
  <si>
    <t>CIBC_Savings_Accounts</t>
  </si>
  <si>
    <t>Success</t>
  </si>
  <si>
    <t>CIBC_Wood_Gundy_HISA_CTC</t>
  </si>
  <si>
    <t>CIBC_Renaissance_HISA</t>
  </si>
  <si>
    <t>BMO_Savings_Accounts</t>
  </si>
  <si>
    <t>BNS_Savings_Accounts</t>
  </si>
  <si>
    <t>BNS_Cash_Optimizer_Investment</t>
  </si>
  <si>
    <t>Simplii_HISA</t>
  </si>
  <si>
    <t>NBC_Bank_Accounts</t>
  </si>
  <si>
    <t>HSBC_CAD_Savings</t>
  </si>
  <si>
    <t>HSBC_Foreign_Savings</t>
  </si>
  <si>
    <t>B2B_Rates</t>
  </si>
  <si>
    <t>Meridian_Rates</t>
  </si>
  <si>
    <t>Altamira_Rates</t>
  </si>
  <si>
    <t>Home_Trust_Company</t>
  </si>
  <si>
    <t>CT_HISA</t>
  </si>
  <si>
    <t>TD_Savings_Accounts</t>
  </si>
  <si>
    <t>TD_Investment_Savings_Account</t>
  </si>
  <si>
    <t>TD_US_Daily_Interest</t>
  </si>
  <si>
    <t>RBC_Investment_Savings_Account</t>
  </si>
  <si>
    <t>RBC_Personal_Accounts</t>
  </si>
  <si>
    <t>Manulife_ISA</t>
  </si>
  <si>
    <t>$2,000.00 to $4,999.99</t>
  </si>
  <si>
    <t>0.25%</t>
  </si>
  <si>
    <t>0.50%</t>
  </si>
  <si>
    <t>0.45% p.a.</t>
  </si>
  <si>
    <t>High-Interest Savings Account*</t>
  </si>
  <si>
    <t>Secured overdraft**</t>
  </si>
  <si>
    <t>Data.Annual rate</t>
  </si>
  <si>
    <t>Data.Daily balance</t>
  </si>
  <si>
    <t>up to $250,000.00 when you increase your balance by $200.00 or more per month*17</t>
  </si>
  <si>
    <t>up to $4,999.99*19</t>
  </si>
  <si>
    <t>$5,000.00 and over*19</t>
  </si>
  <si>
    <t>up to $59,999.99*19</t>
  </si>
  <si>
    <t>$60,000.00 and over*19</t>
  </si>
  <si>
    <t>up to $4,999.99*18</t>
  </si>
  <si>
    <t>$5,000.00 - $24,999.99*18</t>
  </si>
  <si>
    <t>$25,000.00 - $59,999.99*19</t>
  </si>
  <si>
    <t>$60,000 and over*19</t>
  </si>
  <si>
    <t>0.50% p.a.</t>
  </si>
  <si>
    <t>0.40% p.a.</t>
  </si>
  <si>
    <t>High Interest Savings Account (HISA)2 (Up to and including $500,000)</t>
  </si>
  <si>
    <t>High Interest Savings Account (HISA)2 ($500,000.01+)</t>
  </si>
  <si>
    <t>Manulife_All_In_and_Advantage</t>
  </si>
  <si>
    <t>ICICI_Savings_Accounts</t>
  </si>
  <si>
    <t>$0.00 to $999.99</t>
  </si>
  <si>
    <t>0.000</t>
  </si>
  <si>
    <t>$1,000.00 to $2,999.99</t>
  </si>
  <si>
    <t>$3,000.00 to $4,999.99</t>
  </si>
  <si>
    <t>0.001</t>
  </si>
  <si>
    <t>$60,000.00 and over</t>
  </si>
  <si>
    <t>0.001 P</t>
  </si>
  <si>
    <t>$5,000.00 and over</t>
  </si>
  <si>
    <t>0.005</t>
  </si>
  <si>
    <t>0.010</t>
  </si>
  <si>
    <t>0.010 P</t>
  </si>
  <si>
    <t>$0.00 to $4,999.99</t>
  </si>
  <si>
    <t>$5,000.00 to $9,999.99</t>
  </si>
  <si>
    <t>$10,000.00 to $24,999.99</t>
  </si>
  <si>
    <t>$100,000.00 to $149,999.99</t>
  </si>
  <si>
    <t>$150,000.00 to $249,999.99</t>
  </si>
  <si>
    <t>$250,000.00 and over</t>
  </si>
  <si>
    <t>$0.00 and $999.99</t>
  </si>
  <si>
    <t>$1,000.00 and $2,999.99</t>
  </si>
  <si>
    <t>$3,000.00 and $4,999.99</t>
  </si>
  <si>
    <t>$5,000.00 and $9,999.99</t>
  </si>
  <si>
    <t>$10,000.00 and $24,999.99</t>
  </si>
  <si>
    <t>$25,000.00 and $59,999.99</t>
  </si>
  <si>
    <t>$60,000.00 and $99,999.99</t>
  </si>
  <si>
    <t>0.005 P</t>
  </si>
  <si>
    <t>$100,000.00 and $149,999.99</t>
  </si>
  <si>
    <t>$150,000.00 and $249,999.99</t>
  </si>
  <si>
    <t>$0.00 to $499.99</t>
  </si>
  <si>
    <t>$500.00 to $999.99</t>
  </si>
  <si>
    <t>$0.00 to $2,999.99</t>
  </si>
  <si>
    <t>0.050 P</t>
  </si>
  <si>
    <t>0.100 P</t>
  </si>
  <si>
    <t>$250,000.00 and $499,999.99</t>
  </si>
  <si>
    <t>$500,000.00 and $999,999.99</t>
  </si>
  <si>
    <t>$1,000,000.00 and over</t>
  </si>
  <si>
    <t>All balances</t>
  </si>
  <si>
    <t>0.050</t>
  </si>
  <si>
    <t>Cash HISA Account</t>
  </si>
  <si>
    <t>Annual Rate</t>
  </si>
  <si>
    <t>Wealthsimple</t>
  </si>
  <si>
    <t>High Interest Savings Cash</t>
  </si>
  <si>
    <t>ISA Annual Rate</t>
  </si>
  <si>
    <t>Laurentian Bank</t>
  </si>
  <si>
    <t>ACCOUNT BALANCE</t>
  </si>
  <si>
    <t>ANNUAL INTEREST RATE ON JULY 6, 2020</t>
  </si>
  <si>
    <t>Up to and including $500,000</t>
  </si>
  <si>
    <t>$500,000.01 +0</t>
  </si>
  <si>
    <t>High Interest Savings Tiered</t>
  </si>
  <si>
    <t>$250,000.01 - $500,000</t>
  </si>
  <si>
    <t>$500,000.01 +</t>
  </si>
  <si>
    <t>Wealthsimple_Cash_HISA</t>
  </si>
  <si>
    <t>LBC_DIgital_High_Interest_Savings_Account__HISA__rates</t>
  </si>
  <si>
    <t>High-interest savings account</t>
  </si>
  <si>
    <t>Motusbank</t>
  </si>
  <si>
    <t>Motive Financial</t>
  </si>
  <si>
    <t>Motive® Savings Account</t>
  </si>
  <si>
    <t>Motive Savvy Savings Account</t>
  </si>
  <si>
    <t>$0 - $5,000,000</t>
  </si>
  <si>
    <t>$5,000,000.01 and over</t>
  </si>
  <si>
    <t>$0 and over</t>
  </si>
  <si>
    <t>MotusBank_HISA</t>
  </si>
  <si>
    <t>Motive__Savings_Account1_2</t>
  </si>
  <si>
    <t>Motive_Savvy_Savings_Account</t>
  </si>
  <si>
    <t xml:space="preserve"> </t>
  </si>
  <si>
    <t>Interest Rate.1</t>
  </si>
  <si>
    <t>$0 - $4,999</t>
  </si>
  <si>
    <t>0.020%</t>
  </si>
  <si>
    <t/>
  </si>
  <si>
    <t>$5,000 or more</t>
  </si>
  <si>
    <t>Under $25,000</t>
  </si>
  <si>
    <t>0.000%</t>
  </si>
  <si>
    <t>$25,000 - $2,000,000</t>
  </si>
  <si>
    <t>Under $5,000</t>
  </si>
  <si>
    <t>Under €4,999</t>
  </si>
  <si>
    <t>€5,000 - €9,999</t>
  </si>
  <si>
    <t>0.010%</t>
  </si>
  <si>
    <t>€10,000 - €24,999</t>
  </si>
  <si>
    <t>0.025%</t>
  </si>
  <si>
    <t>€25,000 - €59,999</t>
  </si>
  <si>
    <t>0.050%</t>
  </si>
  <si>
    <t>€60,000 or more</t>
  </si>
  <si>
    <t>0.100%</t>
  </si>
  <si>
    <t>Under $1,000</t>
  </si>
  <si>
    <t>$1,000 - $4,999</t>
  </si>
  <si>
    <t>$25,000 - $59,999</t>
  </si>
  <si>
    <t>$60,000 or more</t>
  </si>
  <si>
    <t>0.150%</t>
  </si>
  <si>
    <t>$0 - $249,999</t>
  </si>
  <si>
    <t>$250,000 or more</t>
  </si>
  <si>
    <t>0.200%</t>
  </si>
  <si>
    <t>$5,000 - $249,999</t>
  </si>
  <si>
    <t>0</t>
  </si>
  <si>
    <t>0.450%</t>
  </si>
  <si>
    <t>0.400%</t>
  </si>
  <si>
    <t>360-Day Premium Period</t>
  </si>
  <si>
    <t>1.150%</t>
  </si>
  <si>
    <t>1.100%</t>
  </si>
  <si>
    <t>270-Day Premium Period</t>
  </si>
  <si>
    <t>0.800%</t>
  </si>
  <si>
    <t>0.750%</t>
  </si>
  <si>
    <t>180-Day Premium Period</t>
  </si>
  <si>
    <t>0.700%</t>
  </si>
  <si>
    <t>0.650%</t>
  </si>
  <si>
    <t>90-Day Premium Period</t>
  </si>
  <si>
    <t>0.600%</t>
  </si>
  <si>
    <t>0.550%</t>
  </si>
  <si>
    <t>Momentum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</si>
</sst>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"/>
    <numFmt numFmtId="165" formatCode="0.0"/>
  </numFmts>
  <fonts count="16" x14ac:knownFonts="1"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20"/>
      <name val="Times New Roman"/>
      <family val="1"/>
    </font>
    <font>
      <sz val="10"/>
      <name val="Times New Roman"/>
      <family val="1"/>
    </font>
    <font>
      <b/>
      <u/>
      <sz val="20"/>
      <name val="Times New Roman"/>
      <family val="1"/>
    </font>
    <font>
      <b/>
      <u/>
      <sz val="10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0"/>
      <name val="Times New Roman"/>
      <family val="1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A0A0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left"/>
    </xf>
    <xf numFmtId="164" fontId="3" fillId="0" borderId="1" xfId="0" applyNumberFormat="1" applyFont="1" applyBorder="1" applyAlignment="1">
      <alignment horizontal="center"/>
    </xf>
    <xf numFmtId="164" fontId="3" fillId="3" borderId="1" xfId="0" applyNumberFormat="1" applyFont="1" applyFill="1" applyBorder="1" applyAlignment="1">
      <alignment horizontal="center"/>
    </xf>
    <xf numFmtId="0" fontId="3" fillId="0" borderId="1" xfId="0" applyFont="1" applyBorder="1"/>
    <xf numFmtId="17" fontId="3" fillId="0" borderId="1" xfId="0" applyNumberFormat="1" applyFont="1" applyBorder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0" fillId="6" borderId="0" xfId="0" applyFill="1" applyBorder="1"/>
    <xf numFmtId="0" fontId="9" fillId="7" borderId="1" xfId="0" applyFont="1" applyFill="1" applyBorder="1" applyAlignment="1">
      <alignment horizontal="center" vertical="center"/>
    </xf>
    <xf numFmtId="0" fontId="0" fillId="9" borderId="1" xfId="0" applyFill="1" applyBorder="1"/>
    <xf numFmtId="0" fontId="3" fillId="0" borderId="0" xfId="0" applyFont="1" applyFill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0" fillId="8" borderId="4" xfId="0" applyFill="1" applyBorder="1"/>
    <xf numFmtId="0" fontId="0" fillId="8" borderId="3" xfId="0" applyFill="1" applyBorder="1"/>
    <xf numFmtId="0" fontId="0" fillId="8" borderId="2" xfId="0" applyFill="1" applyBorder="1"/>
    <xf numFmtId="0" fontId="0" fillId="9" borderId="2" xfId="0" applyFill="1" applyBorder="1"/>
    <xf numFmtId="0" fontId="0" fillId="7" borderId="2" xfId="0" applyFill="1" applyBorder="1"/>
    <xf numFmtId="0" fontId="0" fillId="6" borderId="0" xfId="0" applyFill="1" applyBorder="1" applyAlignment="1">
      <alignment horizontal="left"/>
    </xf>
    <xf numFmtId="0" fontId="10" fillId="0" borderId="0" xfId="0" applyFont="1"/>
    <xf numFmtId="0" fontId="11" fillId="0" borderId="0" xfId="0" applyFont="1" applyAlignment="1">
      <alignment vertical="center"/>
    </xf>
    <xf numFmtId="164" fontId="3" fillId="0" borderId="1" xfId="0" applyNumberFormat="1" applyFont="1" applyFill="1" applyBorder="1" applyAlignment="1">
      <alignment horizontal="center"/>
    </xf>
    <xf numFmtId="0" fontId="0" fillId="0" borderId="0" xfId="0"/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5" fillId="0" borderId="0" xfId="0" quotePrefix="1" applyFont="1" applyFill="1" applyAlignment="1">
      <alignment horizontal="left"/>
    </xf>
    <xf numFmtId="0" fontId="2" fillId="0" borderId="0" xfId="0" applyFont="1" applyAlignment="1"/>
    <xf numFmtId="0" fontId="3" fillId="4" borderId="6" xfId="0" applyFont="1" applyFill="1" applyBorder="1"/>
    <xf numFmtId="0" fontId="3" fillId="4" borderId="7" xfId="0" applyFont="1" applyFill="1" applyBorder="1" applyAlignment="1">
      <alignment horizontal="center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0" fillId="3" borderId="0" xfId="0" applyFill="1" applyBorder="1"/>
    <xf numFmtId="0" fontId="8" fillId="0" borderId="0" xfId="0" applyFont="1" applyBorder="1"/>
    <xf numFmtId="0" fontId="7" fillId="0" borderId="0" xfId="0" applyFont="1" applyBorder="1"/>
    <xf numFmtId="0" fontId="7" fillId="3" borderId="0" xfId="0" applyFont="1" applyFill="1" applyBorder="1"/>
    <xf numFmtId="0" fontId="0" fillId="0" borderId="0" xfId="0" applyBorder="1"/>
    <xf numFmtId="0" fontId="3" fillId="4" borderId="8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3" fillId="10" borderId="9" xfId="0" applyFont="1" applyFill="1" applyBorder="1"/>
    <xf numFmtId="0" fontId="13" fillId="10" borderId="10" xfId="0" applyFont="1" applyFill="1" applyBorder="1"/>
    <xf numFmtId="0" fontId="13" fillId="10" borderId="11" xfId="0" applyFont="1" applyFill="1" applyBorder="1"/>
    <xf numFmtId="0" fontId="7" fillId="0" borderId="0" xfId="0" applyFont="1" applyFill="1" applyBorder="1"/>
    <xf numFmtId="0" fontId="4" fillId="0" borderId="0" xfId="0" applyFont="1" applyAlignment="1"/>
    <xf numFmtId="0" fontId="0" fillId="11" borderId="9" xfId="0" applyNumberFormat="1" applyFont="1" applyFill="1" applyBorder="1"/>
    <xf numFmtId="0" fontId="0" fillId="0" borderId="9" xfId="0" applyNumberFormat="1" applyFont="1" applyBorder="1"/>
    <xf numFmtId="0" fontId="0" fillId="11" borderId="11" xfId="0" applyFont="1" applyFill="1" applyBorder="1"/>
    <xf numFmtId="0" fontId="0" fillId="11" borderId="10" xfId="0" applyFont="1" applyFill="1" applyBorder="1"/>
    <xf numFmtId="0" fontId="0" fillId="0" borderId="11" xfId="0" applyFont="1" applyBorder="1"/>
    <xf numFmtId="0" fontId="0" fillId="0" borderId="10" xfId="0" applyFont="1" applyBorder="1"/>
    <xf numFmtId="0" fontId="3" fillId="4" borderId="5" xfId="0" applyFont="1" applyFill="1" applyBorder="1" applyAlignment="1">
      <alignment horizontal="center"/>
    </xf>
    <xf numFmtId="0" fontId="4" fillId="0" borderId="0" xfId="0" applyFont="1" applyFill="1"/>
    <xf numFmtId="0" fontId="0" fillId="0" borderId="0" xfId="0" applyNumberFormat="1" applyBorder="1"/>
    <xf numFmtId="0" fontId="4" fillId="0" borderId="0" xfId="0" applyFont="1" applyFill="1" applyAlignment="1"/>
    <xf numFmtId="17" fontId="3" fillId="0" borderId="1" xfId="0" applyNumberFormat="1" applyFont="1" applyFill="1" applyBorder="1" applyAlignment="1">
      <alignment horizontal="center"/>
    </xf>
    <xf numFmtId="0" fontId="12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0" fontId="0" fillId="11" borderId="12" xfId="0" applyFont="1" applyFill="1" applyBorder="1"/>
    <xf numFmtId="0" fontId="13" fillId="10" borderId="13" xfId="0" applyFont="1" applyFill="1" applyBorder="1"/>
    <xf numFmtId="0" fontId="3" fillId="5" borderId="14" xfId="0" applyFont="1" applyFill="1" applyBorder="1" applyAlignment="1">
      <alignment horizontal="center" wrapText="1"/>
    </xf>
    <xf numFmtId="4" fontId="0" fillId="0" borderId="0" xfId="0" applyNumberFormat="1"/>
    <xf numFmtId="0" fontId="0" fillId="0" borderId="0" xfId="0" applyFill="1"/>
    <xf numFmtId="0" fontId="3" fillId="5" borderId="5" xfId="0" applyFont="1" applyFill="1" applyBorder="1" applyAlignment="1">
      <alignment horizontal="center" wrapText="1"/>
    </xf>
    <xf numFmtId="3" fontId="0" fillId="0" borderId="0" xfId="0" applyNumberFormat="1"/>
    <xf numFmtId="0" fontId="0" fillId="12" borderId="0" xfId="0" applyFill="1"/>
    <xf numFmtId="0" fontId="3" fillId="0" borderId="0" xfId="0" applyFont="1" applyFill="1"/>
    <xf numFmtId="0" fontId="3" fillId="0" borderId="1" xfId="0" applyFont="1" applyFill="1" applyBorder="1" applyAlignment="1">
      <alignment horizontal="left"/>
    </xf>
    <xf numFmtId="0" fontId="3" fillId="0" borderId="1" xfId="0" applyFont="1" applyFill="1" applyBorder="1"/>
    <xf numFmtId="0" fontId="9" fillId="7" borderId="1" xfId="0" applyFont="1" applyFill="1" applyBorder="1" applyAlignment="1">
      <alignment horizontal="center" vertical="center"/>
    </xf>
    <xf numFmtId="0" fontId="12" fillId="13" borderId="1" xfId="0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</cellXfs>
  <cellStyles count="1">
    <cellStyle name="Normal" xfId="0" builtinId="0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A0A0A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10</xdr:row>
          <xdr:rowOff>95250</xdr:rowOff>
        </xdr:from>
        <xdr:to>
          <xdr:col>1</xdr:col>
          <xdr:colOff>1498600</xdr:colOff>
          <xdr:row>12</xdr:row>
          <xdr:rowOff>107950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2000250</xdr:colOff>
          <xdr:row>10</xdr:row>
          <xdr:rowOff>95250</xdr:rowOff>
        </xdr:from>
        <xdr:to>
          <xdr:col>1</xdr:col>
          <xdr:colOff>3390900</xdr:colOff>
          <xdr:row>12</xdr:row>
          <xdr:rowOff>107950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US$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3886200</xdr:colOff>
          <xdr:row>10</xdr:row>
          <xdr:rowOff>107950</xdr:rowOff>
        </xdr:from>
        <xdr:to>
          <xdr:col>1</xdr:col>
          <xdr:colOff>5276850</xdr:colOff>
          <xdr:row>12</xdr:row>
          <xdr:rowOff>114300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Broker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1479550</xdr:colOff>
          <xdr:row>13</xdr:row>
          <xdr:rowOff>88900</xdr:rowOff>
        </xdr:from>
        <xdr:to>
          <xdr:col>1</xdr:col>
          <xdr:colOff>3905250</xdr:colOff>
          <xdr:row>15</xdr:row>
          <xdr:rowOff>76200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All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1498600</xdr:colOff>
          <xdr:row>18</xdr:row>
          <xdr:rowOff>152400</xdr:rowOff>
        </xdr:from>
        <xdr:to>
          <xdr:col>1</xdr:col>
          <xdr:colOff>4019550</xdr:colOff>
          <xdr:row>22</xdr:row>
          <xdr:rowOff>38100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&amp; Export All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1479550</xdr:colOff>
          <xdr:row>5</xdr:row>
          <xdr:rowOff>107950</xdr:rowOff>
        </xdr:from>
        <xdr:to>
          <xdr:col>1</xdr:col>
          <xdr:colOff>3905250</xdr:colOff>
          <xdr:row>7</xdr:row>
          <xdr:rowOff>95250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All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0</xdr:row>
      <xdr:rowOff>0</xdr:rowOff>
    </xdr:from>
    <xdr:to>
      <xdr:col>0</xdr:col>
      <xdr:colOff>918882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918880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918880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7" xr16:uid="{00000000-0016-0000-05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Data.Daily Closing Balance" tableColumnId="1"/>
      <queryTableField id="2" name="Data.Rat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connectionId="8" xr16:uid="{AF33AA8F-7197-41E0-86EB-A2A5AF097654}" autoFormatId="16" applyNumberFormats="0" applyBorderFormats="0" applyFontFormats="0" applyPatternFormats="0" applyAlignmentFormats="0" applyWidthHeightFormats="0">
  <queryTableRefresh nextId="4">
    <queryTableFields count="1">
      <queryTableField id="3" name="ISA Annual Rat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connectionId="6" xr16:uid="{B9BBFE19-D2E8-47E0-BD6B-C645985C0FD4}" autoFormatId="16" applyNumberFormats="0" applyBorderFormats="0" applyFontFormats="0" applyPatternFormats="0" applyAlignmentFormats="0" applyWidthHeightFormats="0">
  <queryTableRefresh nextId="3">
    <queryTableFields count="2">
      <queryTableField id="1" name="Column1.2" tableColumnId="1"/>
      <queryTableField id="2" name="Column1.1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- BMO - SBA_SSA_PRSA" backgroundRefresh="0" connectionId="3" xr16:uid="{00000000-0016-0000-0700-000004000000}" autoFormatId="16" applyNumberFormats="0" applyBorderFormats="0" applyFontFormats="0" applyPatternFormats="0" applyAlignmentFormats="0" applyWidthHeightFormats="0">
  <queryTableRefresh nextId="6">
    <queryTableFields count="2">
      <queryTableField id="3" name="Balance" tableColumnId="1"/>
      <queryTableField id="5" name="Interest Rate.1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AB0774D-8398-4A19-8FAE-0CEED781462C}" autoFormatId="16" applyNumberFormats="0" applyBorderFormats="0" applyFontFormats="0" applyPatternFormats="0" applyAlignmentFormats="0" applyWidthHeightFormats="0">
  <queryTableRefresh nextId="6">
    <queryTableFields count="4">
      <queryTableField id="1" name="Account Balance" tableColumnId="1"/>
      <queryTableField id="4" name="Total Annual Interest Rate" tableColumnId="4"/>
      <queryTableField id="2" name="Regular Interest Rate" tableColumnId="2"/>
      <queryTableField id="3" name="Premium Interest Rate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4" xr16:uid="{C3AF4996-DF9E-4F7F-B0D3-ECDED83B91FC}" autoFormatId="16" applyNumberFormats="0" applyBorderFormats="0" applyFontFormats="0" applyPatternFormats="0" applyAlignmentFormats="0" applyWidthHeightFormats="0">
  <queryTableRefresh nextId="4">
    <queryTableFields count="3">
      <queryTableField id="1" name="Accounts" tableColumnId="1"/>
      <queryTableField id="2" name="CAD $" tableColumnId="2"/>
      <queryTableField id="3" name="U.S. $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2" xr16:uid="{09ACF703-F04A-48B1-A42A-6CEA36049340}" autoFormatId="16" applyNumberFormats="0" applyBorderFormats="0" applyFontFormats="0" applyPatternFormats="0" applyAlignmentFormats="0" applyWidthHeightFormats="0">
  <queryTableRefresh nextId="12">
    <queryTableFields count="2">
      <queryTableField id="10" name="Data.Daily balance" tableColumnId="4"/>
      <queryTableField id="7" name="Data.Annual rate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7" xr16:uid="{00000000-0016-0000-1100-00001A000000}" autoFormatId="16" applyNumberFormats="0" applyBorderFormats="0" applyFontFormats="0" applyPatternFormats="0" applyAlignmentFormats="0" applyWidthHeightFormats="0">
  <queryTableRefresh nextId="6">
    <queryTableFields count="2">
      <queryTableField id="4" name="Balance" tableColumnId="1"/>
      <queryTableField id="5" name="Rat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2" xr16:uid="{00000000-0016-0000-1300-00001C000000}" autoFormatId="16" applyNumberFormats="0" applyBorderFormats="0" applyFontFormats="0" applyPatternFormats="0" applyAlignmentFormats="0" applyWidthHeightFormats="0">
  <queryTableRefresh nextId="5">
    <queryTableFields count="2">
      <queryTableField id="3" name="Daily closing balance" tableColumnId="1"/>
      <queryTableField id="2" name="CAD High Rate Savings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3" xr16:uid="{AA7E78E5-993D-414C-92F6-77D7B09FE2BA}" autoFormatId="16" applyNumberFormats="0" applyBorderFormats="0" applyFontFormats="0" applyPatternFormats="0" applyAlignmentFormats="0" applyWidthHeightFormats="0">
  <queryTableRefresh nextId="7">
    <queryTableFields count="6">
      <queryTableField id="1" name="Daily closing balance" tableColumnId="1"/>
      <queryTableField id="2" name="USD High Rate Savings" tableColumnId="2"/>
      <queryTableField id="3" name="GBP High Rate Savings*" tableColumnId="3"/>
      <queryTableField id="4" name="EUR High Rate Savings*" tableColumnId="4"/>
      <queryTableField id="5" name="HKD Foreign Currency Savings" tableColumnId="5"/>
      <queryTableField id="6" name="RMB Foreign Currency Savings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1500-00001E000000}" autoFormatId="16" applyNumberFormats="0" applyBorderFormats="0" applyFontFormats="0" applyPatternFormats="0" applyAlignmentFormats="0" applyWidthHeightFormats="0">
  <queryTableRefresh nextId="13">
    <queryTableFields count="4">
      <queryTableField id="9" name="Column1" tableColumnId="1"/>
      <queryTableField id="10" name="Column2" tableColumnId="2"/>
      <queryTableField id="11" name="Column3" tableColumnId="3"/>
      <queryTableField id="12" name="Column4" tableColumnId="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3" xr16:uid="{00000000-0016-0000-1600-00001F000000}" autoFormatId="16" applyNumberFormats="0" applyBorderFormats="0" applyFontFormats="0" applyPatternFormats="0" applyAlignmentFormats="0" applyWidthHeightFormats="0">
  <queryTableRefresh nextId="4">
    <queryTableFields count="3">
      <queryTableField id="1" name="Rate" tableColumnId="1"/>
      <queryTableField id="2" name="Product" tableColumnId="2"/>
      <queryTableField id="3" name="Get Started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1700-000020000000}" autoFormatId="16" applyNumberFormats="0" applyBorderFormats="0" applyFontFormats="0" applyPatternFormats="0" applyAlignmentFormats="0" applyWidthHeightFormats="0">
  <queryTableRefresh nextId="7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CC826AC-34E2-4345-B527-DB503C18E162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Date" tableColumnId="1"/>
      <queryTableField id="2" name="Class A" tableColumnId="2"/>
      <queryTableField id="3" dataBound="0" tableColumnId="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9" xr16:uid="{00000000-0016-0000-1400-00001D000000}" autoFormatId="16" applyNumberFormats="0" applyBorderFormats="0" applyFontFormats="0" applyPatternFormats="0" applyAlignmentFormats="0" applyWidthHeightFormats="0">
  <queryTableRefresh nextId="3">
    <queryTableFields count="2">
      <queryTableField id="1" name="High Interest Savings*" tableColumnId="1"/>
      <queryTableField id="2" name="Annual Rates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4" xr16:uid="{00000000-0016-0000-0600-000001000000}" autoFormatId="16" applyNumberFormats="0" applyBorderFormats="0" applyFontFormats="0" applyPatternFormats="0" applyAlignmentFormats="0" applyWidthHeightFormats="0">
  <queryTableRefresh nextId="5">
    <queryTableFields count="2">
      <queryTableField id="3" name="Account Balance" tableColumnId="1"/>
      <queryTableField id="4" name="Interest Rate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connectionId="33" xr16:uid="{00000000-0016-0000-0600-000002000000}" autoFormatId="16" applyNumberFormats="0" applyBorderFormats="0" applyFontFormats="0" applyPatternFormats="0" applyAlignmentFormats="0" applyWidthHeightFormats="0">
  <queryTableRefresh nextId="6">
    <queryTableFields count="5">
      <queryTableField id="1" name="Account Name" tableColumnId="1"/>
      <queryTableField id="2" name="Currency" tableColumnId="2"/>
      <queryTableField id="3" name="Minimum1" tableColumnId="3"/>
      <queryTableField id="4" name="Maximum" tableColumnId="4"/>
      <queryTableField id="5" name="Current Rate2" tableColumnId="5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connectionId="36" xr16:uid="{D546BCAE-BD42-47E8-B96D-8D3D6A017649}" autoFormatId="16" applyNumberFormats="0" applyBorderFormats="0" applyFontFormats="0" applyPatternFormats="0" applyAlignmentFormats="0" applyWidthHeightFormats="0">
  <queryTableRefresh nextId="6">
    <queryTableFields count="2">
      <queryTableField id="3" name="Account Balance" tableColumnId="3"/>
      <queryTableField id="4" name="Interest Rate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connectionId="29" xr16:uid="{D3B35496-0E10-4E00-A3AA-D7B8D2A5A386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Interest Rates(3)" tableColumnId="1"/>
      <queryTableField id="2" name="CAD" tableColumnId="2"/>
      <queryTableField id="3" name="USD" tableColumnId="3"/>
      <queryTableField id="4" dataBound="0" tableColumnId="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connectionId="30" xr16:uid="{89722E4C-935A-4395-9EB4-9007175474D3}" autoFormatId="16" applyNumberFormats="0" applyBorderFormats="0" applyFontFormats="0" applyPatternFormats="0" applyAlignmentFormats="0" applyWidthHeightFormats="0">
  <queryTableRefresh nextId="3">
    <queryTableFields count="2">
      <queryTableField id="1" name="If Balance is" tableColumnId="1"/>
      <queryTableField id="2" name="Interest Rate [%]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22" xr16:uid="{4C918AFD-B38C-481B-8C22-1A51AAB41F7F}" autoFormatId="16" applyNumberFormats="0" applyBorderFormats="0" applyFontFormats="0" applyPatternFormats="0" applyAlignmentFormats="0" applyWidthHeightFormats="0">
  <queryTableRefresh nextId="3">
    <queryTableFields count="2">
      <queryTableField id="1" name="ISA CAD" tableColumnId="1"/>
      <queryTableField id="2" name="ISA US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21" xr16:uid="{B550F3B3-CF25-4083-BD3C-EAE12558686D}" autoFormatId="16" applyNumberFormats="0" applyBorderFormats="0" applyFontFormats="0" applyPatternFormats="0" applyAlignmentFormats="0" applyWidthHeightFormats="0">
  <queryTableRefresh nextId="3">
    <queryTableFields count="2">
      <queryTableField id="1" name="Account" tableColumnId="1"/>
      <queryTableField id="2" name="Interest Rate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00000000-0016-0000-1000-000013000000}" autoFormatId="16" applyNumberFormats="0" applyBorderFormats="0" applyFontFormats="0" applyPatternFormats="0" applyAlignmentFormats="0" applyWidthHeightFormats="0">
  <queryTableRefresh nextId="7">
    <queryTableFields count="3">
      <queryTableField id="4" name="HiSAVE Savings Account" tableColumnId="1"/>
      <queryTableField id="5" name="Premium Savings Account" tableColumnId="2"/>
      <queryTableField id="6" name="Young Stars Savings Account" tableColumnId="3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7" xr16:uid="{F377472D-2D4C-4B94-A215-6680BE01BD61}" autoFormatId="16" applyNumberFormats="0" applyBorderFormats="0" applyFontFormats="0" applyPatternFormats="0" applyAlignmentFormats="0" applyWidthHeightFormats="0">
  <queryTableRefresh nextId="6">
    <queryTableFields count="1">
      <queryTableField id="5" name="Annual Rate" tableColumnId="5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307BD7A-ABC8-4A26-A852-FDD08588BEDB}" autoFormatId="16" applyNumberFormats="0" applyBorderFormats="0" applyFontFormats="0" applyPatternFormats="0" applyAlignmentFormats="0" applyWidthHeightFormats="0">
  <queryTableRefresh nextId="3">
    <queryTableFields count="2">
      <queryTableField id="1" name="ACCOUNT BALANCE" tableColumnId="1"/>
      <queryTableField id="2" name="ANNUAL INTEREST RATE ON JULY 6, 2020" tableColumnId="2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6" xr16:uid="{A62F8C9F-9C98-4D65-AEC6-D72C890E2322}" autoFormatId="16" applyNumberFormats="0" applyBorderFormats="0" applyFontFormats="0" applyPatternFormats="0" applyAlignmentFormats="0" applyWidthHeightFormats="0">
  <queryTableRefresh nextId="5">
    <queryTableFields count="1">
      <queryTableField id="4" name="Interest Rate" tableColumnId="4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5" xr16:uid="{184CEC39-A985-4CC1-A7F3-D44803BCB865}" autoFormatId="16" applyNumberFormats="0" applyBorderFormats="0" applyFontFormats="0" applyPatternFormats="0" applyAlignmentFormats="0" applyWidthHeightFormats="0">
  <queryTableRefresh nextId="5">
    <queryTableFields count="2">
      <queryTableField id="3" name="Account Balance" tableColumnId="3"/>
      <queryTableField id="4" name="Interest Rate" tableColumnId="4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4" xr16:uid="{ADC8F379-4F40-473D-A67A-55FD9A0BEE4D}" autoFormatId="16" applyNumberFormats="0" applyBorderFormats="0" applyFontFormats="0" applyPatternFormats="0" applyAlignmentFormats="0" applyWidthHeightFormats="0">
  <queryTableRefresh nextId="3">
    <queryTableFields count="1">
      <queryTableField id="2" name="Interest Rat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101943E-7319-4273-9BE5-519A34E8DE6F}" name="CIBC_Savings_Accounts" displayName="CIBC_Savings_Accounts" ref="C1:D13" tableType="queryTable" totalsRowShown="0">
  <autoFilter ref="C1:D13" xr:uid="{78EB5C95-1C87-4C77-AD3C-94514783811B}"/>
  <tableColumns count="2">
    <tableColumn id="1" xr3:uid="{1805A14F-5D6B-441E-8BC4-691BAF9B7B84}" uniqueName="1" name="Data.Daily Closing Balance" queryTableFieldId="1" dataDxfId="31"/>
    <tableColumn id="2" xr3:uid="{DD1044A9-F59B-46D0-8718-6C3BDE63183C}" uniqueName="2" name="Data.Rate" queryTableFieldId="2" dataDxfId="3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445108D-BC5A-4537-8ACB-9430ED9F5D3B}" name="CIBC_Wood_Gundy_HISA_CTC" displayName="CIBC_Wood_Gundy_HISA_CTC" ref="B24:B25" tableType="queryTable" totalsRowShown="0">
  <autoFilter ref="B24:B25" xr:uid="{FBA45E36-8A5E-4C3A-9523-946238175D29}"/>
  <tableColumns count="1">
    <tableColumn id="2" xr3:uid="{BB63847A-9370-49C6-B134-343D58003F9B}" uniqueName="2" name="ISA Annual Rate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4C794C-716E-4A0F-B05B-9D9B96C899BE}" name="CIBC_Renaissance_HISA" displayName="CIBC_Renaissance_HISA" ref="C20:D22" tableType="queryTable" totalsRowShown="0">
  <autoFilter ref="C20:D22" xr:uid="{8FB60003-9C5B-46DE-90F5-5E11B8C63B76}"/>
  <tableColumns count="2">
    <tableColumn id="1" xr3:uid="{85EE1907-A15D-4DA7-8BF6-CE6C141B1D4E}" uniqueName="1" name="Column1.2" queryTableFieldId="1" dataDxfId="29"/>
    <tableColumn id="2" xr3:uid="{2C6F2C6A-A954-4F40-B945-6537C370870D}" uniqueName="2" name="Column1.1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901AD99-A037-42EF-9E0D-303B42DB408B}" name="BMO_Savings_Accounts" displayName="BMO_Savings_Accounts" ref="B1:C14" tableType="queryTable" totalsRowShown="0">
  <autoFilter ref="B1:C14" xr:uid="{68DC766F-4E6C-4F85-87F3-9DCA2D33FF70}"/>
  <tableColumns count="2">
    <tableColumn id="1" xr3:uid="{F1E2F3E3-8A21-40EF-9ED6-A1E4ECE4B7CB}" uniqueName="1" name="Balance" queryTableFieldId="3" dataDxfId="28"/>
    <tableColumn id="2" xr3:uid="{90536A38-FF94-40EE-B48B-2610350FEBF0}" uniqueName="2" name="Interest Rate.1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77B095-E658-48BD-8E23-DCD990C4B994}" name="BNS_Savings_Accounts" displayName="BNS_Savings_Accounts" ref="B1:E36" tableType="queryTable" totalsRowShown="0">
  <autoFilter ref="B1:E36" xr:uid="{A5638233-ACDF-49CD-B63F-B6BE846F2B19}"/>
  <tableColumns count="4">
    <tableColumn id="1" xr3:uid="{2EDC415B-0F70-4FAE-94F6-7566D41029D6}" uniqueName="1" name="Account Balance" queryTableFieldId="1" dataDxfId="27"/>
    <tableColumn id="4" xr3:uid="{9FB613F4-0AF9-4B81-A564-C24B14D3375E}" uniqueName="4" name="Total Annual Interest Rate" queryTableFieldId="4" dataDxfId="26"/>
    <tableColumn id="2" xr3:uid="{64FF4DAC-F2D7-448F-9CC9-4DDD8DF4BD31}" uniqueName="2" name="Regular Interest Rate" queryTableFieldId="2" dataDxfId="25"/>
    <tableColumn id="3" xr3:uid="{162D69DF-A5B6-4507-8013-D29C1D2ADC8E}" uniqueName="3" name="Premium Interest Rate" queryTableFieldId="3" dataDxfId="2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A7D716B-26D8-444C-8AD2-672460782E9D}" name="BNS_Cash_Optimizer_Investment" displayName="BNS_Cash_Optimizer_Investment" ref="B39:D41" tableType="queryTable" totalsRowShown="0">
  <autoFilter ref="B39:D41" xr:uid="{A50031B5-9512-470D-8510-E74A796EAD90}"/>
  <tableColumns count="3">
    <tableColumn id="1" xr3:uid="{8BC815CA-1F9B-4E2B-9D8A-99534CCE0B27}" uniqueName="1" name="Accounts" queryTableFieldId="1" dataDxfId="23"/>
    <tableColumn id="2" xr3:uid="{80EAF0B9-9DCD-4E52-BA5A-BADB6CFD6486}" uniqueName="2" name="CAD $" queryTableFieldId="2"/>
    <tableColumn id="3" xr3:uid="{0E7A9F6C-51E4-43C7-97EA-316D3CBDDB89}" uniqueName="3" name="U.S. $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CCB5792-A70D-4667-AA59-47BC1D2C89D9}" name="Simplii_HISA" displayName="Simplii_HISA" ref="B10:C11" tableType="queryTable" totalsRowShown="0">
  <autoFilter ref="B10:C11" xr:uid="{89ED074A-3C7A-446D-997F-022A0C48B638}"/>
  <tableColumns count="2">
    <tableColumn id="4" xr3:uid="{A3E80CC0-C2DD-4573-B880-E32FBDB516A3}" uniqueName="4" name="Data.Daily balance" queryTableFieldId="10"/>
    <tableColumn id="1" xr3:uid="{D8ACC28C-5531-4FC9-A57C-83135BF86E5D}" uniqueName="1" name="Data.Annual rate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4FEF873-C5AF-4B16-8C17-6E4623648DA8}" name="NBC_Bank_Accounts" displayName="NBC_Bank_Accounts" ref="B1:C28" tableType="queryTable" totalsRowShown="0">
  <autoFilter ref="B1:C28" xr:uid="{DF09CF4E-3744-4A04-8A36-01B6B51FF504}"/>
  <tableColumns count="2">
    <tableColumn id="1" xr3:uid="{AF3CEA2D-FC16-4BC0-91E7-47D67E7EF153}" uniqueName="1" name="Balance" queryTableFieldId="4" dataDxfId="22"/>
    <tableColumn id="2" xr3:uid="{9BF66593-4977-46DD-B473-78BB7231D59D}" uniqueName="2" name="Rate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BA66B2F-B0D4-4785-BE8D-3C244D801D05}" name="HSBC_CAD_Savings" displayName="HSBC_CAD_Savings" ref="B1:C5" tableType="queryTable" totalsRowShown="0">
  <autoFilter ref="B1:C5" xr:uid="{A06E8E82-AD6A-47D3-917D-E52E53C8D099}"/>
  <tableColumns count="2">
    <tableColumn id="1" xr3:uid="{E2486B71-097C-480C-8D5B-30A0D71FDBDD}" uniqueName="1" name="Daily closing balance" queryTableFieldId="3" dataDxfId="21"/>
    <tableColumn id="2" xr3:uid="{C5FFA56D-7123-4FD4-98A8-7D3A57DF978E}" uniqueName="2" name="CAD High Rate Savings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A1CD25D-0033-4B3F-977B-BB381B7966FF}" name="HSBC_Foreign_Savings" displayName="HSBC_Foreign_Savings" ref="B9:G13" tableType="queryTable" totalsRowShown="0">
  <autoFilter ref="B9:G13" xr:uid="{B272EE2C-8F46-4039-8754-B6A3E9B9D7DF}"/>
  <tableColumns count="6">
    <tableColumn id="1" xr3:uid="{ED1782C5-6292-40D5-B1A2-858D38CF7016}" uniqueName="1" name="Daily closing balance" queryTableFieldId="1" dataDxfId="20"/>
    <tableColumn id="2" xr3:uid="{CE71BD7B-2A7E-4C03-80AB-4F4D375DF266}" uniqueName="2" name="USD High Rate Savings" queryTableFieldId="2"/>
    <tableColumn id="3" xr3:uid="{8945DE19-1778-43A3-95E9-5EB3497CD110}" uniqueName="3" name="GBP High Rate Savings*" queryTableFieldId="3"/>
    <tableColumn id="4" xr3:uid="{1FCB6C99-4481-4E48-8EAC-7B30758069D4}" uniqueName="4" name="EUR High Rate Savings*" queryTableFieldId="4"/>
    <tableColumn id="5" xr3:uid="{A3C5D0F7-B243-435C-8117-C3E35664AA1F}" uniqueName="5" name="HKD Foreign Currency Savings" queryTableFieldId="5"/>
    <tableColumn id="6" xr3:uid="{9782E40E-064D-4296-B901-DC5E58C5E7EC}" uniqueName="6" name="RMB Foreign Currency Savings" queryTableField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D473B69-4F58-4E75-97E3-9053278ED8DA}" name="B2B_Rates" displayName="B2B_Rates" ref="B1:E9" tableType="queryTable" totalsRowShown="0">
  <autoFilter ref="B1:E9" xr:uid="{424FCAA5-D1D1-4929-8643-CC965FD32A7B}"/>
  <tableColumns count="4">
    <tableColumn id="1" xr3:uid="{BB01D96E-4B24-401B-90BD-8E9133B26286}" uniqueName="1" name="Column1" queryTableFieldId="9" dataDxfId="19"/>
    <tableColumn id="2" xr3:uid="{D2046F38-483B-420D-B944-6BCD7B2B4D92}" uniqueName="2" name="Column2" queryTableFieldId="10" dataDxfId="18"/>
    <tableColumn id="3" xr3:uid="{6F9FDD00-3FF8-42F2-A964-44D4FA8D2A14}" uniqueName="3" name="Column3" queryTableFieldId="11"/>
    <tableColumn id="4" xr3:uid="{5A0E1CF9-6187-4D14-B37F-9EC02085A5F0}" uniqueName="4" name="Column4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1A08140-A143-44CD-AE72-63621B09A985}" name="Meridian_Rates" displayName="Meridian_Rates" ref="A1:C5" tableType="queryTable" totalsRowShown="0">
  <autoFilter ref="A1:C5" xr:uid="{B3512B9B-4993-4862-A620-EF2A70A52322}"/>
  <tableColumns count="3">
    <tableColumn id="1" xr3:uid="{F186E804-7331-44A4-894F-07482E179C0C}" uniqueName="1" name="Rate" queryTableFieldId="1"/>
    <tableColumn id="2" xr3:uid="{0FED587C-5ADE-4475-9FFE-8D8084F564E0}" uniqueName="2" name="Product" queryTableFieldId="2" dataDxfId="17"/>
    <tableColumn id="3" xr3:uid="{D2622B16-D1C8-4760-8BD0-953D9FAFA8F1}" uniqueName="3" name="Get Started" queryTableFieldId="3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C7074F1-5398-446C-BA36-C5826493DBFB}" name="Altamira_Rates" displayName="Altamira_Rates" ref="A1:F12" tableType="queryTable" totalsRowShown="0">
  <autoFilter ref="A1:F12" xr:uid="{FFCD51A6-B50C-483A-A4D0-237FE474F8B6}"/>
  <tableColumns count="6">
    <tableColumn id="1" xr3:uid="{3E7CB307-16E2-4226-A2DD-121C94952C80}" uniqueName="1" name="Column1" queryTableFieldId="1" dataDxfId="15"/>
    <tableColumn id="2" xr3:uid="{E833CA69-9186-43DA-874F-48DEFE4DA80F}" uniqueName="2" name="Column2" queryTableFieldId="2" dataDxfId="14"/>
    <tableColumn id="3" xr3:uid="{B093F79F-8E4B-49FF-A371-4731884C2E1B}" uniqueName="3" name="Column3" queryTableFieldId="3" dataDxfId="13"/>
    <tableColumn id="4" xr3:uid="{785FF59B-0966-4865-9D07-9033DADA44AF}" uniqueName="4" name="Column4" queryTableFieldId="4" dataDxfId="12"/>
    <tableColumn id="5" xr3:uid="{C61AE777-3A15-4C02-9B1F-136299A5FAC7}" uniqueName="5" name="Column5" queryTableFieldId="5" dataDxfId="11"/>
    <tableColumn id="6" xr3:uid="{FC09C788-CCE1-4C6F-81DC-01AAACC99B7F}" uniqueName="6" name="Column6" queryTableFieldId="6" dataDxfId="10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5570CE-711C-4C55-9E5E-57D52AC28481}" name="Home_Trust_Company" displayName="Home_Trust_Company" ref="A1:C27" tableType="queryTable" totalsRowShown="0">
  <autoFilter ref="A1:C27" xr:uid="{7034E544-09DC-4C5D-AA8D-6585634AA5F7}"/>
  <tableColumns count="3">
    <tableColumn id="1" xr3:uid="{680615DF-0F13-496D-BBDC-C4E09E168737}" uniqueName="1" name="Date" queryTableFieldId="1" dataDxfId="9"/>
    <tableColumn id="2" xr3:uid="{FE5F6F50-F11B-4E8A-936C-7E8D09168D39}" uniqueName="2" name="Class A" queryTableFieldId="2"/>
    <tableColumn id="3" xr3:uid="{DBD95A4F-7159-4A0E-9887-37ADCE379925}" uniqueName="3" name="Lower Bound" queryTableFieldId="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159AD5-2B66-4A34-A609-6683B89AA321}" name="CT_HISA" displayName="CT_HISA" ref="A1:B2" tableType="queryTable" totalsRowShown="0">
  <autoFilter ref="A1:B2" xr:uid="{5602733F-865F-4885-87FA-1BA021E8D78B}"/>
  <tableColumns count="2">
    <tableColumn id="1" xr3:uid="{E2734CB1-96F3-4F39-A09A-9ADAB223E264}" uniqueName="1" name="High Interest Savings*" queryTableFieldId="1" dataDxfId="8"/>
    <tableColumn id="2" xr3:uid="{A70E9728-B118-48A1-BC57-D92BEEC7A685}" uniqueName="2" name="Annual Rates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D026BB7-2379-4E78-879E-1682542E0D99}" name="TD_Savings_Accounts" displayName="TD_Savings_Accounts" ref="B2:C26" tableType="queryTable" totalsRowShown="0">
  <autoFilter ref="B2:C26" xr:uid="{E85EAF5E-63B2-4399-A916-F370715F6655}"/>
  <tableColumns count="2">
    <tableColumn id="1" xr3:uid="{51690CEF-6BC1-453F-82A2-1DEEAD5AFEA3}" uniqueName="1" name="Account Balance" queryTableFieldId="3" dataDxfId="7"/>
    <tableColumn id="2" xr3:uid="{90994A7C-F3A1-4107-BCED-1502CEAAD65A}" uniqueName="2" name="Interest Rate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0427E5E-1FE2-4275-8594-CA161BF56BD6}" name="TD_Investment_Savings_Account" displayName="TD_Investment_Savings_Account" ref="G39:K44" tableType="queryTable" totalsRowShown="0">
  <autoFilter ref="G39:K44" xr:uid="{444F1D8B-39D1-4A95-A72C-3A111B214915}"/>
  <tableColumns count="5">
    <tableColumn id="1" xr3:uid="{CA448CAE-AEDE-4476-A37A-80F3676BE0D5}" uniqueName="1" name="Account Name" queryTableFieldId="1" dataDxfId="6"/>
    <tableColumn id="2" xr3:uid="{5B7C4811-4C53-41A6-96BF-5389107C4D47}" uniqueName="2" name="Currency" queryTableFieldId="2" dataDxfId="5"/>
    <tableColumn id="3" xr3:uid="{734665F7-5DB2-40AD-BD3B-98FD29CBE168}" uniqueName="3" name="Minimum1" queryTableFieldId="3"/>
    <tableColumn id="4" xr3:uid="{BDB4B9A1-7155-498E-B2E8-661728BDEEFB}" uniqueName="4" name="Maximum" queryTableFieldId="4" dataDxfId="4"/>
    <tableColumn id="5" xr3:uid="{EAF93AB2-FE49-4E47-8DDA-D993804F05B9}" uniqueName="5" name="Current Rate2" queryTableFieldId="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B064D4-F1ED-4C06-B1EE-46752E21EAE4}" name="TD_US_Daily_Interest" displayName="TD_US_Daily_Interest" ref="B29:C37" tableType="queryTable" totalsRowShown="0">
  <autoFilter ref="B29:C37" xr:uid="{5E068F57-93ED-40A0-B8FD-3421433791DD}"/>
  <tableColumns count="2">
    <tableColumn id="3" xr3:uid="{B204F1AA-EC43-48CF-A194-CEA554FDF21D}" uniqueName="3" name="Account Balance" queryTableFieldId="3" dataDxfId="3"/>
    <tableColumn id="4" xr3:uid="{5AABEE2E-2BF3-4006-B415-E5BEAE632E5A}" uniqueName="4" name="Interest Rate" queryTableFieldId="4" dataDxfId="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63415B8A-E798-405A-AF6D-52CB917CB016}" name="RBC_Investment_Savings_Account" displayName="RBC_Investment_Savings_Account" ref="B1:E7" tableType="queryTable" totalsRowShown="0">
  <autoFilter ref="B1:E7" xr:uid="{B4BA52D1-2456-4760-B228-111031831AA6}"/>
  <tableColumns count="4">
    <tableColumn id="1" xr3:uid="{5E93972D-014C-4E1C-8AB4-1BF2148E9BC7}" uniqueName="1" name="Interest Rates(3)" queryTableFieldId="1" dataDxfId="1"/>
    <tableColumn id="2" xr3:uid="{0E71B681-989C-4198-A9B6-33A336CE3130}" uniqueName="2" name="CAD" queryTableFieldId="2"/>
    <tableColumn id="3" xr3:uid="{1E893210-3E0F-435D-8A09-6BE1A676B4F3}" uniqueName="3" name="USD" queryTableFieldId="3"/>
    <tableColumn id="4" xr3:uid="{725801D2-79A4-42A7-BDDE-D9C135D30984}" uniqueName="4" name="Lower Bound" queryTableFieldId="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B3693-75C9-4136-A22D-7AF7DB583948}" name="RBC_Personal_Accounts" displayName="RBC_Personal_Accounts" ref="B12:C168" tableType="queryTable" totalsRowShown="0">
  <autoFilter ref="B12:C168" xr:uid="{BA294C89-B98E-4F14-87F3-A04C127E8BD3}"/>
  <tableColumns count="2">
    <tableColumn id="1" xr3:uid="{3A480683-AADE-42AA-9D45-BCD975C61A19}" uniqueName="1" name="If Balance is" queryTableFieldId="1"/>
    <tableColumn id="2" xr3:uid="{CC895A81-638F-499B-982C-84B6047CE669}" uniqueName="2" name="Interest Rate [%]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838AFC-119E-416B-82B8-9C8EBFE9875C}" name="Manulife_ISA" displayName="Manulife_ISA" ref="B15:C16" tableType="queryTable" totalsRowShown="0">
  <autoFilter ref="B15:C16" xr:uid="{034D99D0-BD37-4504-B62C-C4ACB0E260AD}"/>
  <tableColumns count="2">
    <tableColumn id="1" xr3:uid="{6769D926-95A9-49ED-8D6F-DF57DEEBCE1E}" uniqueName="1" name="ISA CAD" queryTableFieldId="1"/>
    <tableColumn id="2" xr3:uid="{01EEF9A2-D168-47EC-8D69-73E4DCFE448D}" uniqueName="2" name="ISA US" queryTableFieldId="2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71AC3AB-6BFB-4DA4-A4FF-E2CBA4C2693E}" name="Manulife_All_In_and_Advantage" displayName="Manulife_All_In_and_Advantage" ref="B1:C11" tableType="queryTable" totalsRowShown="0">
  <autoFilter ref="B1:C11" xr:uid="{A81B82EF-0AEE-4173-AC4B-A65F1E3ED0E7}"/>
  <tableColumns count="2">
    <tableColumn id="1" xr3:uid="{3F4153A1-508D-4E55-8477-7B66BFBB6C2D}" uniqueName="1" name="Account" queryTableFieldId="1" dataDxfId="0"/>
    <tableColumn id="2" xr3:uid="{39330B22-9AF0-4946-B615-BEE7ED29DAB7}" uniqueName="2" name="Interest Rate" queryTableFieldId="2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917AB9C-9517-4EFC-9033-86526F020593}" name="ICICI_Savings_Accounts" displayName="ICICI_Savings_Accounts" ref="B2:D9" tableType="queryTable" totalsRowShown="0">
  <autoFilter ref="B2:D9" xr:uid="{33491B27-3538-4FAA-87C0-D4F5B6016FB2}"/>
  <tableColumns count="3">
    <tableColumn id="1" xr3:uid="{2D2B38D7-76F5-4DA0-9D0B-17344D6B1AD2}" uniqueName="1" name="HiSAVE Savings Account" queryTableFieldId="4"/>
    <tableColumn id="2" xr3:uid="{F3BB5307-0992-4D0F-823A-6CBC0DBCE5D9}" uniqueName="2" name="Premium Savings Account" queryTableFieldId="5"/>
    <tableColumn id="3" xr3:uid="{974AD77F-CB34-4511-BAF3-DD698EDFAFD4}" uniqueName="3" name="Young Stars Savings Account" queryTableFieldId="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254E4E-1D7D-464F-B471-37BC2B49BD21}" name="Wealthsimple_Cash_HISA" displayName="Wealthsimple_Cash_HISA" ref="C1:C2" tableType="queryTable" totalsRowShown="0">
  <autoFilter ref="C1:C2" xr:uid="{5043992C-03DA-48CA-91CB-DABC0458B63E}"/>
  <tableColumns count="1">
    <tableColumn id="5" xr3:uid="{5BE72329-0DC3-4EAE-BB24-F96985945375}" uniqueName="5" name="Annual Rate" queryTableFieldId="5" dataDxfId="34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BE192E-5394-4E09-BA06-723E3F1C646E}" name="LBC_DIgital_High_Interest_Savings_Account__HISA__rates" displayName="LBC_DIgital_High_Interest_Savings_Account__HISA__rates" ref="A1:B3" tableType="queryTable" totalsRowShown="0">
  <autoFilter ref="A1:B3" xr:uid="{A1E60691-DD79-434B-BC1F-31750ADE7F90}"/>
  <tableColumns count="2">
    <tableColumn id="1" xr3:uid="{914A07B5-1526-4F8D-88E5-A1D305A0F1C1}" uniqueName="1" name="ACCOUNT BALANCE" queryTableFieldId="1" dataDxfId="33"/>
    <tableColumn id="2" xr3:uid="{77E57BFA-9A84-4E9C-945D-BACF2C625442}" uniqueName="2" name="ANNUAL INTEREST RATE ON JULY 6, 2020" queryTableFieldId="2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2A2F23-FBE8-42AA-B394-DF000FBE7F10}" name="MotusBank_HISA" displayName="MotusBank_HISA" ref="B1:B2" tableType="queryTable" totalsRowShown="0">
  <autoFilter ref="B1:B2" xr:uid="{1262A591-A142-4C21-811C-5C49DF04BDC3}"/>
  <tableColumns count="1">
    <tableColumn id="4" xr3:uid="{0EEAF309-A086-4FA5-A267-326387B5CC5E}" uniqueName="4" name="Interest Rate" queryTableFieldId="4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E483D3A-13C1-4A11-A8B8-71C595323D0D}" name="Motive__Savings_Account1_2" displayName="Motive__Savings_Account1_2" ref="B1:C3" tableType="queryTable" totalsRowShown="0">
  <autoFilter ref="B1:C3" xr:uid="{620A5EEC-DD04-40A3-B68A-353C4F7C44A6}"/>
  <tableColumns count="2">
    <tableColumn id="3" xr3:uid="{FBF02383-8F85-4683-9C26-5D3D3D90CDE1}" uniqueName="3" name="Account Balance" queryTableFieldId="3" dataDxfId="32"/>
    <tableColumn id="4" xr3:uid="{2D65E3E0-BD9A-4027-9582-7CC7731B5EDE}" uniqueName="4" name="Interest Rate" queryTableFieldId="4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C3264-6496-4365-BED1-776EB2D79D2F}" name="Motive_Savvy_Savings_Account" displayName="Motive_Savvy_Savings_Account" ref="C6:C7" tableType="queryTable" totalsRowShown="0">
  <autoFilter ref="C6:C7" xr:uid="{91319C3A-048D-436D-AEBD-F5CB4272FB3E}"/>
  <tableColumns count="1">
    <tableColumn id="2" xr3:uid="{7D4AE225-FAA5-4D31-8545-A4425254CA3B}" uniqueName="2" name="Interest Rat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86910-9042-4D8A-9DCE-D53D00274B4D}">
  <sheetPr codeName="Sheet23">
    <tabColor theme="9" tint="-0.249977111117893"/>
  </sheetPr>
  <dimension ref="B3:J32"/>
  <sheetViews>
    <sheetView tabSelected="1" topLeftCell="A3" zoomScale="80" zoomScaleNormal="80" workbookViewId="0">
      <selection activeCell="B3" sqref="B3"/>
    </sheetView>
  </sheetViews>
  <sheetFormatPr defaultColWidth="9.1796875" defaultRowHeight="14.5" outlineLevelCol="1" x14ac:dyDescent="0.35"/>
  <cols>
    <col min="1" max="1" width="9.1796875" style="16"/>
    <col min="2" max="2" width="80.7265625" style="16" customWidth="1"/>
    <col min="3" max="3" width="9.1796875" style="16"/>
    <col min="4" max="4" width="6.1796875" style="16" customWidth="1"/>
    <col min="5" max="5" width="8.26953125" style="26" bestFit="1" customWidth="1" outlineLevel="1"/>
    <col min="6" max="6" width="36.26953125" style="16" customWidth="1" outlineLevel="1"/>
    <col min="7" max="7" width="7.7265625" style="16" bestFit="1" customWidth="1" outlineLevel="1"/>
    <col min="8" max="8" width="14.7265625" style="16" bestFit="1" customWidth="1" outlineLevel="1"/>
    <col min="9" max="9" width="74" style="16" customWidth="1" outlineLevel="1"/>
    <col min="10" max="10" width="9.26953125" style="16" bestFit="1" customWidth="1"/>
    <col min="11" max="16384" width="9.1796875" style="16"/>
  </cols>
  <sheetData>
    <row r="3" spans="2:10" ht="28.5" x14ac:dyDescent="0.35">
      <c r="B3" s="17" t="s">
        <v>237</v>
      </c>
      <c r="E3" s="77" t="s">
        <v>231</v>
      </c>
      <c r="F3" s="77"/>
      <c r="G3" s="77"/>
      <c r="H3" s="77"/>
      <c r="I3" s="77"/>
      <c r="J3" s="77"/>
    </row>
    <row r="4" spans="2:10" x14ac:dyDescent="0.35">
      <c r="B4" s="18"/>
      <c r="E4" s="18" t="s">
        <v>232</v>
      </c>
      <c r="F4" s="18" t="s">
        <v>233</v>
      </c>
      <c r="G4" s="18" t="s">
        <v>234</v>
      </c>
      <c r="H4" s="18" t="s">
        <v>288</v>
      </c>
      <c r="I4" s="18" t="s">
        <v>235</v>
      </c>
      <c r="J4" s="18" t="s">
        <v>386</v>
      </c>
    </row>
    <row r="5" spans="2:10" x14ac:dyDescent="0.35">
      <c r="B5" s="20" t="s">
        <v>162</v>
      </c>
      <c r="E5" s="26">
        <v>0</v>
      </c>
      <c r="F5" s="16" t="s">
        <v>387</v>
      </c>
      <c r="G5" s="16" t="s">
        <v>388</v>
      </c>
      <c r="H5" s="16">
        <v>33</v>
      </c>
      <c r="J5" s="16">
        <v>1</v>
      </c>
    </row>
    <row r="6" spans="2:10" x14ac:dyDescent="0.35">
      <c r="B6" s="21"/>
      <c r="E6" s="26">
        <v>1</v>
      </c>
      <c r="F6" s="16" t="s">
        <v>389</v>
      </c>
      <c r="G6" s="16" t="s">
        <v>388</v>
      </c>
      <c r="H6" s="16">
        <v>3</v>
      </c>
      <c r="J6" s="16">
        <v>1</v>
      </c>
    </row>
    <row r="7" spans="2:10" x14ac:dyDescent="0.35">
      <c r="B7" s="22"/>
      <c r="E7" s="26">
        <v>2</v>
      </c>
      <c r="F7" s="16" t="s">
        <v>390</v>
      </c>
      <c r="G7" s="16" t="s">
        <v>388</v>
      </c>
      <c r="H7" s="16">
        <v>7</v>
      </c>
      <c r="J7" s="16">
        <v>1</v>
      </c>
    </row>
    <row r="8" spans="2:10" x14ac:dyDescent="0.35">
      <c r="B8" s="23"/>
      <c r="E8" s="26">
        <v>3</v>
      </c>
      <c r="F8" s="16" t="s">
        <v>391</v>
      </c>
      <c r="G8" s="16" t="s">
        <v>388</v>
      </c>
      <c r="H8" s="16">
        <v>41</v>
      </c>
      <c r="J8" s="16">
        <v>1</v>
      </c>
    </row>
    <row r="9" spans="2:10" x14ac:dyDescent="0.35">
      <c r="B9" s="24"/>
      <c r="E9" s="26">
        <v>4</v>
      </c>
      <c r="F9" s="16" t="s">
        <v>392</v>
      </c>
      <c r="G9" s="16" t="s">
        <v>388</v>
      </c>
      <c r="H9" s="16">
        <v>22</v>
      </c>
      <c r="J9" s="16">
        <v>1</v>
      </c>
    </row>
    <row r="10" spans="2:10" x14ac:dyDescent="0.35">
      <c r="B10" s="20" t="s">
        <v>163</v>
      </c>
      <c r="E10" s="26">
        <v>5</v>
      </c>
      <c r="F10" s="16" t="s">
        <v>393</v>
      </c>
      <c r="G10" s="16" t="s">
        <v>388</v>
      </c>
      <c r="H10" s="16">
        <v>14</v>
      </c>
      <c r="J10" s="16">
        <v>1</v>
      </c>
    </row>
    <row r="11" spans="2:10" x14ac:dyDescent="0.35">
      <c r="B11" s="21"/>
      <c r="E11" s="26">
        <v>6</v>
      </c>
      <c r="F11" s="16" t="s">
        <v>394</v>
      </c>
      <c r="G11" s="16" t="s">
        <v>388</v>
      </c>
      <c r="H11" s="16">
        <v>27</v>
      </c>
      <c r="J11" s="16">
        <v>1</v>
      </c>
    </row>
    <row r="12" spans="2:10" x14ac:dyDescent="0.35">
      <c r="B12" s="22"/>
      <c r="E12" s="26">
        <v>7</v>
      </c>
      <c r="F12" s="16" t="s">
        <v>395</v>
      </c>
      <c r="G12" s="16" t="s">
        <v>388</v>
      </c>
      <c r="H12" s="16">
        <v>18</v>
      </c>
      <c r="J12" s="16">
        <v>1</v>
      </c>
    </row>
    <row r="13" spans="2:10" x14ac:dyDescent="0.35">
      <c r="B13" s="22"/>
      <c r="E13" s="26">
        <v>8</v>
      </c>
      <c r="F13" s="16" t="s">
        <v>396</v>
      </c>
      <c r="G13" s="16" t="s">
        <v>388</v>
      </c>
      <c r="H13" s="16">
        <v>13</v>
      </c>
      <c r="J13" s="16">
        <v>1</v>
      </c>
    </row>
    <row r="14" spans="2:10" x14ac:dyDescent="0.35">
      <c r="B14" s="22"/>
      <c r="E14" s="26">
        <v>9</v>
      </c>
      <c r="F14" s="16" t="s">
        <v>397</v>
      </c>
      <c r="G14" s="16" t="s">
        <v>388</v>
      </c>
      <c r="H14" s="16">
        <v>8</v>
      </c>
      <c r="J14" s="16">
        <v>1</v>
      </c>
    </row>
    <row r="15" spans="2:10" x14ac:dyDescent="0.35">
      <c r="B15" s="22"/>
      <c r="E15" s="26">
        <v>10</v>
      </c>
      <c r="F15" s="16" t="s">
        <v>398</v>
      </c>
      <c r="G15" s="16" t="s">
        <v>388</v>
      </c>
      <c r="H15" s="16">
        <v>15</v>
      </c>
      <c r="J15" s="16">
        <v>1</v>
      </c>
    </row>
    <row r="16" spans="2:10" x14ac:dyDescent="0.35">
      <c r="B16" s="22"/>
      <c r="E16" s="26">
        <v>11</v>
      </c>
      <c r="F16" s="16" t="s">
        <v>399</v>
      </c>
      <c r="G16" s="16" t="s">
        <v>388</v>
      </c>
      <c r="H16" s="16">
        <v>20</v>
      </c>
      <c r="J16" s="16">
        <v>1</v>
      </c>
    </row>
    <row r="17" spans="2:10" x14ac:dyDescent="0.35">
      <c r="B17" s="24"/>
      <c r="E17" s="26">
        <v>12</v>
      </c>
      <c r="F17" s="16" t="s">
        <v>400</v>
      </c>
      <c r="G17" s="16" t="s">
        <v>388</v>
      </c>
      <c r="H17" s="16">
        <v>33</v>
      </c>
      <c r="J17" s="16">
        <v>1</v>
      </c>
    </row>
    <row r="18" spans="2:10" x14ac:dyDescent="0.35">
      <c r="B18" s="20" t="s">
        <v>164</v>
      </c>
      <c r="E18" s="26">
        <v>13</v>
      </c>
      <c r="F18" s="16" t="s">
        <v>401</v>
      </c>
      <c r="G18" s="16" t="s">
        <v>388</v>
      </c>
      <c r="H18" s="16">
        <v>98</v>
      </c>
      <c r="J18" s="16">
        <v>1</v>
      </c>
    </row>
    <row r="19" spans="2:10" x14ac:dyDescent="0.35">
      <c r="B19" s="21"/>
      <c r="E19" s="26">
        <v>14</v>
      </c>
      <c r="F19" s="16" t="s">
        <v>402</v>
      </c>
      <c r="G19" s="16" t="s">
        <v>388</v>
      </c>
      <c r="H19" s="16">
        <v>103</v>
      </c>
      <c r="J19" s="16">
        <v>1</v>
      </c>
    </row>
    <row r="20" spans="2:10" x14ac:dyDescent="0.35">
      <c r="B20" s="22"/>
      <c r="E20" s="26">
        <v>15</v>
      </c>
      <c r="F20" s="16" t="s">
        <v>403</v>
      </c>
      <c r="G20" s="16" t="s">
        <v>388</v>
      </c>
      <c r="H20" s="16">
        <v>81</v>
      </c>
      <c r="J20" s="16">
        <v>1</v>
      </c>
    </row>
    <row r="21" spans="2:10" x14ac:dyDescent="0.35">
      <c r="B21" s="22"/>
      <c r="E21" s="26">
        <v>16</v>
      </c>
      <c r="F21" s="16" t="s">
        <v>404</v>
      </c>
      <c r="G21" s="16" t="s">
        <v>388</v>
      </c>
      <c r="H21" s="16">
        <v>3</v>
      </c>
      <c r="J21" s="16">
        <v>1</v>
      </c>
    </row>
    <row r="22" spans="2:10" x14ac:dyDescent="0.35">
      <c r="B22" s="22"/>
      <c r="E22" s="26">
        <v>17</v>
      </c>
      <c r="F22" s="16" t="s">
        <v>405</v>
      </c>
      <c r="G22" s="16" t="s">
        <v>388</v>
      </c>
      <c r="H22" s="16">
        <v>30</v>
      </c>
      <c r="J22" s="16">
        <v>1</v>
      </c>
    </row>
    <row r="23" spans="2:10" x14ac:dyDescent="0.35">
      <c r="B23" s="23"/>
      <c r="E23" s="26">
        <v>18</v>
      </c>
      <c r="F23" s="16" t="s">
        <v>406</v>
      </c>
      <c r="G23" s="16" t="s">
        <v>388</v>
      </c>
      <c r="H23" s="16">
        <v>7</v>
      </c>
      <c r="J23" s="16">
        <v>1</v>
      </c>
    </row>
    <row r="24" spans="2:10" x14ac:dyDescent="0.35">
      <c r="B24" s="25"/>
      <c r="E24" s="26">
        <v>19</v>
      </c>
      <c r="F24" s="16" t="s">
        <v>407</v>
      </c>
      <c r="G24" s="16" t="s">
        <v>388</v>
      </c>
      <c r="H24" s="16">
        <v>5</v>
      </c>
      <c r="J24" s="16">
        <v>1</v>
      </c>
    </row>
    <row r="25" spans="2:10" x14ac:dyDescent="0.35">
      <c r="E25" s="26">
        <v>20</v>
      </c>
      <c r="F25" s="16" t="s">
        <v>408</v>
      </c>
      <c r="G25" s="16" t="s">
        <v>388</v>
      </c>
      <c r="H25" s="16">
        <v>3</v>
      </c>
      <c r="J25" s="16">
        <v>1</v>
      </c>
    </row>
    <row r="26" spans="2:10" x14ac:dyDescent="0.35">
      <c r="E26" s="26">
        <v>21</v>
      </c>
      <c r="F26" s="16" t="s">
        <v>430</v>
      </c>
      <c r="G26" s="16" t="s">
        <v>388</v>
      </c>
      <c r="H26" s="16">
        <v>15</v>
      </c>
      <c r="J26" s="16">
        <v>1</v>
      </c>
    </row>
    <row r="27" spans="2:10" x14ac:dyDescent="0.35">
      <c r="E27" s="26">
        <v>22</v>
      </c>
      <c r="F27" s="16" t="s">
        <v>431</v>
      </c>
      <c r="G27" s="16" t="s">
        <v>388</v>
      </c>
      <c r="H27" s="16">
        <v>6</v>
      </c>
      <c r="J27" s="16">
        <v>1</v>
      </c>
    </row>
    <row r="28" spans="2:10" x14ac:dyDescent="0.35">
      <c r="E28" s="26">
        <v>23</v>
      </c>
      <c r="F28" s="16" t="s">
        <v>482</v>
      </c>
      <c r="G28" s="16" t="s">
        <v>388</v>
      </c>
      <c r="H28" s="16">
        <v>0</v>
      </c>
      <c r="J28" s="16">
        <v>1</v>
      </c>
    </row>
    <row r="29" spans="2:10" x14ac:dyDescent="0.35">
      <c r="E29" s="26">
        <v>24</v>
      </c>
      <c r="F29" s="16" t="s">
        <v>483</v>
      </c>
      <c r="G29" s="16" t="s">
        <v>388</v>
      </c>
      <c r="H29" s="16">
        <v>0</v>
      </c>
      <c r="J29" s="16">
        <v>1</v>
      </c>
    </row>
    <row r="30" spans="2:10" x14ac:dyDescent="0.35">
      <c r="E30" s="26">
        <v>25</v>
      </c>
      <c r="F30" s="16" t="s">
        <v>492</v>
      </c>
      <c r="G30" s="16" t="s">
        <v>388</v>
      </c>
      <c r="H30" s="16">
        <v>1</v>
      </c>
      <c r="J30" s="16">
        <v>1</v>
      </c>
    </row>
    <row r="31" spans="2:10" x14ac:dyDescent="0.35">
      <c r="E31" s="26">
        <v>26</v>
      </c>
      <c r="F31" s="16" t="s">
        <v>493</v>
      </c>
      <c r="G31" s="16" t="s">
        <v>388</v>
      </c>
      <c r="H31" s="16">
        <v>0</v>
      </c>
      <c r="J31" s="16">
        <v>1</v>
      </c>
    </row>
    <row r="32" spans="2:10" x14ac:dyDescent="0.35">
      <c r="E32" s="26">
        <v>27</v>
      </c>
      <c r="F32" s="16" t="s">
        <v>494</v>
      </c>
      <c r="G32" s="16" t="s">
        <v>388</v>
      </c>
      <c r="H32" s="16">
        <v>0</v>
      </c>
      <c r="J32" s="16">
        <v>1</v>
      </c>
    </row>
  </sheetData>
  <mergeCells count="1">
    <mergeCell ref="E3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4" r:id="rId4" name="Button 12">
              <controlPr defaultSize="0" print="0" autoFill="0" autoPict="0" macro="[0]!ArchiveRetail_Click">
                <anchor moveWithCells="1" sizeWithCells="1">
                  <from>
                    <xdr:col>1</xdr:col>
                    <xdr:colOff>107950</xdr:colOff>
                    <xdr:row>10</xdr:row>
                    <xdr:rowOff>95250</xdr:rowOff>
                  </from>
                  <to>
                    <xdr:col>1</xdr:col>
                    <xdr:colOff>1498600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5" name="Button 13">
              <controlPr defaultSize="0" print="0" autoFill="0" autoPict="0" macro="[0]!ArchiveUS_Click">
                <anchor moveWithCells="1" sizeWithCells="1">
                  <from>
                    <xdr:col>1</xdr:col>
                    <xdr:colOff>2000250</xdr:colOff>
                    <xdr:row>10</xdr:row>
                    <xdr:rowOff>95250</xdr:rowOff>
                  </from>
                  <to>
                    <xdr:col>1</xdr:col>
                    <xdr:colOff>3390900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6" name="Button 14">
              <controlPr defaultSize="0" print="0" autoFill="0" autoPict="0" macro="[0]!ArchiveBroker_Click">
                <anchor moveWithCells="1" sizeWithCells="1">
                  <from>
                    <xdr:col>1</xdr:col>
                    <xdr:colOff>3886200</xdr:colOff>
                    <xdr:row>10</xdr:row>
                    <xdr:rowOff>107950</xdr:rowOff>
                  </from>
                  <to>
                    <xdr:col>1</xdr:col>
                    <xdr:colOff>5276850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7" name="Button 15">
              <controlPr defaultSize="0" print="0" autoFill="0" autoPict="0" macro="[0]!ArchiveAll_Click">
                <anchor moveWithCells="1" sizeWithCells="1">
                  <from>
                    <xdr:col>1</xdr:col>
                    <xdr:colOff>1479550</xdr:colOff>
                    <xdr:row>13</xdr:row>
                    <xdr:rowOff>88900</xdr:rowOff>
                  </from>
                  <to>
                    <xdr:col>1</xdr:col>
                    <xdr:colOff>3905250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8" name="Button 16">
              <controlPr defaultSize="0" print="0" autoFill="0" autoPict="0" macro="[0]!RefreshArchive_Click">
                <anchor moveWithCells="1" sizeWithCells="1">
                  <from>
                    <xdr:col>1</xdr:col>
                    <xdr:colOff>1498600</xdr:colOff>
                    <xdr:row>18</xdr:row>
                    <xdr:rowOff>152400</xdr:rowOff>
                  </from>
                  <to>
                    <xdr:col>1</xdr:col>
                    <xdr:colOff>4019550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9" name="Button 17">
              <controlPr defaultSize="0" print="0" autoFill="0" autoPict="0" macro="[0]!RefreshAll_Click">
                <anchor moveWithCells="1" sizeWithCells="1">
                  <from>
                    <xdr:col>1</xdr:col>
                    <xdr:colOff>1479550</xdr:colOff>
                    <xdr:row>5</xdr:row>
                    <xdr:rowOff>107950</xdr:rowOff>
                  </from>
                  <to>
                    <xdr:col>1</xdr:col>
                    <xdr:colOff>3905250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B02F4-7B92-4C10-A9D5-08CF4CFB3EA2}">
  <sheetPr codeName="Sheet1">
    <tabColor theme="5" tint="0.39997558519241921"/>
  </sheetPr>
  <dimension ref="A1:AG28"/>
  <sheetViews>
    <sheetView topLeftCell="A8" zoomScale="85" zoomScaleNormal="85" workbookViewId="0">
      <selection activeCell="K27" sqref="K27"/>
    </sheetView>
  </sheetViews>
  <sheetFormatPr defaultRowHeight="14.5" x14ac:dyDescent="0.35"/>
  <cols>
    <col min="1" max="1" width="31" bestFit="1" customWidth="1"/>
    <col min="2" max="2" width="10.453125" bestFit="1" customWidth="1"/>
    <col min="6" max="6" width="9.81640625" bestFit="1" customWidth="1"/>
    <col min="11" max="11" width="22.54296875" customWidth="1"/>
    <col min="13" max="13" width="9.81640625" bestFit="1" customWidth="1"/>
    <col min="17" max="17" width="9.54296875" bestFit="1" customWidth="1"/>
    <col min="20" max="20" width="11.7265625" bestFit="1" customWidth="1"/>
    <col min="21" max="21" width="9.54296875" bestFit="1" customWidth="1"/>
    <col min="22" max="22" width="9.7265625" bestFit="1" customWidth="1"/>
    <col min="23" max="23" width="9.81640625" bestFit="1" customWidth="1"/>
    <col min="24" max="24" width="13.81640625" bestFit="1" customWidth="1"/>
    <col min="25" max="25" width="10.81640625" bestFit="1" customWidth="1"/>
    <col min="26" max="26" width="13.453125" bestFit="1" customWidth="1"/>
    <col min="27" max="27" width="10" bestFit="1" customWidth="1"/>
    <col min="29" max="29" width="9.7265625" customWidth="1"/>
    <col min="30" max="30" width="10.7265625" customWidth="1"/>
  </cols>
  <sheetData>
    <row r="1" spans="1:30" ht="28" x14ac:dyDescent="0.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"/>
      <c r="X1" s="3"/>
      <c r="Y1" s="3"/>
      <c r="Z1" s="3"/>
      <c r="AA1" s="3"/>
      <c r="AB1" s="3"/>
      <c r="AD1" s="68" t="s">
        <v>486</v>
      </c>
    </row>
    <row r="2" spans="1:30" ht="25" x14ac:dyDescent="0.5">
      <c r="A2" s="3"/>
      <c r="B2" s="60" t="s">
        <v>376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3"/>
      <c r="AB2" s="3"/>
    </row>
    <row r="3" spans="1:30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spans="1:30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 spans="1:30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 spans="1:30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30" hidden="1" x14ac:dyDescent="0.35">
      <c r="A7" s="34" t="s">
        <v>360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pans="1:30" x14ac:dyDescent="0.35">
      <c r="A8" s="3"/>
      <c r="B8" s="3"/>
      <c r="C8" s="3"/>
      <c r="D8" s="3"/>
      <c r="E8" s="3"/>
      <c r="F8" s="3"/>
      <c r="G8" s="3"/>
      <c r="H8" s="3"/>
      <c r="I8" s="6"/>
      <c r="J8" s="6"/>
      <c r="K8" s="6"/>
      <c r="L8" s="6"/>
      <c r="M8" s="6"/>
      <c r="N8" s="6"/>
      <c r="O8" s="3"/>
      <c r="P8" s="3"/>
      <c r="Q8" s="3"/>
      <c r="R8" s="3"/>
      <c r="S8" s="3"/>
      <c r="T8" s="3"/>
      <c r="U8" s="3"/>
      <c r="V8" s="3"/>
      <c r="W8" s="3"/>
      <c r="Y8" s="3"/>
      <c r="Z8" s="3"/>
      <c r="AA8" s="3"/>
      <c r="AB8" s="3"/>
    </row>
    <row r="9" spans="1:30" ht="26.5" x14ac:dyDescent="0.35">
      <c r="A9" s="36"/>
      <c r="B9" s="37" t="s">
        <v>0</v>
      </c>
      <c r="C9" s="37" t="s">
        <v>0</v>
      </c>
      <c r="D9" s="37" t="s">
        <v>0</v>
      </c>
      <c r="E9" s="37" t="s">
        <v>1</v>
      </c>
      <c r="F9" s="37" t="s">
        <v>1</v>
      </c>
      <c r="G9" s="37" t="s">
        <v>1</v>
      </c>
      <c r="H9" s="37" t="s">
        <v>2</v>
      </c>
      <c r="I9" s="37" t="s">
        <v>2</v>
      </c>
      <c r="J9" s="37" t="s">
        <v>3</v>
      </c>
      <c r="K9" s="37" t="s">
        <v>4</v>
      </c>
      <c r="L9" s="37" t="s">
        <v>4</v>
      </c>
      <c r="M9" s="37" t="s">
        <v>4</v>
      </c>
      <c r="N9" s="37" t="s">
        <v>5</v>
      </c>
      <c r="O9" s="37" t="s">
        <v>5</v>
      </c>
      <c r="P9" s="37" t="s">
        <v>5</v>
      </c>
      <c r="Q9" s="37" t="s">
        <v>245</v>
      </c>
      <c r="R9" s="37" t="s">
        <v>6</v>
      </c>
      <c r="S9" s="37" t="s">
        <v>300</v>
      </c>
      <c r="T9" s="37" t="s">
        <v>7</v>
      </c>
      <c r="U9" s="37" t="s">
        <v>8</v>
      </c>
      <c r="V9" s="37" t="s">
        <v>9</v>
      </c>
      <c r="W9" s="37" t="s">
        <v>10</v>
      </c>
      <c r="X9" s="37" t="s">
        <v>13</v>
      </c>
      <c r="Y9" s="68" t="s">
        <v>14</v>
      </c>
      <c r="Z9" s="68" t="s">
        <v>471</v>
      </c>
      <c r="AA9" s="68" t="s">
        <v>474</v>
      </c>
      <c r="AB9" s="68" t="s">
        <v>485</v>
      </c>
      <c r="AC9" s="68" t="s">
        <v>486</v>
      </c>
      <c r="AD9" s="71" t="s">
        <v>486</v>
      </c>
    </row>
    <row r="10" spans="1:30" ht="52.5" x14ac:dyDescent="0.35">
      <c r="A10" s="38"/>
      <c r="B10" s="39" t="s">
        <v>15</v>
      </c>
      <c r="C10" s="39" t="s">
        <v>16</v>
      </c>
      <c r="D10" s="39" t="s">
        <v>17</v>
      </c>
      <c r="E10" s="39" t="s">
        <v>18</v>
      </c>
      <c r="F10" s="39" t="s">
        <v>19</v>
      </c>
      <c r="G10" s="39" t="s">
        <v>20</v>
      </c>
      <c r="H10" s="39" t="s">
        <v>363</v>
      </c>
      <c r="I10" s="39" t="s">
        <v>291</v>
      </c>
      <c r="J10" s="40" t="s">
        <v>365</v>
      </c>
      <c r="K10" s="39" t="s">
        <v>292</v>
      </c>
      <c r="L10" s="39" t="s">
        <v>293</v>
      </c>
      <c r="M10" s="39" t="s">
        <v>21</v>
      </c>
      <c r="N10" s="39" t="s">
        <v>294</v>
      </c>
      <c r="O10" s="39" t="s">
        <v>295</v>
      </c>
      <c r="P10" s="39" t="s">
        <v>22</v>
      </c>
      <c r="Q10" s="39" t="s">
        <v>296</v>
      </c>
      <c r="R10" s="39" t="s">
        <v>19</v>
      </c>
      <c r="S10" s="39" t="s">
        <v>297</v>
      </c>
      <c r="T10" s="39" t="s">
        <v>23</v>
      </c>
      <c r="U10" s="39" t="s">
        <v>24</v>
      </c>
      <c r="V10" s="39" t="s">
        <v>364</v>
      </c>
      <c r="W10" s="39" t="s">
        <v>25</v>
      </c>
      <c r="X10" s="39" t="s">
        <v>27</v>
      </c>
      <c r="Y10" s="40" t="s">
        <v>28</v>
      </c>
      <c r="Z10" s="40" t="s">
        <v>472</v>
      </c>
      <c r="AA10" s="40" t="s">
        <v>479</v>
      </c>
      <c r="AB10" s="40" t="s">
        <v>19</v>
      </c>
      <c r="AC10" s="40" t="s">
        <v>487</v>
      </c>
      <c r="AD10" s="40" t="s">
        <v>488</v>
      </c>
    </row>
    <row r="11" spans="1:30" s="70" customFormat="1" x14ac:dyDescent="0.35">
      <c r="A11" s="33" t="s">
        <v>481</v>
      </c>
      <c r="B11" s="33">
        <f>INDEX(CIBC!$C$2:$F$3,MATCH(VALUE(LEFT(A11,FIND(" ",A11)-1)),CIBC!$F$2:$F$3,1),2)*100</f>
        <v>0.05</v>
      </c>
      <c r="C11" s="33">
        <f>INDEX(CIBC!$C$4:$F$5,MATCH(VALUE(LEFT(A11,FIND(" ",A11)-1)),CIBC!$F$4:$F$5,1),2)*100</f>
        <v>0.02</v>
      </c>
      <c r="D11" s="33">
        <f>INDEX(CIBC!$C$6:$F$6,MATCH(VALUE(LEFT(A11,FIND(" ",A11)-1)),CIBC!$F$6:$F$6,1),2)*100</f>
        <v>0.01</v>
      </c>
      <c r="E11" s="32">
        <f>INDEX(TD!$B$4:$E$9,MATCH(VALUE(LEFT(A11,FIND(" ",A11)-1)),TD!$E$4:$E$9,1),2)*100</f>
        <v>0.01</v>
      </c>
      <c r="F11" s="31">
        <f>INDEX(TD!$B$11:$E$16,MATCH(VALUE(LEFT(A11,FIND(" ",A11)-1)),TD!$E$11:$E$16,1),2)*100</f>
        <v>0.05</v>
      </c>
      <c r="G11" s="31">
        <f>INDEX(TD!$B$18:$E$23,MATCH(VALUE(LEFT(A11,FIND(" ",A11)-1)),TD!$E$18:$E$23,1),2)*100</f>
        <v>0.1</v>
      </c>
      <c r="H11" s="31">
        <f>INDEX(BMO!$B$2:$E$4,MATCH(VALUE(LEFT(A11,FIND(" ",A11)-1)),BMO!$E$2:$E$4,1),2)*100</f>
        <v>0.05</v>
      </c>
      <c r="I11" s="33">
        <f>INDEX(BMO!$B$5:$E$6,MATCH(VALUE(LEFT(A11,FIND(" ",A11)-1)),BMO!$E$5:$E$6,1),2)*100</f>
        <v>0.05</v>
      </c>
      <c r="J11" s="31">
        <f>INDEX(BMO!$B$7:$E$8,MATCH(VALUE(LEFT(A11,FIND(" ",A11)-1)),BMO!$E$7:$E$8,1),2)*100</f>
        <v>0.01</v>
      </c>
      <c r="K11" s="79" t="str">
        <f>(BNS!$D$36)*100 &amp; " + " &amp; (BNS!$E$35)*100 &amp; ", "&amp; (BNS!$E$34)*100 &amp; ", "&amp; (BNS!$E$33)*100 &amp; ", "&amp; (BNS!$E$32)*100</f>
        <v>0.05 + 0.55, 0.65, 0.75, 1.1</v>
      </c>
      <c r="L11" s="79">
        <f>INDEX(BNS!$B$28:$C$29,MATCH(VALUE(LEFT(A11,FIND(" ",A11)-1)),BNS!$G$28:$G$29,1),2)*100</f>
        <v>0.05</v>
      </c>
      <c r="M11" s="79">
        <f>INDEX(BNS!$B$25:$C$27,MATCH(VALUE(LEFT(A11,FIND(" ",A11)-1)),BNS!$G$25:$G$27,1),2)*100</f>
        <v>0.2</v>
      </c>
      <c r="N11" s="33" t="str">
        <f>INDEX(RBC!$A$168:$E$168,MATCH(VALUE(LEFT(A11,FIND(" ",A11)-1)),RBC!$E$168:$E$168,1),3)</f>
        <v>0.050</v>
      </c>
      <c r="O11" s="33" t="str">
        <f>INDEX(RBC!$A$160:$E$167,MATCH(VALUE(LEFT(A11,FIND(" ",A11)-1)),RBC!$E$160:$E$167,1),3)</f>
        <v>0.010 P</v>
      </c>
      <c r="P11" s="33" t="str">
        <f>INDEX(RBC!$A$156:$E$159,MATCH(VALUE(LEFT(A11,FIND(" ",A11)-1)),RBC!$E$156:$E$159,1),3)</f>
        <v>0.010 P</v>
      </c>
      <c r="Q11" s="47">
        <v>0.25</v>
      </c>
      <c r="R11" s="33">
        <f>(Simplii_HISA[Data.Annual rate])*100</f>
        <v>0.2</v>
      </c>
      <c r="S11" s="32">
        <f>LEFT((ICICI!$B$3),5)*100</f>
        <v>0.5</v>
      </c>
      <c r="T11" s="33">
        <f>(NBC!$C$28)*100</f>
        <v>0.15</v>
      </c>
      <c r="U11" s="33">
        <f>(Manulife!$C$6)*100</f>
        <v>0.44999999999999996</v>
      </c>
      <c r="V11" s="33">
        <f>INDEX(HSBC!$B$2:$I$5,MATCH(VALUE(LEFT(A11,FIND(" ",A11)-1)),HSBC!$I$2:$I$5,1),2)*100</f>
        <v>0.15</v>
      </c>
      <c r="W11" s="31">
        <f>(CT!$B$2)*100</f>
        <v>1.7999999999999998</v>
      </c>
      <c r="X11" s="33">
        <f>(Meridian!$A$2)*100</f>
        <v>0.5</v>
      </c>
      <c r="Y11" s="33">
        <f>(EQ!$B$2)*100</f>
        <v>1.7500000000000002</v>
      </c>
      <c r="Z11" s="33">
        <f>(Wealthsimple!$C$2)*100</f>
        <v>0.89999999999999991</v>
      </c>
      <c r="AA11" s="33">
        <f>('LBC Digital'!B3)*100</f>
        <v>0.65</v>
      </c>
      <c r="AB11" s="33" cm="1">
        <f t="array" ref="AB11">(MotusBank_HISA[Interest Rate])*100</f>
        <v>1.4000000000000001</v>
      </c>
      <c r="AC11" s="33">
        <f>INDEX('Motive Financial'!$B$2:$E$3,MATCH(VALUE(LEFT(A11,FIND(" ",A11)-1)),'Motive Financial'!$E$2:$E$3,1),2)*100</f>
        <v>1.25</v>
      </c>
      <c r="AD11" s="33" cm="1">
        <f t="array" ref="AD11">(Motive_Savvy_Savings_Account[Interest Rate])*100</f>
        <v>1.7500000000000002</v>
      </c>
    </row>
    <row r="12" spans="1:30" x14ac:dyDescent="0.35">
      <c r="A12" s="33" t="s">
        <v>480</v>
      </c>
      <c r="B12" s="33">
        <f>INDEX(CIBC!$C$2:$F$3,MATCH(VALUE(LEFT(A12,FIND(" ",A12)-1)),CIBC!$F$2:$F$3,1),2)*100</f>
        <v>0.05</v>
      </c>
      <c r="C12" s="33">
        <f>INDEX(CIBC!$C$4:$F$5,MATCH(VALUE(LEFT(A12,FIND(" ",A12)-1)),CIBC!$F$4:$F$5,1),2)*100</f>
        <v>0.02</v>
      </c>
      <c r="D12" s="33">
        <f>INDEX(CIBC!$C$6:$F$6,MATCH(VALUE(LEFT(A12,FIND(" ",A12)-1)),CIBC!$F$6:$F$6,1),2)*100</f>
        <v>0.01</v>
      </c>
      <c r="E12" s="32">
        <f>INDEX(TD!$B$4:$E$9,MATCH(VALUE(LEFT(A12,FIND(" ",A12)-1)),TD!$E$4:$E$9,1),2)*100</f>
        <v>0.01</v>
      </c>
      <c r="F12" s="31">
        <f>INDEX(TD!$B$11:$E$16,MATCH(VALUE(LEFT(A12,FIND(" ",A12)-1)),TD!$E$11:$E$16,1),2)*100</f>
        <v>0.05</v>
      </c>
      <c r="G12" s="31">
        <f>INDEX(TD!$B$18:$E$23,MATCH(VALUE(LEFT(A12,FIND(" ",A12)-1)),TD!$E$18:$E$23,1),2)*100</f>
        <v>0.1</v>
      </c>
      <c r="H12" s="31">
        <f>INDEX(BMO!$B$2:$E$4,MATCH(VALUE(LEFT(A12,FIND(" ",A12)-1)),BMO!$E$2:$E$4,1),2)*100</f>
        <v>0.05</v>
      </c>
      <c r="I12" s="33">
        <f>INDEX(BMO!$B$5:$E$6,MATCH(VALUE(LEFT(A12,FIND(" ",A12)-1)),BMO!$E$5:$E$6,1),2)*100</f>
        <v>0.05</v>
      </c>
      <c r="J12" s="31">
        <f>INDEX(BMO!$B$7:$E$8,MATCH(VALUE(LEFT(A12,FIND(" ",A12)-1)),BMO!$E$7:$E$8,1),2)*100</f>
        <v>0.01</v>
      </c>
      <c r="K12" s="79" t="str">
        <f>(BNS!$D$36)*100 &amp; " + " &amp; (BNS!$E$35)*100 &amp; ", "&amp; (BNS!$E$34)*100 &amp; ", "&amp; (BNS!$E$33)*100 &amp; ", "&amp; (BNS!$E$32)*100</f>
        <v>0.05 + 0.55, 0.65, 0.75, 1.1</v>
      </c>
      <c r="L12" s="79">
        <f>INDEX(BNS!$B$28:$C$29,MATCH(VALUE(LEFT(A12,FIND(" ",A12)-1)),BNS!$G$28:$G$29,1),2)*100</f>
        <v>0.05</v>
      </c>
      <c r="M12" s="79">
        <f>INDEX(BNS!$B$25:$C$27,MATCH(VALUE(LEFT(A12,FIND(" ",A12)-1)),BNS!$G$25:$G$27,1),2)*100</f>
        <v>0.2</v>
      </c>
      <c r="N12" s="33" t="str">
        <f>INDEX(RBC!$A$168:$E$168,MATCH(VALUE(LEFT(A12,FIND(" ",A12)-1)),RBC!$E$168:$E$168,1),3)</f>
        <v>0.050</v>
      </c>
      <c r="O12" s="33" t="str">
        <f>INDEX(RBC!$A$160:$E$167,MATCH(VALUE(LEFT(A12,FIND(" ",A12)-1)),RBC!$E$160:$E$167,1),3)</f>
        <v>0.010 P</v>
      </c>
      <c r="P12" s="33" t="str">
        <f>INDEX(RBC!$A$156:$E$159,MATCH(VALUE(LEFT(A12,FIND(" ",A12)-1)),RBC!$E$156:$E$159,1),3)</f>
        <v>0.010 P</v>
      </c>
      <c r="Q12" s="47">
        <v>0.25</v>
      </c>
      <c r="R12" s="33">
        <f>(Simplii_HISA[Data.Annual rate])*100</f>
        <v>0.2</v>
      </c>
      <c r="S12" s="32">
        <f>LEFT((ICICI!$B$3),5)*100</f>
        <v>0.5</v>
      </c>
      <c r="T12" s="33">
        <f>(NBC!$C$28)*100</f>
        <v>0.15</v>
      </c>
      <c r="U12" s="33">
        <f>(Manulife!$C$6)*100</f>
        <v>0.44999999999999996</v>
      </c>
      <c r="V12" s="33">
        <f>INDEX(HSBC!$B$2:$I$5,MATCH(VALUE(LEFT(A12,FIND(" ",A12)-1)),HSBC!$I$2:$I$5,1),2)*100</f>
        <v>0.15</v>
      </c>
      <c r="W12" s="31">
        <f>(CT!$B$2)*100</f>
        <v>1.7999999999999998</v>
      </c>
      <c r="X12" s="33">
        <f>(Meridian!$A$2)*100</f>
        <v>0.5</v>
      </c>
      <c r="Y12" s="33">
        <f>(EQ!$B$2)*100</f>
        <v>1.7500000000000002</v>
      </c>
      <c r="Z12" s="33">
        <f>(Wealthsimple!$C$2)*100</f>
        <v>0.89999999999999991</v>
      </c>
      <c r="AA12" s="33">
        <f>INDEX('LBC Digital'!$A$1:$D$3,MATCH(VALUE(LEFT(A12,FIND(" ",A12)-1)),'LBC Digital'!$B$2:$B$3,1),2)*100</f>
        <v>1.6500000000000001</v>
      </c>
      <c r="AB12" s="33" cm="1">
        <f t="array" ref="AB12">(MotusBank_HISA[Interest Rate])*100</f>
        <v>1.4000000000000001</v>
      </c>
      <c r="AC12" s="33">
        <f>INDEX('Motive Financial'!$B$2:$E$3,MATCH(VALUE(LEFT(A12,FIND(" ",A12)-1)),'Motive Financial'!$E$2:$E$3,1),2)*100</f>
        <v>1.25</v>
      </c>
      <c r="AD12" s="33" cm="1">
        <f t="array" ref="AD12">(Motive_Savvy_Savings_Account[Interest Rate])*100</f>
        <v>1.7500000000000002</v>
      </c>
    </row>
    <row r="13" spans="1:30" x14ac:dyDescent="0.35">
      <c r="A13" s="33" t="s">
        <v>314</v>
      </c>
      <c r="B13" s="33">
        <f>INDEX(CIBC!$C$2:$F$3,MATCH(VALUE(LEFT(A13,FIND(" ",A13)-1)),CIBC!$F$2:$F$3,1),2)*100</f>
        <v>0.05</v>
      </c>
      <c r="C13" s="33">
        <f>INDEX(CIBC!$C$4:$F$5,MATCH(VALUE(LEFT(A13,FIND(" ",A13)-1)),CIBC!$F$4:$F$5,1),2)*100</f>
        <v>0.02</v>
      </c>
      <c r="D13" s="33">
        <f>INDEX(CIBC!$C$6:$F$6,MATCH(VALUE(LEFT(A13,FIND(" ",A13)-1)),CIBC!$F$6:$F$6,1),2)*100</f>
        <v>0.01</v>
      </c>
      <c r="E13" s="32">
        <f>INDEX(TD!$B$4:$E$9,MATCH(VALUE(LEFT(A13,FIND(" ",A13)-1)),TD!$E$4:$E$9,1),2)*100</f>
        <v>0.01</v>
      </c>
      <c r="F13" s="31">
        <f>INDEX(TD!$B$11:$E$16,MATCH(VALUE(LEFT(A13,FIND(" ",A13)-1)),TD!$E$11:$E$16,1),2)*100</f>
        <v>0.05</v>
      </c>
      <c r="G13" s="31">
        <f>INDEX(TD!$B$18:$E$23,MATCH(VALUE(LEFT(A13,FIND(" ",A13)-1)),TD!$E$18:$E$23,1),2)*100</f>
        <v>0.1</v>
      </c>
      <c r="H13" s="31">
        <f>INDEX(BMO!$B$2:$E$4,MATCH(VALUE(LEFT(A13,FIND(" ",A13)-1)),BMO!$E$2:$E$4,1),2)*100</f>
        <v>0.5</v>
      </c>
      <c r="I13" s="33">
        <f>INDEX(BMO!$B$5:$E$6,MATCH(VALUE(LEFT(A13,FIND(" ",A13)-1)),BMO!$E$5:$E$6,1),2)*100</f>
        <v>0.05</v>
      </c>
      <c r="J13" s="31">
        <f>INDEX(BMO!$B$7:$E$8,MATCH(VALUE(LEFT(A13,FIND(" ",A13)-1)),BMO!$E$7:$E$8,1),2)*100</f>
        <v>0.01</v>
      </c>
      <c r="K13" s="79" t="str">
        <f>(BNS!$D$36)*100 &amp; " + " &amp; (BNS!$E$35)*100 &amp; ", "&amp; (BNS!$E$34)*100 &amp; ", "&amp; (BNS!$E$33)*100 &amp; ", "&amp; (BNS!$E$32)*100</f>
        <v>0.05 + 0.55, 0.65, 0.75, 1.1</v>
      </c>
      <c r="L13" s="79">
        <f>INDEX(BNS!$B$28:$C$29,MATCH(VALUE(LEFT(A13,FIND(" ",A13)-1)),BNS!$G$28:$G$29,1),2)*100</f>
        <v>0.05</v>
      </c>
      <c r="M13" s="79">
        <f>INDEX(BNS!$B$25:$C$27,MATCH(VALUE(LEFT(A13,FIND(" ",A13)-1)),BNS!$G$25:$G$27,1),2)*100</f>
        <v>0.1</v>
      </c>
      <c r="N13" s="33" t="str">
        <f>INDEX(RBC!$A$168:$E$168,MATCH(VALUE(LEFT(A13,FIND(" ",A13)-1)),RBC!$E$168:$E$168,1),3)</f>
        <v>0.050</v>
      </c>
      <c r="O13" s="33" t="str">
        <f>INDEX(RBC!$A$160:$E$167,MATCH(VALUE(LEFT(A13,FIND(" ",A13)-1)),RBC!$E$160:$E$167,1),3)</f>
        <v>0.010 P</v>
      </c>
      <c r="P13" s="33" t="str">
        <f>INDEX(RBC!$A$156:$E$159,MATCH(VALUE(LEFT(A13,FIND(" ",A13)-1)),RBC!$E$156:$E$159,1),3)</f>
        <v>0.010 P</v>
      </c>
      <c r="Q13" s="47">
        <f>$Q$12</f>
        <v>0.25</v>
      </c>
      <c r="R13" s="33">
        <f>(Simplii_HISA[Data.Annual rate])*100</f>
        <v>0.2</v>
      </c>
      <c r="S13" s="32">
        <f>LEFT((ICICI!$B$3),5)*100</f>
        <v>0.5</v>
      </c>
      <c r="T13" s="33">
        <f>(NBC!$C$28)*100</f>
        <v>0.15</v>
      </c>
      <c r="U13" s="33">
        <f>(Manulife!$C$6)*100</f>
        <v>0.44999999999999996</v>
      </c>
      <c r="V13" s="33">
        <f>INDEX(HSBC!$B$2:$I$5,MATCH(VALUE(LEFT(A13,FIND(" ",A13)-1)),HSBC!$I$2:$I$5,1),2)*100</f>
        <v>0.15</v>
      </c>
      <c r="W13" s="31">
        <f>(CT!$B$2)*100</f>
        <v>1.7999999999999998</v>
      </c>
      <c r="X13" s="33">
        <f>(Meridian!$A$2)*100</f>
        <v>0.5</v>
      </c>
      <c r="Y13" s="33">
        <f>(EQ!$B$2)*100</f>
        <v>1.7500000000000002</v>
      </c>
      <c r="Z13" s="33">
        <f>(Wealthsimple!$C$2)*100</f>
        <v>0.89999999999999991</v>
      </c>
      <c r="AA13" s="33">
        <f>INDEX('LBC Digital'!$A$1:$D$3,MATCH(VALUE(LEFT(A13,FIND(" ",A13)-1)),'LBC Digital'!$B$2:$B$3,1),2)*100</f>
        <v>1.6500000000000001</v>
      </c>
      <c r="AB13" s="33" cm="1">
        <f t="array" ref="AB13">(MotusBank_HISA[Interest Rate])*100</f>
        <v>1.4000000000000001</v>
      </c>
      <c r="AC13" s="33">
        <f>INDEX('Motive Financial'!$B$2:$E$3,MATCH(VALUE(LEFT(A13,FIND(" ",A13)-1)),'Motive Financial'!$E$2:$E$3,1),2)*100</f>
        <v>1.25</v>
      </c>
      <c r="AD13" s="33" cm="1">
        <f t="array" ref="AD13">(Motive_Savvy_Savings_Account[Interest Rate])*100</f>
        <v>1.7500000000000002</v>
      </c>
    </row>
    <row r="14" spans="1:30" x14ac:dyDescent="0.35">
      <c r="A14" s="33" t="s">
        <v>315</v>
      </c>
      <c r="B14" s="33">
        <f>INDEX(CIBC!$C$2:$F$3,MATCH(VALUE(LEFT(A14,FIND(" ",A14)-1)),CIBC!$F$2:$F$3,1),2)*100</f>
        <v>0.05</v>
      </c>
      <c r="C14" s="33">
        <f>INDEX(CIBC!$C$4:$F$5,MATCH(VALUE(LEFT(A14,FIND(" ",A14)-1)),CIBC!$F$4:$F$5,1),2)*100</f>
        <v>0.02</v>
      </c>
      <c r="D14" s="33">
        <f>INDEX(CIBC!$C$6:$F$6,MATCH(VALUE(LEFT(A14,FIND(" ",A14)-1)),CIBC!$F$6:$F$6,1),2)*100</f>
        <v>0.01</v>
      </c>
      <c r="E14" s="32">
        <f>INDEX(TD!$B$4:$E$9,MATCH(VALUE(LEFT(A14,FIND(" ",A14)-1)),TD!$E$4:$E$9,1),2)*100</f>
        <v>0.01</v>
      </c>
      <c r="F14" s="31">
        <f>INDEX(TD!$B$11:$E$16,MATCH(VALUE(LEFT(A14,FIND(" ",A14)-1)),TD!$E$11:$E$16,1),2)*100</f>
        <v>0.05</v>
      </c>
      <c r="G14" s="31">
        <f>INDEX(TD!$B$18:$E$23,MATCH(VALUE(LEFT(A14,FIND(" ",A14)-1)),TD!$E$18:$E$23,1),2)*100</f>
        <v>0.1</v>
      </c>
      <c r="H14" s="31">
        <f>INDEX(BMO!$B$2:$E$4,MATCH(VALUE(LEFT(A14,FIND(" ",A14)-1)),BMO!$E$2:$E$4,1),2)*100</f>
        <v>0.5</v>
      </c>
      <c r="I14" s="33">
        <f>INDEX(BMO!$B$5:$E$6,MATCH(VALUE(LEFT(A14,FIND(" ",A14)-1)),BMO!$E$5:$E$6,1),2)*100</f>
        <v>0.05</v>
      </c>
      <c r="J14" s="31">
        <f>INDEX(BMO!$B$7:$E$8,MATCH(VALUE(LEFT(A14,FIND(" ",A14)-1)),BMO!$E$7:$E$8,1),2)*100</f>
        <v>0.01</v>
      </c>
      <c r="K14" s="79" t="str">
        <f>(BNS!$D$36)*100 &amp; " + " &amp; (BNS!$E$35)*100 &amp; ", "&amp; (BNS!$E$34)*100 &amp; ", "&amp; (BNS!$E$33)*100 &amp; ", "&amp; (BNS!$E$32)*100</f>
        <v>0.05 + 0.55, 0.65, 0.75, 1.1</v>
      </c>
      <c r="L14" s="79">
        <f>INDEX(BNS!$B$28:$C$29,MATCH(VALUE(LEFT(A14,FIND(" ",A14)-1)),BNS!$G$28:$G$29,1),2)*100</f>
        <v>0.05</v>
      </c>
      <c r="M14" s="79">
        <f>INDEX(BNS!$B$25:$C$27,MATCH(VALUE(LEFT(A14,FIND(" ",A14)-1)),BNS!$G$25:$G$27,1),2)*100</f>
        <v>0.1</v>
      </c>
      <c r="N14" s="33" t="str">
        <f>INDEX(RBC!$A$168:$E$168,MATCH(VALUE(LEFT(A14,FIND(" ",A14)-1)),RBC!$E$168:$E$168,1),3)</f>
        <v>0.050</v>
      </c>
      <c r="O14" s="33" t="str">
        <f>INDEX(RBC!$A$160:$E$167,MATCH(VALUE(LEFT(A14,FIND(" ",A14)-1)),RBC!$E$160:$E$167,1),3)</f>
        <v>0.010 P</v>
      </c>
      <c r="P14" s="33" t="str">
        <f>INDEX(RBC!$A$156:$E$159,MATCH(VALUE(LEFT(A14,FIND(" ",A14)-1)),RBC!$E$156:$E$159,1),3)</f>
        <v>0.010 P</v>
      </c>
      <c r="Q14" s="47">
        <f t="shared" ref="Q14:Q22" si="0">$Q$12</f>
        <v>0.25</v>
      </c>
      <c r="R14" s="33">
        <f>(Simplii_HISA[Data.Annual rate])*100</f>
        <v>0.2</v>
      </c>
      <c r="S14" s="32">
        <f>LEFT((ICICI!$B$3),5)*100</f>
        <v>0.5</v>
      </c>
      <c r="T14" s="33">
        <f>(NBC!$C$28)*100</f>
        <v>0.15</v>
      </c>
      <c r="U14" s="33">
        <f>(Manulife!$C$6)*100</f>
        <v>0.44999999999999996</v>
      </c>
      <c r="V14" s="33">
        <f>INDEX(HSBC!$B$2:$I$5,MATCH(VALUE(LEFT(A14,FIND(" ",A14)-1)),HSBC!$I$2:$I$5,1),2)*100</f>
        <v>0.15</v>
      </c>
      <c r="W14" s="31">
        <f>(CT!$B$2)*100</f>
        <v>1.7999999999999998</v>
      </c>
      <c r="X14" s="33">
        <f>(Meridian!$A$2)*100</f>
        <v>0.5</v>
      </c>
      <c r="Y14" s="33">
        <f>(EQ!$B$2)*100</f>
        <v>1.7500000000000002</v>
      </c>
      <c r="Z14" s="33">
        <f>(Wealthsimple!$C$2)*100</f>
        <v>0.89999999999999991</v>
      </c>
      <c r="AA14" s="33">
        <f>INDEX('LBC Digital'!$A$1:$D$3,MATCH(VALUE(LEFT(A14,FIND(" ",A14)-1)),'LBC Digital'!$B$2:$B$3,1),2)*100</f>
        <v>1.6500000000000001</v>
      </c>
      <c r="AB14" s="33" cm="1">
        <f t="array" ref="AB14">(MotusBank_HISA[Interest Rate])*100</f>
        <v>1.4000000000000001</v>
      </c>
      <c r="AC14" s="33">
        <f>INDEX('Motive Financial'!$B$2:$E$3,MATCH(VALUE(LEFT(A14,FIND(" ",A14)-1)),'Motive Financial'!$E$2:$E$3,1),2)*100</f>
        <v>1.25</v>
      </c>
      <c r="AD14" s="33" cm="1">
        <f t="array" ref="AD14">(Motive_Savvy_Savings_Account[Interest Rate])*100</f>
        <v>1.7500000000000002</v>
      </c>
    </row>
    <row r="15" spans="1:30" x14ac:dyDescent="0.35">
      <c r="A15" s="33" t="s">
        <v>316</v>
      </c>
      <c r="B15" s="33">
        <f>INDEX(CIBC!$C$2:$F$3,MATCH(VALUE(LEFT(A15,FIND(" ",A15)-1)),CIBC!$F$2:$F$3,1),2)*100</f>
        <v>0.05</v>
      </c>
      <c r="C15" s="33">
        <f>INDEX(CIBC!$C$4:$F$5,MATCH(VALUE(LEFT(A15,FIND(" ",A15)-1)),CIBC!$F$4:$F$5,1),2)*100</f>
        <v>0.02</v>
      </c>
      <c r="D15" s="33">
        <f>INDEX(CIBC!$C$6:$F$6,MATCH(VALUE(LEFT(A15,FIND(" ",A15)-1)),CIBC!$F$6:$F$6,1),2)*100</f>
        <v>0.01</v>
      </c>
      <c r="E15" s="32">
        <f>INDEX(TD!$B$4:$E$9,MATCH(VALUE(LEFT(A15,FIND(" ",A15)-1)),TD!$E$4:$E$9,1),2)*100</f>
        <v>0.01</v>
      </c>
      <c r="F15" s="31">
        <f>INDEX(TD!$B$11:$E$16,MATCH(VALUE(LEFT(A15,FIND(" ",A15)-1)),TD!$E$11:$E$16,1),2)*100</f>
        <v>0.05</v>
      </c>
      <c r="G15" s="31">
        <f>INDEX(TD!$B$18:$E$23,MATCH(VALUE(LEFT(A15,FIND(" ",A15)-1)),TD!$E$18:$E$23,1),2)*100</f>
        <v>0.1</v>
      </c>
      <c r="H15" s="31">
        <f>INDEX(BMO!$B$2:$E$4,MATCH(VALUE(LEFT(A15,FIND(" ",A15)-1)),BMO!$E$2:$E$4,1),2)*100</f>
        <v>0.5</v>
      </c>
      <c r="I15" s="33">
        <f>INDEX(BMO!$B$5:$E$6,MATCH(VALUE(LEFT(A15,FIND(" ",A15)-1)),BMO!$E$5:$E$6,1),2)*100</f>
        <v>0.05</v>
      </c>
      <c r="J15" s="31">
        <f>INDEX(BMO!$B$7:$E$8,MATCH(VALUE(LEFT(A15,FIND(" ",A15)-1)),BMO!$E$7:$E$8,1),2)*100</f>
        <v>0.01</v>
      </c>
      <c r="K15" s="79" t="str">
        <f>(BNS!$D$36)*100 &amp; " + " &amp; (BNS!$E$35)*100 &amp; ", "&amp; (BNS!$E$34)*100 &amp; ", "&amp; (BNS!$E$33)*100 &amp; ", "&amp; (BNS!$E$32)*100</f>
        <v>0.05 + 0.55, 0.65, 0.75, 1.1</v>
      </c>
      <c r="L15" s="79">
        <f>INDEX(BNS!$B$28:$C$29,MATCH(VALUE(LEFT(A15,FIND(" ",A15)-1)),BNS!$G$28:$G$29,1),2)*100</f>
        <v>0.05</v>
      </c>
      <c r="M15" s="79">
        <f>INDEX(BNS!$B$25:$C$27,MATCH(VALUE(LEFT(A15,FIND(" ",A15)-1)),BNS!$G$25:$G$27,1),2)*100</f>
        <v>0.1</v>
      </c>
      <c r="N15" s="33" t="str">
        <f>INDEX(RBC!$A$168:$E$168,MATCH(VALUE(LEFT(A15,FIND(" ",A15)-1)),RBC!$E$168:$E$168,1),3)</f>
        <v>0.050</v>
      </c>
      <c r="O15" s="33" t="str">
        <f>INDEX(RBC!$A$160:$E$167,MATCH(VALUE(LEFT(A15,FIND(" ",A15)-1)),RBC!$E$160:$E$167,1),3)</f>
        <v>0.010 P</v>
      </c>
      <c r="P15" s="33" t="str">
        <f>INDEX(RBC!$A$156:$E$159,MATCH(VALUE(LEFT(A15,FIND(" ",A15)-1)),RBC!$E$156:$E$159,1),3)</f>
        <v>0.010 P</v>
      </c>
      <c r="Q15" s="47">
        <f t="shared" si="0"/>
        <v>0.25</v>
      </c>
      <c r="R15" s="33">
        <f>(Simplii_HISA[Data.Annual rate])*100</f>
        <v>0.2</v>
      </c>
      <c r="S15" s="32">
        <f>LEFT((ICICI!$B$3),5)*100</f>
        <v>0.5</v>
      </c>
      <c r="T15" s="33">
        <f>(NBC!$C$28)*100</f>
        <v>0.15</v>
      </c>
      <c r="U15" s="33">
        <f>(Manulife!$C$6)*100</f>
        <v>0.44999999999999996</v>
      </c>
      <c r="V15" s="33">
        <f>INDEX(HSBC!$B$2:$I$5,MATCH(VALUE(LEFT(A15,FIND(" ",A15)-1)),HSBC!$I$2:$I$5,1),2)*100</f>
        <v>0.15</v>
      </c>
      <c r="W15" s="31">
        <f>(CT!$B$2)*100</f>
        <v>1.7999999999999998</v>
      </c>
      <c r="X15" s="33">
        <f>(Meridian!$A$2)*100</f>
        <v>0.5</v>
      </c>
      <c r="Y15" s="33">
        <f>(EQ!$B$2)*100</f>
        <v>1.7500000000000002</v>
      </c>
      <c r="Z15" s="33">
        <f>(Wealthsimple!$C$2)*100</f>
        <v>0.89999999999999991</v>
      </c>
      <c r="AA15" s="33">
        <f>INDEX('LBC Digital'!$A$1:$D$3,MATCH(VALUE(LEFT(A15,FIND(" ",A15)-1)),'LBC Digital'!$B$2:$B$3,1),2)*100</f>
        <v>1.6500000000000001</v>
      </c>
      <c r="AB15" s="33" cm="1">
        <f t="array" ref="AB15">(MotusBank_HISA[Interest Rate])*100</f>
        <v>1.4000000000000001</v>
      </c>
      <c r="AC15" s="33">
        <f>INDEX('Motive Financial'!$B$2:$E$3,MATCH(VALUE(LEFT(A15,FIND(" ",A15)-1)),'Motive Financial'!$E$2:$E$3,1),2)*100</f>
        <v>1.25</v>
      </c>
      <c r="AD15" s="33" cm="1">
        <f t="array" ref="AD15">(Motive_Savvy_Savings_Account[Interest Rate])*100</f>
        <v>1.7500000000000002</v>
      </c>
    </row>
    <row r="16" spans="1:30" x14ac:dyDescent="0.35">
      <c r="A16" s="33" t="s">
        <v>317</v>
      </c>
      <c r="B16" s="33">
        <f>INDEX(CIBC!$C$2:$F$3,MATCH(VALUE(LEFT(A16,FIND(" ",A16)-1)),CIBC!$F$2:$F$3,1),2)*100</f>
        <v>0.05</v>
      </c>
      <c r="C16" s="33">
        <f>INDEX(CIBC!$C$4:$F$5,MATCH(VALUE(LEFT(A16,FIND(" ",A16)-1)),CIBC!$F$4:$F$5,1),2)*100</f>
        <v>0.02</v>
      </c>
      <c r="D16" s="33">
        <f>INDEX(CIBC!$C$6:$F$6,MATCH(VALUE(LEFT(A16,FIND(" ",A16)-1)),CIBC!$F$6:$F$6,1),2)*100</f>
        <v>0.01</v>
      </c>
      <c r="E16" s="32">
        <f>INDEX(TD!$B$4:$E$9,MATCH(VALUE(LEFT(A16,FIND(" ",A16)-1)),TD!$E$4:$E$9,1),2)*100</f>
        <v>0.01</v>
      </c>
      <c r="F16" s="31">
        <f>INDEX(TD!$B$11:$E$16,MATCH(VALUE(LEFT(A16,FIND(" ",A16)-1)),TD!$E$11:$E$16,1),2)*100</f>
        <v>0.05</v>
      </c>
      <c r="G16" s="31">
        <f>INDEX(TD!$B$18:$E$23,MATCH(VALUE(LEFT(A16,FIND(" ",A16)-1)),TD!$E$18:$E$23,1),2)*100</f>
        <v>0.1</v>
      </c>
      <c r="H16" s="31">
        <f>INDEX(BMO!$B$2:$E$4,MATCH(VALUE(LEFT(A16,FIND(" ",A16)-1)),BMO!$E$2:$E$4,1),2)*100</f>
        <v>0.5</v>
      </c>
      <c r="I16" s="33">
        <f>INDEX(BMO!$B$5:$E$6,MATCH(VALUE(LEFT(A16,FIND(" ",A16)-1)),BMO!$E$5:$E$6,1),2)*100</f>
        <v>0.05</v>
      </c>
      <c r="J16" s="31">
        <f>INDEX(BMO!$B$7:$E$8,MATCH(VALUE(LEFT(A16,FIND(" ",A16)-1)),BMO!$E$7:$E$8,1),2)*100</f>
        <v>0.01</v>
      </c>
      <c r="K16" s="79" t="str">
        <f>(BNS!$D$36)*100 &amp; " + " &amp; (BNS!$E$35)*100 &amp; ", "&amp; (BNS!$E$34)*100 &amp; ", "&amp; (BNS!$E$33)*100 &amp; ", "&amp; (BNS!$E$32)*100</f>
        <v>0.05 + 0.55, 0.65, 0.75, 1.1</v>
      </c>
      <c r="L16" s="79">
        <f>INDEX(BNS!$B$28:$C$29,MATCH(VALUE(LEFT(A16,FIND(" ",A16)-1)),BNS!$G$28:$G$29,1),2)*100</f>
        <v>0.05</v>
      </c>
      <c r="M16" s="79">
        <f>INDEX(BNS!$B$25:$C$27,MATCH(VALUE(LEFT(A16,FIND(" ",A16)-1)),BNS!$G$25:$G$27,1),2)*100</f>
        <v>0.1</v>
      </c>
      <c r="N16" s="33" t="str">
        <f>INDEX(RBC!$A$168:$E$168,MATCH(VALUE(LEFT(A16,FIND(" ",A16)-1)),RBC!$E$168:$E$168,1),3)</f>
        <v>0.050</v>
      </c>
      <c r="O16" s="33" t="str">
        <f>INDEX(RBC!$A$160:$E$167,MATCH(VALUE(LEFT(A16,FIND(" ",A16)-1)),RBC!$E$160:$E$167,1),3)</f>
        <v>0.010</v>
      </c>
      <c r="P16" s="33" t="str">
        <f>INDEX(RBC!$A$156:$E$159,MATCH(VALUE(LEFT(A16,FIND(" ",A16)-1)),RBC!$E$156:$E$159,1),3)</f>
        <v>0.010 P</v>
      </c>
      <c r="Q16" s="47">
        <f t="shared" si="0"/>
        <v>0.25</v>
      </c>
      <c r="R16" s="33">
        <f>(Simplii_HISA[Data.Annual rate])*100</f>
        <v>0.2</v>
      </c>
      <c r="S16" s="32">
        <f>LEFT((ICICI!$B$3),5)*100</f>
        <v>0.5</v>
      </c>
      <c r="T16" s="33">
        <f>(NBC!$C$28)*100</f>
        <v>0.15</v>
      </c>
      <c r="U16" s="33">
        <f>(Manulife!$C$6)*100</f>
        <v>0.44999999999999996</v>
      </c>
      <c r="V16" s="33">
        <f>INDEX(HSBC!$B$2:$I$5,MATCH(VALUE(LEFT(A16,FIND(" ",A16)-1)),HSBC!$I$2:$I$5,1),2)*100</f>
        <v>0.15</v>
      </c>
      <c r="W16" s="31">
        <f>(CT!$B$2)*100</f>
        <v>1.7999999999999998</v>
      </c>
      <c r="X16" s="33">
        <f>(Meridian!$A$2)*100</f>
        <v>0.5</v>
      </c>
      <c r="Y16" s="33">
        <f>(EQ!$B$2)*100</f>
        <v>1.7500000000000002</v>
      </c>
      <c r="Z16" s="33">
        <f>(Wealthsimple!$C$2)*100</f>
        <v>0.89999999999999991</v>
      </c>
      <c r="AA16" s="33">
        <f>INDEX('LBC Digital'!$A$1:$D$3,MATCH(VALUE(LEFT(A16,FIND(" ",A16)-1)),'LBC Digital'!$B$2:$B$3,1),2)*100</f>
        <v>1.6500000000000001</v>
      </c>
      <c r="AB16" s="33" cm="1">
        <f t="array" ref="AB16">(MotusBank_HISA[Interest Rate])*100</f>
        <v>1.4000000000000001</v>
      </c>
      <c r="AC16" s="33">
        <f>INDEX('Motive Financial'!$B$2:$E$3,MATCH(VALUE(LEFT(A16,FIND(" ",A16)-1)),'Motive Financial'!$E$2:$E$3,1),2)*100</f>
        <v>1.25</v>
      </c>
      <c r="AD16" s="33" cm="1">
        <f t="array" ref="AD16">(Motive_Savvy_Savings_Account[Interest Rate])*100</f>
        <v>1.7500000000000002</v>
      </c>
    </row>
    <row r="17" spans="1:33" x14ac:dyDescent="0.35">
      <c r="A17" s="33" t="s">
        <v>318</v>
      </c>
      <c r="B17" s="33">
        <f>INDEX(CIBC!$C$2:$F$3,MATCH(VALUE(LEFT(A17,FIND(" ",A17)-1)),CIBC!$F$2:$F$3,1),2)*100</f>
        <v>0.05</v>
      </c>
      <c r="C17" s="33">
        <f>INDEX(CIBC!$C$4:$F$5,MATCH(VALUE(LEFT(A17,FIND(" ",A17)-1)),CIBC!$F$4:$F$5,1),2)*100</f>
        <v>0.02</v>
      </c>
      <c r="D17" s="33">
        <f>INDEX(CIBC!$C$6:$F$6,MATCH(VALUE(LEFT(A17,FIND(" ",A17)-1)),CIBC!$F$6:$F$6,1),2)*100</f>
        <v>0.01</v>
      </c>
      <c r="E17" s="32">
        <f>INDEX(TD!$B$4:$E$9,MATCH(VALUE(LEFT(A17,FIND(" ",A17)-1)),TD!$E$4:$E$9,1),2)*100</f>
        <v>0.01</v>
      </c>
      <c r="F17" s="31">
        <f>INDEX(TD!$B$11:$E$16,MATCH(VALUE(LEFT(A17,FIND(" ",A17)-1)),TD!$E$11:$E$16,1),2)*100</f>
        <v>0.05</v>
      </c>
      <c r="G17" s="31">
        <f>INDEX(TD!$B$18:$E$23,MATCH(VALUE(LEFT(A17,FIND(" ",A17)-1)),TD!$E$18:$E$23,1),2)*100</f>
        <v>0.1</v>
      </c>
      <c r="H17" s="31">
        <f>INDEX(BMO!$B$2:$E$4,MATCH(VALUE(LEFT(A17,FIND(" ",A17)-1)),BMO!$E$2:$E$4,1),2)*100</f>
        <v>0.5</v>
      </c>
      <c r="I17" s="33">
        <f>INDEX(BMO!$B$5:$E$6,MATCH(VALUE(LEFT(A17,FIND(" ",A17)-1)),BMO!$E$5:$E$6,1),2)*100</f>
        <v>0.05</v>
      </c>
      <c r="J17" s="31">
        <f>INDEX(BMO!$B$7:$E$8,MATCH(VALUE(LEFT(A17,FIND(" ",A17)-1)),BMO!$E$7:$E$8,1),2)*100</f>
        <v>0.01</v>
      </c>
      <c r="K17" s="79" t="str">
        <f>(BNS!$D$36)*100 &amp; " + " &amp; (BNS!$E$35)*100 &amp; ", "&amp; (BNS!$E$34)*100 &amp; ", "&amp; (BNS!$E$33)*100 &amp; ", "&amp; (BNS!$E$32)*100</f>
        <v>0.05 + 0.55, 0.65, 0.75, 1.1</v>
      </c>
      <c r="L17" s="79">
        <f>INDEX(BNS!$B$28:$C$29,MATCH(VALUE(LEFT(A17,FIND(" ",A17)-1)),BNS!$G$28:$G$29,1),2)*100</f>
        <v>0.05</v>
      </c>
      <c r="M17" s="79">
        <f>INDEX(BNS!$B$25:$C$27,MATCH(VALUE(LEFT(A17,FIND(" ",A17)-1)),BNS!$G$25:$G$27,1),2)*100</f>
        <v>0.1</v>
      </c>
      <c r="N17" s="33" t="str">
        <f>INDEX(RBC!$A$168:$E$168,MATCH(VALUE(LEFT(A17,FIND(" ",A17)-1)),RBC!$E$168:$E$168,1),3)</f>
        <v>0.050</v>
      </c>
      <c r="O17" s="33" t="str">
        <f>INDEX(RBC!$A$160:$E$167,MATCH(VALUE(LEFT(A17,FIND(" ",A17)-1)),RBC!$E$160:$E$167,1),3)</f>
        <v>0.010</v>
      </c>
      <c r="P17" s="33" t="str">
        <f>INDEX(RBC!$A$156:$E$159,MATCH(VALUE(LEFT(A17,FIND(" ",A17)-1)),RBC!$E$156:$E$159,1),3)</f>
        <v>0.010 P</v>
      </c>
      <c r="Q17" s="47">
        <f t="shared" si="0"/>
        <v>0.25</v>
      </c>
      <c r="R17" s="33">
        <f>(Simplii_HISA[Data.Annual rate])*100</f>
        <v>0.2</v>
      </c>
      <c r="S17" s="32">
        <f>LEFT((ICICI!$B$3),5)*100</f>
        <v>0.5</v>
      </c>
      <c r="T17" s="33">
        <f>(NBC!$C$28)*100</f>
        <v>0.15</v>
      </c>
      <c r="U17" s="33">
        <f>(Manulife!$C$6)*100</f>
        <v>0.44999999999999996</v>
      </c>
      <c r="V17" s="33">
        <f>INDEX(HSBC!$B$2:$I$5,MATCH(VALUE(LEFT(A17,FIND(" ",A17)-1)),HSBC!$I$2:$I$5,1),2)*100</f>
        <v>0.15</v>
      </c>
      <c r="W17" s="31">
        <f>(CT!$B$2)*100</f>
        <v>1.7999999999999998</v>
      </c>
      <c r="X17" s="33">
        <f>(Meridian!$A$2)*100</f>
        <v>0.5</v>
      </c>
      <c r="Y17" s="33">
        <f>(EQ!$B$2)*100</f>
        <v>1.7500000000000002</v>
      </c>
      <c r="Z17" s="33">
        <f>(Wealthsimple!$C$2)*100</f>
        <v>0.89999999999999991</v>
      </c>
      <c r="AA17" s="33">
        <f>INDEX('LBC Digital'!$A$1:$D$3,MATCH(VALUE(LEFT(A17,FIND(" ",A17)-1)),'LBC Digital'!$B$2:$B$3,1),2)*100</f>
        <v>1.6500000000000001</v>
      </c>
      <c r="AB17" s="33" cm="1">
        <f t="array" ref="AB17">(MotusBank_HISA[Interest Rate])*100</f>
        <v>1.4000000000000001</v>
      </c>
      <c r="AC17" s="33">
        <f>INDEX('Motive Financial'!$B$2:$E$3,MATCH(VALUE(LEFT(A17,FIND(" ",A17)-1)),'Motive Financial'!$E$2:$E$3,1),2)*100</f>
        <v>1.25</v>
      </c>
      <c r="AD17" s="33" cm="1">
        <f t="array" ref="AD17">(Motive_Savvy_Savings_Account[Interest Rate])*100</f>
        <v>1.7500000000000002</v>
      </c>
    </row>
    <row r="18" spans="1:33" x14ac:dyDescent="0.35">
      <c r="A18" s="33" t="s">
        <v>35</v>
      </c>
      <c r="B18" s="33">
        <f>INDEX(CIBC!$C$2:$F$3,MATCH(VALUE(LEFT(A18,FIND(" ",A18)-1)),CIBC!$F$2:$F$3,1),2)*100</f>
        <v>0.05</v>
      </c>
      <c r="C18" s="33">
        <f>INDEX(CIBC!$C$4:$F$5,MATCH(VALUE(LEFT(A18,FIND(" ",A18)-1)),CIBC!$F$4:$F$5,1),2)*100</f>
        <v>0.02</v>
      </c>
      <c r="D18" s="33">
        <f>INDEX(CIBC!$C$6:$F$6,MATCH(VALUE(LEFT(A18,FIND(" ",A18)-1)),CIBC!$F$6:$F$6,1),2)*100</f>
        <v>0.01</v>
      </c>
      <c r="E18" s="32">
        <f>INDEX(TD!$B$4:$E$9,MATCH(VALUE(LEFT(A18,FIND(" ",A18)-1)),TD!$E$4:$E$9,1),2)*100</f>
        <v>0.01</v>
      </c>
      <c r="F18" s="31">
        <f>INDEX(TD!$B$11:$E$16,MATCH(VALUE(LEFT(A18,FIND(" ",A18)-1)),TD!$E$11:$E$16,1),2)*100</f>
        <v>0.05</v>
      </c>
      <c r="G18" s="33">
        <f>INDEX(TD!$B$18:$E$23,MATCH(VALUE(LEFT(A18,FIND(" ",A18)-1)),TD!$E$18:$E$23,1),2)*100</f>
        <v>0.1</v>
      </c>
      <c r="H18" s="31">
        <f>INDEX(BMO!$B$2:$E$4,MATCH(VALUE(LEFT(A18,FIND(" ",A18)-1)),BMO!$E$2:$E$4,1),2)*100</f>
        <v>0.5</v>
      </c>
      <c r="I18" s="33">
        <f>INDEX(BMO!$B$5:$E$6,MATCH(VALUE(LEFT(A18,FIND(" ",A18)-1)),BMO!$E$5:$E$6,1),2)*100</f>
        <v>0.05</v>
      </c>
      <c r="J18" s="31">
        <f>INDEX(BMO!$B$7:$E$8,MATCH(VALUE(LEFT(A18,FIND(" ",A18)-1)),BMO!$E$7:$E$8,1),2)*100</f>
        <v>0.01</v>
      </c>
      <c r="K18" s="79" t="str">
        <f>(BNS!$D$36)*100 &amp; " + " &amp; (BNS!$E$35)*100 &amp; ", "&amp; (BNS!$E$34)*100 &amp; ", "&amp; (BNS!$E$33)*100 &amp; ", "&amp; (BNS!$E$32)*100</f>
        <v>0.05 + 0.55, 0.65, 0.75, 1.1</v>
      </c>
      <c r="L18" s="79">
        <f>INDEX(BNS!$B$28:$C$29,MATCH(VALUE(LEFT(A18,FIND(" ",A18)-1)),BNS!$G$28:$G$29,1),2)*100</f>
        <v>0.05</v>
      </c>
      <c r="M18" s="79">
        <f>INDEX(BNS!$B$25:$C$27,MATCH(VALUE(LEFT(A18,FIND(" ",A18)-1)),BNS!$G$25:$G$27,1),2)*100</f>
        <v>0.1</v>
      </c>
      <c r="N18" s="33" t="str">
        <f>INDEX(RBC!$A$168:$E$168,MATCH(VALUE(LEFT(A18,FIND(" ",A18)-1)),RBC!$E$168:$E$168,1),3)</f>
        <v>0.050</v>
      </c>
      <c r="O18" s="33" t="str">
        <f>INDEX(RBC!$A$160:$E$167,MATCH(VALUE(LEFT(A18,FIND(" ",A18)-1)),RBC!$E$160:$E$167,1),3)</f>
        <v>0.005</v>
      </c>
      <c r="P18" s="33" t="str">
        <f>INDEX(RBC!$A$156:$E$159,MATCH(VALUE(LEFT(A18,FIND(" ",A18)-1)),RBC!$E$156:$E$159,1),3)</f>
        <v>0.010 P</v>
      </c>
      <c r="Q18" s="47">
        <f t="shared" si="0"/>
        <v>0.25</v>
      </c>
      <c r="R18" s="33">
        <f>(Simplii_HISA[Data.Annual rate])*100</f>
        <v>0.2</v>
      </c>
      <c r="S18" s="32">
        <f>LEFT((ICICI!$B$3),5)*100</f>
        <v>0.5</v>
      </c>
      <c r="T18" s="33">
        <f>(NBC!$C$28)*100</f>
        <v>0.15</v>
      </c>
      <c r="U18" s="33">
        <f>(Manulife!$C$6)*100</f>
        <v>0.44999999999999996</v>
      </c>
      <c r="V18" s="31">
        <f>INDEX(HSBC!$B$2:$I$5,MATCH(VALUE(LEFT(A18,FIND(" ",A18)-1)),HSBC!$I$2:$I$5,1),2)*100</f>
        <v>0.05</v>
      </c>
      <c r="W18" s="31">
        <f>(CT!$B$2)*100</f>
        <v>1.7999999999999998</v>
      </c>
      <c r="X18" s="33">
        <f>(Meridian!$A$2)*100</f>
        <v>0.5</v>
      </c>
      <c r="Y18" s="33">
        <f>(EQ!$B$2)*100</f>
        <v>1.7500000000000002</v>
      </c>
      <c r="Z18" s="33">
        <f>(Wealthsimple!$C$2)*100</f>
        <v>0.89999999999999991</v>
      </c>
      <c r="AA18" s="33">
        <f>INDEX('LBC Digital'!$A$1:$D$3,MATCH(VALUE(LEFT(A18,FIND(" ",A18)-1)),'LBC Digital'!$B$2:$B$3,1),2)*100</f>
        <v>1.6500000000000001</v>
      </c>
      <c r="AB18" s="33" cm="1">
        <f t="array" ref="AB18">(MotusBank_HISA[Interest Rate])*100</f>
        <v>1.4000000000000001</v>
      </c>
      <c r="AC18" s="33">
        <f>INDEX('Motive Financial'!$B$2:$E$3,MATCH(VALUE(LEFT(A18,FIND(" ",A18)-1)),'Motive Financial'!$E$2:$E$3,1),2)*100</f>
        <v>1.25</v>
      </c>
      <c r="AD18" s="33" cm="1">
        <f t="array" ref="AD18">(Motive_Savvy_Savings_Account[Interest Rate])*100</f>
        <v>1.7500000000000002</v>
      </c>
    </row>
    <row r="19" spans="1:33" x14ac:dyDescent="0.35">
      <c r="A19" s="33" t="s">
        <v>36</v>
      </c>
      <c r="B19" s="33">
        <f>INDEX(CIBC!$C$2:$F$3,MATCH(VALUE(LEFT(A19,FIND(" ",A19)-1)),CIBC!$F$2:$F$3,1),2)*100</f>
        <v>0.05</v>
      </c>
      <c r="C19" s="33">
        <f>INDEX(CIBC!$C$4:$F$5,MATCH(VALUE(LEFT(A19,FIND(" ",A19)-1)),CIBC!$F$4:$F$5,1),2)*100</f>
        <v>0.02</v>
      </c>
      <c r="D19" s="33">
        <f>INDEX(CIBC!$C$6:$F$6,MATCH(VALUE(LEFT(A19,FIND(" ",A19)-1)),CIBC!$F$6:$F$6,1),2)*100</f>
        <v>0.01</v>
      </c>
      <c r="E19" s="32">
        <f>INDEX(TD!$B$4:$E$9,MATCH(VALUE(LEFT(A19,FIND(" ",A19)-1)),TD!$E$4:$E$9,1),2)*100</f>
        <v>0.01</v>
      </c>
      <c r="F19" s="33">
        <f>INDEX(TD!$B$11:$E$16,MATCH(VALUE(LEFT(A19,FIND(" ",A19)-1)),TD!$E$11:$E$16,1),2)*100</f>
        <v>0.05</v>
      </c>
      <c r="G19" s="31">
        <f>INDEX(TD!$B$18:$E$23,MATCH(VALUE(LEFT(A19,FIND(" ",A19)-1)),TD!$E$18:$E$23,1),2)*100</f>
        <v>0</v>
      </c>
      <c r="H19" s="31">
        <f>INDEX(BMO!$B$2:$E$4,MATCH(VALUE(LEFT(A19,FIND(" ",A19)-1)),BMO!$E$2:$E$4,1),2)*100</f>
        <v>0.5</v>
      </c>
      <c r="I19" s="33">
        <f>INDEX(BMO!$B$5:$E$6,MATCH(VALUE(LEFT(A19,FIND(" ",A19)-1)),BMO!$E$5:$E$6,1),2)*100</f>
        <v>0.05</v>
      </c>
      <c r="J19" s="31">
        <f>INDEX(BMO!$B$7:$E$8,MATCH(VALUE(LEFT(A19,FIND(" ",A19)-1)),BMO!$E$7:$E$8,1),2)*100</f>
        <v>0.01</v>
      </c>
      <c r="K19" s="79" t="str">
        <f>(BNS!$D$36)*100 &amp; " + " &amp; (BNS!$E$35)*100 &amp; ", "&amp; (BNS!$E$34)*100 &amp; ", "&amp; (BNS!$E$33)*100 &amp; ", "&amp; (BNS!$E$32)*100</f>
        <v>0.05 + 0.55, 0.65, 0.75, 1.1</v>
      </c>
      <c r="L19" s="79">
        <f>INDEX(BNS!$B$28:$C$29,MATCH(VALUE(LEFT(A19,FIND(" ",A19)-1)),BNS!$G$28:$G$29,1),2)*100</f>
        <v>0.05</v>
      </c>
      <c r="M19" s="79">
        <f>INDEX(BNS!$B$25:$C$27,MATCH(VALUE(LEFT(A19,FIND(" ",A19)-1)),BNS!$G$25:$G$27,1),2)*100</f>
        <v>0.1</v>
      </c>
      <c r="N19" s="33" t="str">
        <f>INDEX(RBC!$A$168:$E$168,MATCH(VALUE(LEFT(A19,FIND(" ",A19)-1)),RBC!$E$168:$E$168,1),3)</f>
        <v>0.050</v>
      </c>
      <c r="O19" s="33" t="str">
        <f>INDEX(RBC!$A$160:$E$167,MATCH(VALUE(LEFT(A19,FIND(" ",A19)-1)),RBC!$E$160:$E$167,1),3)</f>
        <v>0.001</v>
      </c>
      <c r="P19" s="33" t="str">
        <f>INDEX(RBC!$A$156:$E$159,MATCH(VALUE(LEFT(A19,FIND(" ",A19)-1)),RBC!$E$156:$E$159,1),3)</f>
        <v>0.010 P</v>
      </c>
      <c r="Q19" s="47">
        <f t="shared" si="0"/>
        <v>0.25</v>
      </c>
      <c r="R19" s="33">
        <f>(Simplii_HISA[Data.Annual rate])*100</f>
        <v>0.2</v>
      </c>
      <c r="S19" s="32">
        <f>LEFT((ICICI!$B$3),5)*100</f>
        <v>0.5</v>
      </c>
      <c r="T19" s="33">
        <f>(NBC!$C$28)*100</f>
        <v>0.15</v>
      </c>
      <c r="U19" s="33">
        <f>(Manulife!$C$6)*100</f>
        <v>0.44999999999999996</v>
      </c>
      <c r="V19" s="31">
        <f>INDEX(HSBC!$B$2:$I$5,MATCH(VALUE(LEFT(A19,FIND(" ",A19)-1)),HSBC!$I$2:$I$5,1),2)*100</f>
        <v>0.05</v>
      </c>
      <c r="W19" s="31">
        <f>(CT!$B$2)*100</f>
        <v>1.7999999999999998</v>
      </c>
      <c r="X19" s="33">
        <f>(Meridian!$A$2)*100</f>
        <v>0.5</v>
      </c>
      <c r="Y19" s="33">
        <f>(EQ!$B$2)*100</f>
        <v>1.7500000000000002</v>
      </c>
      <c r="Z19" s="33">
        <f>(Wealthsimple!$C$2)*100</f>
        <v>0.89999999999999991</v>
      </c>
      <c r="AA19" s="33">
        <f>INDEX('LBC Digital'!$A$1:$D$3,MATCH(VALUE(LEFT(A19,FIND(" ",A19)-1)),'LBC Digital'!$B$2:$B$3,1),2)*100</f>
        <v>1.6500000000000001</v>
      </c>
      <c r="AB19" s="33" cm="1">
        <f t="array" ref="AB19">(MotusBank_HISA[Interest Rate])*100</f>
        <v>1.4000000000000001</v>
      </c>
      <c r="AC19" s="33">
        <f>INDEX('Motive Financial'!$B$2:$E$3,MATCH(VALUE(LEFT(A19,FIND(" ",A19)-1)),'Motive Financial'!$E$2:$E$3,1),2)*100</f>
        <v>1.25</v>
      </c>
      <c r="AD19" s="33" cm="1">
        <f t="array" ref="AD19">(Motive_Savvy_Savings_Account[Interest Rate])*100</f>
        <v>1.7500000000000002</v>
      </c>
    </row>
    <row r="20" spans="1:33" x14ac:dyDescent="0.35">
      <c r="A20" s="33" t="s">
        <v>37</v>
      </c>
      <c r="B20" s="33">
        <f>INDEX(CIBC!$C$2:$F$3,MATCH(VALUE(LEFT(A20,FIND(" ",A20)-1)),CIBC!$F$2:$F$3,1),2)*100</f>
        <v>0.05</v>
      </c>
      <c r="C20" s="33">
        <f>INDEX(CIBC!$C$4:$F$5,MATCH(VALUE(LEFT(A20,FIND(" ",A20)-1)),CIBC!$F$4:$F$5,1),2)*100</f>
        <v>0.02</v>
      </c>
      <c r="D20" s="33">
        <f>INDEX(CIBC!$C$6:$F$6,MATCH(VALUE(LEFT(A20,FIND(" ",A20)-1)),CIBC!$F$6:$F$6,1),2)*100</f>
        <v>0.01</v>
      </c>
      <c r="E20" s="32">
        <f>INDEX(TD!$B$4:$E$9,MATCH(VALUE(LEFT(A20,FIND(" ",A20)-1)),TD!$E$4:$E$9,1),2)*100</f>
        <v>0.01</v>
      </c>
      <c r="F20" s="31">
        <f>INDEX(TD!$B$11:$E$16,MATCH(VALUE(LEFT(A20,FIND(" ",A20)-1)),TD!$E$11:$E$16,1),2)*100</f>
        <v>0</v>
      </c>
      <c r="G20" s="31">
        <f>INDEX(TD!$B$18:$E$23,MATCH(VALUE(LEFT(A20,FIND(" ",A20)-1)),TD!$E$18:$E$23,1),2)*100</f>
        <v>0</v>
      </c>
      <c r="H20" s="31">
        <f>INDEX(BMO!$B$2:$E$4,MATCH(VALUE(LEFT(A20,FIND(" ",A20)-1)),BMO!$E$2:$E$4,1),2)*100</f>
        <v>0.5</v>
      </c>
      <c r="I20" s="33">
        <f>INDEX(BMO!$B$5:$E$6,MATCH(VALUE(LEFT(A20,FIND(" ",A20)-1)),BMO!$E$5:$E$6,1),2)*100</f>
        <v>0.05</v>
      </c>
      <c r="J20" s="31">
        <f>INDEX(BMO!$B$7:$E$8,MATCH(VALUE(LEFT(A20,FIND(" ",A20)-1)),BMO!$E$7:$E$8,1),2)*100</f>
        <v>0.01</v>
      </c>
      <c r="K20" s="79" t="str">
        <f>(BNS!$D$36)*100 &amp; " + " &amp; (BNS!$E$35)*100 &amp; ", "&amp; (BNS!$E$34)*100 &amp; ", "&amp; (BNS!$E$33)*100 &amp; ", "&amp; (BNS!$E$32)*100</f>
        <v>0.05 + 0.55, 0.65, 0.75, 1.1</v>
      </c>
      <c r="L20" s="79">
        <f>INDEX(BNS!$B$28:$C$29,MATCH(VALUE(LEFT(A20,FIND(" ",A20)-1)),BNS!$G$28:$G$29,1),2)*100</f>
        <v>0.05</v>
      </c>
      <c r="M20" s="79">
        <f>INDEX(BNS!$B$25:$C$27,MATCH(VALUE(LEFT(A20,FIND(" ",A20)-1)),BNS!$G$25:$G$27,1),2)*100</f>
        <v>0.05</v>
      </c>
      <c r="N20" s="33" t="str">
        <f>INDEX(RBC!$A$168:$E$168,MATCH(VALUE(LEFT(A20,FIND(" ",A20)-1)),RBC!$E$168:$E$168,1),3)</f>
        <v>0.050</v>
      </c>
      <c r="O20" s="33" t="str">
        <f>INDEX(RBC!$A$160:$E$167,MATCH(VALUE(LEFT(A20,FIND(" ",A20)-1)),RBC!$E$160:$E$167,1),3)</f>
        <v>0.000</v>
      </c>
      <c r="P20" s="33" t="str">
        <f>INDEX(RBC!$A$156:$E$159,MATCH(VALUE(LEFT(A20,FIND(" ",A20)-1)),RBC!$E$156:$E$159,1),3)</f>
        <v>0.010 P</v>
      </c>
      <c r="Q20" s="47">
        <f t="shared" si="0"/>
        <v>0.25</v>
      </c>
      <c r="R20" s="33">
        <f>(Simplii_HISA[Data.Annual rate])*100</f>
        <v>0.2</v>
      </c>
      <c r="S20" s="32">
        <f>LEFT((ICICI!$B$3),5)*100</f>
        <v>0.5</v>
      </c>
      <c r="T20" s="33">
        <f>(NBC!$C$28)*100</f>
        <v>0.15</v>
      </c>
      <c r="U20" s="33">
        <f>(Manulife!$C$6)*100</f>
        <v>0.44999999999999996</v>
      </c>
      <c r="V20" s="31">
        <f>INDEX(HSBC!$B$2:$I$5,MATCH(VALUE(LEFT(A20,FIND(" ",A20)-1)),HSBC!$I$2:$I$5,1),2)*100</f>
        <v>0.05</v>
      </c>
      <c r="W20" s="31">
        <f>(CT!$B$2)*100</f>
        <v>1.7999999999999998</v>
      </c>
      <c r="X20" s="33">
        <f>(Meridian!$A$2)*100</f>
        <v>0.5</v>
      </c>
      <c r="Y20" s="33">
        <f>(EQ!$B$2)*100</f>
        <v>1.7500000000000002</v>
      </c>
      <c r="Z20" s="33">
        <f>(Wealthsimple!$C$2)*100</f>
        <v>0.89999999999999991</v>
      </c>
      <c r="AA20" s="33">
        <f>INDEX('LBC Digital'!$A$1:$D$3,MATCH(VALUE(LEFT(A20,FIND(" ",A20)-1)),'LBC Digital'!$B$2:$B$3,1),2)*100</f>
        <v>1.6500000000000001</v>
      </c>
      <c r="AB20" s="33" cm="1">
        <f t="array" ref="AB20">(MotusBank_HISA[Interest Rate])*100</f>
        <v>1.4000000000000001</v>
      </c>
      <c r="AC20" s="33">
        <f>INDEX('Motive Financial'!$B$2:$E$3,MATCH(VALUE(LEFT(A20,FIND(" ",A20)-1)),'Motive Financial'!$E$2:$E$3,1),2)*100</f>
        <v>1.25</v>
      </c>
      <c r="AD20" s="33" cm="1">
        <f t="array" ref="AD20">(Motive_Savvy_Savings_Account[Interest Rate])*100</f>
        <v>1.7500000000000002</v>
      </c>
    </row>
    <row r="21" spans="1:33" x14ac:dyDescent="0.35">
      <c r="A21" s="33" t="s">
        <v>38</v>
      </c>
      <c r="B21" s="33">
        <f>INDEX(CIBC!$C$2:$F$3,MATCH(VALUE(LEFT(A21,FIND(" ",A21)-1)),CIBC!$F$2:$F$3,1),2)*100</f>
        <v>0.05</v>
      </c>
      <c r="C21" s="33">
        <f>INDEX(CIBC!$C$4:$F$5,MATCH(VALUE(LEFT(A21,FIND(" ",A21)-1)),CIBC!$F$4:$F$5,1),2)*100</f>
        <v>0.01</v>
      </c>
      <c r="D21" s="33">
        <f>INDEX(CIBC!$C$6:$F$6,MATCH(VALUE(LEFT(A21,FIND(" ",A21)-1)),CIBC!$F$6:$F$6,1),2)*100</f>
        <v>0.01</v>
      </c>
      <c r="E21" s="32">
        <f>INDEX(TD!$B$4:$E$9,MATCH(VALUE(LEFT(A21,FIND(" ",A21)-1)),TD!$E$4:$E$9,1),2)*100</f>
        <v>0.01</v>
      </c>
      <c r="F21" s="31">
        <f>INDEX(TD!$B$11:$E$16,MATCH(VALUE(LEFT(A21,FIND(" ",A21)-1)),TD!$E$11:$E$16,1),2)*100</f>
        <v>0</v>
      </c>
      <c r="G21" s="31">
        <f>INDEX(TD!$B$18:$E$23,MATCH(VALUE(LEFT(A21,FIND(" ",A21)-1)),TD!$E$18:$E$23,1),2)*100</f>
        <v>0</v>
      </c>
      <c r="H21" s="31">
        <f>INDEX(BMO!$B$2:$E$4,MATCH(VALUE(LEFT(A21,FIND(" ",A21)-1)),BMO!$E$2:$E$4,1),2)*100</f>
        <v>0.5</v>
      </c>
      <c r="I21" s="33">
        <f>INDEX(BMO!$B$5:$E$6,MATCH(VALUE(LEFT(A21,FIND(" ",A21)-1)),BMO!$E$5:$E$6,1),2)*100</f>
        <v>0.05</v>
      </c>
      <c r="J21" s="31">
        <f>INDEX(BMO!$B$7:$E$8,MATCH(VALUE(LEFT(A21,FIND(" ",A21)-1)),BMO!$E$7:$E$8,1),2)*100</f>
        <v>0.01</v>
      </c>
      <c r="K21" s="79" t="str">
        <f>(BNS!$D$36)*100 &amp; " + " &amp; (BNS!$E$35)*100 &amp; ", "&amp; (BNS!$E$34)*100 &amp; ", "&amp; (BNS!$E$33)*100 &amp; ", "&amp; (BNS!$E$32)*100</f>
        <v>0.05 + 0.55, 0.65, 0.75, 1.1</v>
      </c>
      <c r="L21" s="79">
        <f>INDEX(BNS!$B$28:$C$29,MATCH(VALUE(LEFT(A21,FIND(" ",A21)-1)),BNS!$G$28:$G$29,1),2)*100</f>
        <v>0.05</v>
      </c>
      <c r="M21" s="33">
        <f>INDEX(BNS!$B$25:$C$27,MATCH(VALUE(LEFT(A21,FIND(" ",A21)-1)),BNS!$G$25:$G$27,1),2)*100</f>
        <v>0.05</v>
      </c>
      <c r="N21" s="33" t="str">
        <f>INDEX(RBC!$A$168:$E$168,MATCH(VALUE(LEFT(A21,FIND(" ",A21)-1)),RBC!$E$168:$E$168,1),3)</f>
        <v>0.050</v>
      </c>
      <c r="O21" s="33" t="str">
        <f>INDEX(RBC!$A$160:$E$167,MATCH(VALUE(LEFT(A21,FIND(" ",A21)-1)),RBC!$E$160:$E$167,1),3)</f>
        <v>0.000</v>
      </c>
      <c r="P21" s="33" t="str">
        <f>INDEX(RBC!$A$156:$E$159,MATCH(VALUE(LEFT(A21,FIND(" ",A21)-1)),RBC!$E$156:$E$159,1),3)</f>
        <v>0.010</v>
      </c>
      <c r="Q21" s="47">
        <f t="shared" si="0"/>
        <v>0.25</v>
      </c>
      <c r="R21" s="33">
        <f>(Simplii_HISA[Data.Annual rate])*100</f>
        <v>0.2</v>
      </c>
      <c r="S21" s="32">
        <f>LEFT((ICICI!$B$3),5)*100</f>
        <v>0.5</v>
      </c>
      <c r="T21" s="33">
        <f>(NBC!$C$28)*100</f>
        <v>0.15</v>
      </c>
      <c r="U21" s="33">
        <f>(Manulife!$C$6)*100</f>
        <v>0.44999999999999996</v>
      </c>
      <c r="V21" s="31">
        <f>INDEX(HSBC!$B$2:$I$5,MATCH(VALUE(LEFT(A21,FIND(" ",A21)-1)),HSBC!$I$2:$I$5,1),2)*100</f>
        <v>0.05</v>
      </c>
      <c r="W21" s="31">
        <f>(CT!$B$2)*100</f>
        <v>1.7999999999999998</v>
      </c>
      <c r="X21" s="33">
        <f>(Meridian!$A$2)*100</f>
        <v>0.5</v>
      </c>
      <c r="Y21" s="33">
        <f>(EQ!$B$2)*100</f>
        <v>1.7500000000000002</v>
      </c>
      <c r="Z21" s="33">
        <f>(Wealthsimple!$C$2)*100</f>
        <v>0.89999999999999991</v>
      </c>
      <c r="AA21" s="33">
        <f>INDEX('LBC Digital'!$A$1:$D$3,MATCH(VALUE(LEFT(A21,FIND(" ",A21)-1)),'LBC Digital'!$B$2:$B$3,1),2)*100</f>
        <v>1.6500000000000001</v>
      </c>
      <c r="AB21" s="33" cm="1">
        <f t="array" ref="AB21">(MotusBank_HISA[Interest Rate])*100</f>
        <v>1.4000000000000001</v>
      </c>
      <c r="AC21" s="33">
        <f>INDEX('Motive Financial'!$B$2:$E$3,MATCH(VALUE(LEFT(A21,FIND(" ",A21)-1)),'Motive Financial'!$E$2:$E$3,1),2)*100</f>
        <v>1.25</v>
      </c>
      <c r="AD21" s="33" cm="1">
        <f t="array" ref="AD21">(Motive_Savvy_Savings_Account[Interest Rate])*100</f>
        <v>1.7500000000000002</v>
      </c>
      <c r="AG21" t="s">
        <v>495</v>
      </c>
    </row>
    <row r="22" spans="1:33" x14ac:dyDescent="0.35">
      <c r="A22" s="33" t="s">
        <v>39</v>
      </c>
      <c r="B22" s="33">
        <f>INDEX(CIBC!$C$2:$F$3,MATCH(VALUE(LEFT(A22,FIND(" ",A22)-1)),CIBC!$F$2:$F$3,1),2)*100</f>
        <v>0.05</v>
      </c>
      <c r="C22" s="33">
        <f>INDEX(CIBC!$C$4:$F$5,MATCH(VALUE(LEFT(A22,FIND(" ",A22)-1)),CIBC!$F$4:$F$5,1),2)*100</f>
        <v>0.01</v>
      </c>
      <c r="D22" s="33">
        <f>INDEX(CIBC!$C$6:$F$6,MATCH(VALUE(LEFT(A22,FIND(" ",A22)-1)),CIBC!$F$6:$F$6,1),2)*100</f>
        <v>0.01</v>
      </c>
      <c r="E22" s="33">
        <f>INDEX(TD!$B$4:$E$9,MATCH(VALUE(LEFT(A22,FIND(" ",A22)-1)),TD!$E$4:$E$9,1),2)*100</f>
        <v>0.01</v>
      </c>
      <c r="F22" s="33">
        <f>INDEX(TD!$B$11:$E$16,MATCH(VALUE(LEFT(A22,FIND(" ",A22)-1)),TD!$E$11:$E$16,1),2)*100</f>
        <v>0</v>
      </c>
      <c r="G22" s="33">
        <f>INDEX(TD!$B$18:$E$23,MATCH(VALUE(LEFT(A22,FIND(" ",A22)-1)),TD!$E$18:$E$23,1),2)*100</f>
        <v>0</v>
      </c>
      <c r="H22" s="33">
        <f>INDEX(BMO!$B$2:$E$4,MATCH(VALUE(LEFT(A22,FIND(" ",A22)-1)),BMO!$E$2:$E$4,1),2)*100</f>
        <v>0.5</v>
      </c>
      <c r="I22" s="33">
        <f>INDEX(BMO!$B$5:$E$6,MATCH(VALUE(LEFT(A22,FIND(" ",A22)-1)),BMO!$E$5:$E$6,1),2)*100</f>
        <v>0.05</v>
      </c>
      <c r="J22" s="33">
        <f>INDEX(BMO!$B$7:$E$8,MATCH(VALUE(LEFT(A22,FIND(" ",A22)-1)),BMO!$E$7:$E$8,1),2)*100</f>
        <v>0.01</v>
      </c>
      <c r="K22" s="79" t="str">
        <f>(BNS!$D$36)*100 &amp; " + " &amp; (BNS!$E$35)*100 &amp; ", "&amp; (BNS!$E$34)*100 &amp; ", "&amp; (BNS!$E$33)*100 &amp; ", "&amp; (BNS!$E$32)*100</f>
        <v>0.05 + 0.55, 0.65, 0.75, 1.1</v>
      </c>
      <c r="L22" s="79">
        <f>INDEX(BNS!$B$28:$C$29,MATCH(VALUE(LEFT(A22,FIND(" ",A22)-1)),BNS!$G$28:$G$29,1),2)*100</f>
        <v>0.05</v>
      </c>
      <c r="M22" s="33">
        <f>INDEX(BNS!$B$25:$C$27,MATCH(VALUE(LEFT(A22,FIND(" ",A22)-1)),BNS!$G$25:$G$27,1),2)*100</f>
        <v>0.05</v>
      </c>
      <c r="N22" s="33" t="str">
        <f>INDEX(RBC!$A$168:$E$168,MATCH(VALUE(LEFT(A22,FIND(" ",A22)-1)),RBC!$E$168:$E$168,1),3)</f>
        <v>0.050</v>
      </c>
      <c r="O22" s="33" t="str">
        <f>INDEX(RBC!$A$160:$E$167,MATCH(VALUE(LEFT(A22,FIND(" ",A22)-1)),RBC!$E$160:$E$167,1),3)</f>
        <v>0.000</v>
      </c>
      <c r="P22" s="33" t="str">
        <f>INDEX(RBC!$A$156:$E$159,MATCH(VALUE(LEFT(A22,FIND(" ",A22)-1)),RBC!$E$156:$E$159,1),3)</f>
        <v>0.005</v>
      </c>
      <c r="Q22" s="47">
        <f t="shared" si="0"/>
        <v>0.25</v>
      </c>
      <c r="R22" s="33">
        <f>(Simplii_HISA[Data.Annual rate])*100</f>
        <v>0.2</v>
      </c>
      <c r="S22" s="33">
        <f>LEFT((ICICI!$B$3),5)*100</f>
        <v>0.5</v>
      </c>
      <c r="T22" s="33">
        <f>(NBC!$C$28)*100</f>
        <v>0.15</v>
      </c>
      <c r="U22" s="33">
        <f>(Manulife!$C$6)*100</f>
        <v>0.44999999999999996</v>
      </c>
      <c r="V22" s="33">
        <f>INDEX(HSBC!$B$2:$I$5,MATCH(VALUE(LEFT(A22,FIND(" ",A22)-1)),HSBC!$I$2:$I$5,1),2)*100</f>
        <v>0.05</v>
      </c>
      <c r="W22" s="33">
        <f>(CT!$B$2)*100</f>
        <v>1.7999999999999998</v>
      </c>
      <c r="X22" s="33">
        <f>(Meridian!$A$2)*100</f>
        <v>0.5</v>
      </c>
      <c r="Y22" s="33">
        <f>(EQ!$B$2)*100</f>
        <v>1.7500000000000002</v>
      </c>
      <c r="Z22" s="33">
        <f>(Wealthsimple!$C$2)*100</f>
        <v>0.89999999999999991</v>
      </c>
      <c r="AA22" s="33">
        <f>('LBC Digital'!B2)*100</f>
        <v>1.6500000000000001</v>
      </c>
      <c r="AB22" s="33" cm="1">
        <f t="array" ref="AB22">(MotusBank_HISA[Interest Rate])*100</f>
        <v>1.4000000000000001</v>
      </c>
      <c r="AC22" s="33">
        <f>INDEX('Motive Financial'!$B$2:$E$3,MATCH(VALUE(LEFT(A22,FIND(" ",A22)-1)),'Motive Financial'!$E$2:$E$3,1),2)*100</f>
        <v>1.25</v>
      </c>
      <c r="AD22" s="33" cm="1">
        <f t="array" ref="AD22">(Motive_Savvy_Savings_Account[Interest Rate])*100</f>
        <v>1.7500000000000002</v>
      </c>
    </row>
    <row r="23" spans="1:33" x14ac:dyDescent="0.35">
      <c r="A23" s="19"/>
      <c r="B23" s="19"/>
      <c r="C23" s="70"/>
      <c r="D23" s="70"/>
      <c r="E23" s="70"/>
      <c r="F23" s="70"/>
      <c r="G23" s="19"/>
      <c r="H23" s="19"/>
      <c r="I23" s="19"/>
      <c r="J23" s="74"/>
      <c r="K23" s="74"/>
      <c r="L23" s="74"/>
      <c r="M23" s="74"/>
      <c r="N23" s="74"/>
      <c r="O23" s="74"/>
      <c r="P23" s="70"/>
      <c r="Q23" s="70"/>
      <c r="R23" s="70"/>
      <c r="S23" s="70"/>
      <c r="T23" s="70"/>
      <c r="U23" s="70"/>
      <c r="V23" s="19"/>
      <c r="W23" s="19"/>
      <c r="X23" s="19"/>
      <c r="Y23" s="19"/>
      <c r="Z23" s="74"/>
    </row>
    <row r="24" spans="1:33" hidden="1" x14ac:dyDescent="0.35">
      <c r="A24" s="75" t="s">
        <v>29</v>
      </c>
      <c r="B24" s="29">
        <v>43299</v>
      </c>
      <c r="C24" s="29">
        <v>42202</v>
      </c>
      <c r="D24" s="29">
        <v>42202</v>
      </c>
      <c r="E24" s="29">
        <v>42202</v>
      </c>
      <c r="F24" s="29">
        <v>42688</v>
      </c>
      <c r="G24" s="29">
        <v>43298</v>
      </c>
      <c r="H24" s="29">
        <v>43125</v>
      </c>
      <c r="I24" s="29">
        <v>43125</v>
      </c>
      <c r="J24" s="29">
        <v>42207</v>
      </c>
      <c r="K24" s="29">
        <v>43294</v>
      </c>
      <c r="L24" s="29">
        <v>42920</v>
      </c>
      <c r="M24" s="29">
        <v>42986</v>
      </c>
      <c r="N24" s="29">
        <v>43118</v>
      </c>
      <c r="O24" s="29">
        <v>42205</v>
      </c>
      <c r="P24" s="70">
        <v>42205</v>
      </c>
      <c r="Q24" s="70">
        <v>43123</v>
      </c>
      <c r="R24" s="70">
        <v>43130</v>
      </c>
      <c r="S24" s="70">
        <v>42039</v>
      </c>
      <c r="T24" s="70">
        <v>43129</v>
      </c>
      <c r="U24" s="70">
        <v>43304</v>
      </c>
      <c r="V24" s="29">
        <v>43181</v>
      </c>
      <c r="W24" s="29">
        <v>43040</v>
      </c>
      <c r="X24" s="29">
        <v>42207</v>
      </c>
      <c r="Y24" s="29">
        <v>42921</v>
      </c>
      <c r="Z24" s="29">
        <v>42859</v>
      </c>
    </row>
    <row r="25" spans="1:33" hidden="1" x14ac:dyDescent="0.35">
      <c r="A25" s="76" t="s">
        <v>30</v>
      </c>
      <c r="B25" s="63">
        <v>40140</v>
      </c>
      <c r="C25" s="63">
        <v>37775</v>
      </c>
      <c r="D25" s="63">
        <v>36982</v>
      </c>
      <c r="E25" s="63">
        <v>36039</v>
      </c>
      <c r="F25" s="63">
        <v>40385</v>
      </c>
      <c r="G25" s="63">
        <v>40385</v>
      </c>
      <c r="H25" s="63">
        <v>42095</v>
      </c>
      <c r="I25" s="63">
        <v>39790</v>
      </c>
      <c r="J25" s="63">
        <v>37043</v>
      </c>
      <c r="K25" s="29">
        <v>42940</v>
      </c>
      <c r="L25" s="63">
        <v>37196</v>
      </c>
      <c r="M25" s="63">
        <v>41989</v>
      </c>
      <c r="N25" s="63">
        <v>39173</v>
      </c>
      <c r="O25" s="63" t="s">
        <v>31</v>
      </c>
      <c r="P25" s="30"/>
      <c r="Q25" s="70">
        <v>35521</v>
      </c>
      <c r="R25" s="70">
        <v>38902</v>
      </c>
      <c r="S25" s="70">
        <v>38322</v>
      </c>
      <c r="T25" s="70" t="s">
        <v>31</v>
      </c>
      <c r="U25" s="70">
        <v>41367</v>
      </c>
      <c r="V25" s="63">
        <v>38169</v>
      </c>
      <c r="W25" s="63">
        <v>38808</v>
      </c>
      <c r="X25" s="29">
        <v>36708</v>
      </c>
      <c r="Y25" s="29">
        <v>39022</v>
      </c>
      <c r="Z25" s="29">
        <v>42235</v>
      </c>
    </row>
    <row r="26" spans="1:33" x14ac:dyDescent="0.35">
      <c r="P26" s="30"/>
      <c r="Q26" s="30"/>
      <c r="R26" s="30"/>
      <c r="S26" s="30"/>
      <c r="T26" s="30"/>
      <c r="U26" s="30"/>
    </row>
    <row r="27" spans="1:33" x14ac:dyDescent="0.35">
      <c r="P27" s="30"/>
      <c r="Q27" s="30"/>
      <c r="R27" s="30"/>
      <c r="S27" s="30"/>
      <c r="T27" s="30"/>
      <c r="U27" s="30"/>
    </row>
    <row r="28" spans="1:33" x14ac:dyDescent="0.35">
      <c r="B28" s="14"/>
      <c r="P28" s="30"/>
      <c r="Q28" s="30"/>
      <c r="R28" s="30"/>
      <c r="S28" s="30"/>
      <c r="T28" s="30"/>
      <c r="U28" s="30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5925B-42D0-4B19-92C8-EF5763A3A2DC}">
  <sheetPr codeName="Sheet2">
    <tabColor theme="5" tint="0.39997558519241921"/>
  </sheetPr>
  <dimension ref="A1:AB24"/>
  <sheetViews>
    <sheetView topLeftCell="A8" zoomScale="85" zoomScaleNormal="85" workbookViewId="0">
      <selection activeCell="A31" sqref="A31"/>
    </sheetView>
  </sheetViews>
  <sheetFormatPr defaultRowHeight="14.5" x14ac:dyDescent="0.35"/>
  <cols>
    <col min="1" max="1" width="31.1796875" bestFit="1" customWidth="1"/>
    <col min="2" max="2" width="9.54296875" bestFit="1" customWidth="1"/>
    <col min="3" max="3" width="12.453125" bestFit="1" customWidth="1"/>
    <col min="4" max="4" width="12.81640625" bestFit="1" customWidth="1"/>
    <col min="5" max="5" width="10.81640625" bestFit="1" customWidth="1"/>
    <col min="6" max="6" width="9.453125" bestFit="1" customWidth="1"/>
    <col min="7" max="7" width="10" bestFit="1" customWidth="1"/>
    <col min="8" max="8" width="10.81640625" bestFit="1" customWidth="1"/>
    <col min="9" max="9" width="9.81640625" bestFit="1" customWidth="1"/>
    <col min="10" max="10" width="10.81640625" bestFit="1" customWidth="1"/>
    <col min="11" max="11" width="10" bestFit="1" customWidth="1"/>
    <col min="12" max="12" width="10.26953125" bestFit="1" customWidth="1"/>
    <col min="13" max="13" width="9.453125" bestFit="1" customWidth="1"/>
    <col min="14" max="14" width="10.7265625" bestFit="1" customWidth="1"/>
    <col min="15" max="15" width="10.81640625" bestFit="1" customWidth="1"/>
    <col min="16" max="16" width="10.1796875" bestFit="1" customWidth="1"/>
    <col min="17" max="17" width="9.26953125" bestFit="1" customWidth="1"/>
    <col min="18" max="18" width="11.453125" bestFit="1" customWidth="1"/>
  </cols>
  <sheetData>
    <row r="1" spans="1:28" ht="25" x14ac:dyDescent="0.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Y1" s="3"/>
      <c r="Z1" s="3"/>
      <c r="AA1" s="3"/>
      <c r="AB1" s="3"/>
    </row>
    <row r="2" spans="1:28" ht="25" x14ac:dyDescent="0.5">
      <c r="A2" s="3"/>
      <c r="B2" s="60" t="s">
        <v>377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Y2" s="4"/>
      <c r="Z2" s="4"/>
      <c r="AA2" s="3"/>
      <c r="AB2" s="3"/>
    </row>
    <row r="3" spans="1:28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Y3" s="3"/>
      <c r="Z3" s="3"/>
      <c r="AA3" s="3"/>
      <c r="AB3" s="3"/>
    </row>
    <row r="4" spans="1:28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Y4" s="3"/>
      <c r="Z4" s="3"/>
      <c r="AA4" s="3"/>
      <c r="AB4" s="3"/>
    </row>
    <row r="5" spans="1:28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Y5" s="3"/>
      <c r="Z5" s="3"/>
      <c r="AA5" s="3"/>
      <c r="AB5" s="3"/>
    </row>
    <row r="6" spans="1:28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Y6" s="3"/>
      <c r="Z6" s="3"/>
      <c r="AA6" s="3"/>
      <c r="AB6" s="3"/>
    </row>
    <row r="7" spans="1:28" hidden="1" x14ac:dyDescent="0.35">
      <c r="A7" s="34" t="s">
        <v>32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Y7" s="3"/>
      <c r="Z7" s="3"/>
      <c r="AA7" s="3"/>
      <c r="AB7" s="3"/>
    </row>
    <row r="8" spans="1:28" x14ac:dyDescent="0.35">
      <c r="A8" s="3"/>
      <c r="B8" s="3"/>
      <c r="C8" s="3"/>
      <c r="D8" s="3"/>
      <c r="E8" s="3"/>
      <c r="F8" s="3"/>
      <c r="G8" s="3"/>
      <c r="H8" s="3"/>
      <c r="I8" s="6"/>
      <c r="J8" s="6"/>
      <c r="K8" s="6"/>
      <c r="L8" s="6"/>
      <c r="M8" s="6"/>
      <c r="N8" s="6"/>
      <c r="O8" s="3"/>
      <c r="P8" s="3"/>
      <c r="Q8" s="3"/>
      <c r="Y8" s="3"/>
      <c r="Z8" s="3"/>
      <c r="AA8" s="3"/>
      <c r="AB8" s="3"/>
    </row>
    <row r="9" spans="1:28" x14ac:dyDescent="0.35">
      <c r="A9" s="37"/>
      <c r="B9" s="37" t="s">
        <v>0</v>
      </c>
      <c r="C9" s="37" t="s">
        <v>0</v>
      </c>
      <c r="D9" s="37" t="s">
        <v>1</v>
      </c>
      <c r="E9" s="37" t="s">
        <v>1</v>
      </c>
      <c r="F9" s="37" t="s">
        <v>5</v>
      </c>
      <c r="G9" s="37" t="s">
        <v>5</v>
      </c>
      <c r="H9" s="37" t="s">
        <v>5</v>
      </c>
      <c r="I9" s="37" t="s">
        <v>2</v>
      </c>
      <c r="J9" s="37" t="s">
        <v>4</v>
      </c>
      <c r="K9" s="37" t="s">
        <v>4</v>
      </c>
      <c r="L9" s="37" t="s">
        <v>245</v>
      </c>
      <c r="M9" s="37" t="s">
        <v>300</v>
      </c>
      <c r="N9" s="37" t="s">
        <v>301</v>
      </c>
      <c r="O9" s="37" t="s">
        <v>301</v>
      </c>
      <c r="P9" s="37" t="s">
        <v>9</v>
      </c>
      <c r="Q9" s="37" t="s">
        <v>43</v>
      </c>
      <c r="R9" s="46" t="s">
        <v>12</v>
      </c>
    </row>
    <row r="10" spans="1:28" ht="65.5" x14ac:dyDescent="0.35">
      <c r="A10" s="39"/>
      <c r="B10" s="39" t="s">
        <v>302</v>
      </c>
      <c r="C10" s="39" t="s">
        <v>34</v>
      </c>
      <c r="D10" s="39" t="s">
        <v>303</v>
      </c>
      <c r="E10" s="39" t="s">
        <v>304</v>
      </c>
      <c r="F10" s="39" t="s">
        <v>305</v>
      </c>
      <c r="G10" s="39" t="s">
        <v>302</v>
      </c>
      <c r="H10" s="39" t="s">
        <v>306</v>
      </c>
      <c r="I10" s="39" t="s">
        <v>307</v>
      </c>
      <c r="J10" s="39" t="s">
        <v>375</v>
      </c>
      <c r="K10" s="39" t="s">
        <v>308</v>
      </c>
      <c r="L10" s="39" t="s">
        <v>309</v>
      </c>
      <c r="M10" s="39" t="s">
        <v>310</v>
      </c>
      <c r="N10" s="39" t="s">
        <v>311</v>
      </c>
      <c r="O10" s="39" t="s">
        <v>306</v>
      </c>
      <c r="P10" s="39" t="s">
        <v>374</v>
      </c>
      <c r="Q10" s="39" t="s">
        <v>312</v>
      </c>
      <c r="R10" s="39" t="s">
        <v>313</v>
      </c>
    </row>
    <row r="11" spans="1:28" x14ac:dyDescent="0.35">
      <c r="A11" s="31" t="s">
        <v>357</v>
      </c>
      <c r="B11" s="33">
        <f>INDEX(CIBC!$C$8:$F$12,MATCH(VALUE(LEFT(A11,FIND(" ",A11)-1)),CIBC!$F$8:$F$12,1),2)*100</f>
        <v>0.05</v>
      </c>
      <c r="C11" s="33">
        <f>(CIBC!$D$22)*100</f>
        <v>0.3</v>
      </c>
      <c r="D11" s="33">
        <f>INDEX(TD!$B$30:$E$35,MATCH(VALUE(LEFT(A11,FIND(" ",A11)-1)),TD!$E$30:$E$35,1),2)*100</f>
        <v>0.01</v>
      </c>
      <c r="E11" s="33">
        <f>(TD!$K$41)*100</f>
        <v>0.25</v>
      </c>
      <c r="F11" s="33" t="str">
        <f>INDEX(RBC!$A$134:$E$134,MATCH(VALUE(LEFT(A11,FIND(" ",A11)-1)),RBC!$E$134:$E$134,1),3)</f>
        <v>0.050</v>
      </c>
      <c r="G11" s="33" t="str">
        <f>INDEX(RBC!$A$133:$E$133,MATCH(VALUE(LEFT(A11,FIND(" ",A11)-1)),RBC!$E$133:$E$133,1),3)</f>
        <v>0.000</v>
      </c>
      <c r="H11" s="33">
        <f>(RBC!$D$2)</f>
        <v>1.5E-3</v>
      </c>
      <c r="I11" s="33">
        <f>INDEX(BMO!$B$9:$E$10,MATCH(VALUE(LEFT(A11,FIND(" ",A11)-1)),BMO!$E$9:$E$10,1),2)*100</f>
        <v>0.05</v>
      </c>
      <c r="J11" s="78">
        <f>BNS!$D$45*100</f>
        <v>0.4</v>
      </c>
      <c r="K11" s="79">
        <f>INDEX(BNS!$B$17:$C$22,MATCH(VALUE(LEFT(A11,FIND(" ",A11)-1)),BNS!$G$17:$G$22,1),2)*100</f>
        <v>0.15</v>
      </c>
      <c r="L11" s="64">
        <v>0.45</v>
      </c>
      <c r="M11" s="33">
        <f>LEFT((ICICI!$B$6),5)*100</f>
        <v>0.44999999999999996</v>
      </c>
      <c r="N11" s="33">
        <f>(Manulife!$C$10)*100</f>
        <v>0.2</v>
      </c>
      <c r="O11" s="33">
        <f>Manulife!$C$16*100</f>
        <v>0.25</v>
      </c>
      <c r="P11" s="33">
        <f>INDEX(HSBC!$B$10:$I$13,MATCH(VALUE(LEFT(A11,FIND(" ",A11)-1)),HSBC!$I$10:$I$13,1),2)*100</f>
        <v>0.05</v>
      </c>
      <c r="Q11" s="33">
        <f>(Altamira!$D$11)*100</f>
        <v>0.25</v>
      </c>
      <c r="R11" s="79">
        <f>(BNS!$D$40)*100</f>
        <v>0.25</v>
      </c>
    </row>
    <row r="12" spans="1:28" s="30" customFormat="1" x14ac:dyDescent="0.35">
      <c r="A12" s="31" t="s">
        <v>315</v>
      </c>
      <c r="B12" s="33">
        <f>INDEX(CIBC!$C$8:$F$12,MATCH(VALUE(LEFT(A12,FIND(" ",A12)-1)),CIBC!$F$8:$F$12,1),2)*100</f>
        <v>0.05</v>
      </c>
      <c r="C12" s="33">
        <f>(CIBC!$D$22)*100</f>
        <v>0.3</v>
      </c>
      <c r="D12" s="33">
        <f>INDEX(TD!$B$30:$E$35,MATCH(VALUE(LEFT(A12,FIND(" ",A12)-1)),TD!$E$30:$E$35,1),2)*100</f>
        <v>0.01</v>
      </c>
      <c r="E12" s="33">
        <f>(TD!$K$41)*100</f>
        <v>0.25</v>
      </c>
      <c r="F12" s="33" t="str">
        <f>INDEX(RBC!$A$134:$E$134,MATCH(VALUE(LEFT(A12,FIND(" ",A12)-1)),RBC!$E$134:$E$134,1),3)</f>
        <v>0.050</v>
      </c>
      <c r="G12" s="33" t="str">
        <f>INDEX(RBC!$A$133:$E$133,MATCH(VALUE(LEFT(A12,FIND(" ",A12)-1)),RBC!$E$133:$E$133,1),3)</f>
        <v>0.000</v>
      </c>
      <c r="H12" s="33">
        <f>(RBC!$D$2)</f>
        <v>1.5E-3</v>
      </c>
      <c r="I12" s="33">
        <f>INDEX(BMO!$B$9:$E$10,MATCH(VALUE(LEFT(A12,FIND(" ",A12)-1)),BMO!$E$9:$E$10,1),2)*100</f>
        <v>0.05</v>
      </c>
      <c r="J12" s="78">
        <f>BNS!$D$45*100</f>
        <v>0.4</v>
      </c>
      <c r="K12" s="79">
        <f>INDEX(BNS!$B$17:$C$22,MATCH(VALUE(LEFT(A12,FIND(" ",A12)-1)),BNS!$G$17:$G$22,1),2)*100</f>
        <v>0.15</v>
      </c>
      <c r="L12" s="64">
        <f>$L$11</f>
        <v>0.45</v>
      </c>
      <c r="M12" s="33">
        <f>LEFT((ICICI!$B$6),5)*100</f>
        <v>0.44999999999999996</v>
      </c>
      <c r="N12" s="33">
        <f>(Manulife!$C$10)*100</f>
        <v>0.2</v>
      </c>
      <c r="O12" s="33">
        <f>Manulife!$C$16*100</f>
        <v>0.25</v>
      </c>
      <c r="P12" s="33">
        <f>INDEX(HSBC!$B$10:$I$13,MATCH(VALUE(LEFT(A12,FIND(" ",A12)-1)),HSBC!$I$10:$I$13,1),2)*100</f>
        <v>0.05</v>
      </c>
      <c r="Q12" s="33">
        <f>(Altamira!$D$11)*100</f>
        <v>0.25</v>
      </c>
      <c r="R12" s="79">
        <f>(BNS!$D$40)*100</f>
        <v>0.25</v>
      </c>
    </row>
    <row r="13" spans="1:28" x14ac:dyDescent="0.35">
      <c r="A13" s="31" t="s">
        <v>316</v>
      </c>
      <c r="B13" s="33">
        <f>INDEX(CIBC!$C$8:$F$12,MATCH(VALUE(LEFT(A13,FIND(" ",A13)-1)),CIBC!$F$8:$F$12,1),2)*100</f>
        <v>0.05</v>
      </c>
      <c r="C13" s="33">
        <f>(CIBC!$D$22)*100</f>
        <v>0.3</v>
      </c>
      <c r="D13" s="33">
        <f>INDEX(TD!$B$30:$E$35,MATCH(VALUE(LEFT(A13,FIND(" ",A13)-1)),TD!$E$30:$E$35,1),2)*100</f>
        <v>0.01</v>
      </c>
      <c r="E13" s="33">
        <f>(TD!$K$41)*100</f>
        <v>0.25</v>
      </c>
      <c r="F13" s="33" t="str">
        <f>INDEX(RBC!$A$134:$E$134,MATCH(VALUE(LEFT(A13,FIND(" ",A13)-1)),RBC!$E$134:$E$134,1),3)</f>
        <v>0.050</v>
      </c>
      <c r="G13" s="33" t="str">
        <f>INDEX(RBC!$A$133:$E$133,MATCH(VALUE(LEFT(A13,FIND(" ",A13)-1)),RBC!$E$133:$E$133,1),3)</f>
        <v>0.000</v>
      </c>
      <c r="H13" s="33">
        <f>(RBC!$D$2)</f>
        <v>1.5E-3</v>
      </c>
      <c r="I13" s="33">
        <f>INDEX(BMO!$B$9:$E$10,MATCH(VALUE(LEFT(A13,FIND(" ",A13)-1)),BMO!$E$9:$E$10,1),2)*100</f>
        <v>0.05</v>
      </c>
      <c r="J13" s="78">
        <f>BNS!$D$44*100</f>
        <v>0.4</v>
      </c>
      <c r="K13" s="79">
        <f>INDEX(BNS!$B$17:$C$22,MATCH(VALUE(LEFT(A13,FIND(" ",A13)-1)),BNS!$G$17:$G$22,1),2)*100</f>
        <v>0.15</v>
      </c>
      <c r="L13" s="64">
        <f t="shared" ref="L13:L21" si="0">$L$11</f>
        <v>0.45</v>
      </c>
      <c r="M13" s="33">
        <f>LEFT((ICICI!$B$6),5)*100</f>
        <v>0.44999999999999996</v>
      </c>
      <c r="N13" s="33">
        <f>(Manulife!$C$10)*100</f>
        <v>0.2</v>
      </c>
      <c r="O13" s="33">
        <f>Manulife!$C$16*100</f>
        <v>0.25</v>
      </c>
      <c r="P13" s="33">
        <f>INDEX(HSBC!$B$10:$I$13,MATCH(VALUE(LEFT(A13,FIND(" ",A13)-1)),HSBC!$I$10:$I$13,1),2)*100</f>
        <v>0.05</v>
      </c>
      <c r="Q13" s="33">
        <f>(Altamira!$D$11)*100</f>
        <v>0.25</v>
      </c>
      <c r="R13" s="79">
        <f>(BNS!$D$40)*100</f>
        <v>0.25</v>
      </c>
    </row>
    <row r="14" spans="1:28" s="30" customFormat="1" x14ac:dyDescent="0.35">
      <c r="A14" s="31" t="s">
        <v>317</v>
      </c>
      <c r="B14" s="33">
        <f>INDEX(CIBC!$C$8:$F$12,MATCH(VALUE(LEFT(A14,FIND(" ",A14)-1)),CIBC!$F$8:$F$12,1),2)*100</f>
        <v>0.05</v>
      </c>
      <c r="C14" s="33">
        <f>(CIBC!$D$22)*100</f>
        <v>0.3</v>
      </c>
      <c r="D14" s="33">
        <f>INDEX(TD!$B$30:$E$35,MATCH(VALUE(LEFT(A14,FIND(" ",A14)-1)),TD!$E$30:$E$35,1),2)*100</f>
        <v>0.01</v>
      </c>
      <c r="E14" s="33">
        <f>(TD!$K$41)*100</f>
        <v>0.25</v>
      </c>
      <c r="F14" s="33" t="str">
        <f>INDEX(RBC!$A$134:$E$134,MATCH(VALUE(LEFT(A14,FIND(" ",A14)-1)),RBC!$E$134:$E$134,1),3)</f>
        <v>0.050</v>
      </c>
      <c r="G14" s="33" t="str">
        <f>INDEX(RBC!$A$133:$E$133,MATCH(VALUE(LEFT(A14,FIND(" ",A14)-1)),RBC!$E$133:$E$133,1),3)</f>
        <v>0.000</v>
      </c>
      <c r="H14" s="33">
        <f>(RBC!$D$2)</f>
        <v>1.5E-3</v>
      </c>
      <c r="I14" s="33">
        <f>INDEX(BMO!$B$9:$E$10,MATCH(VALUE(LEFT(A14,FIND(" ",A14)-1)),BMO!$E$9:$E$10,1),2)*100</f>
        <v>0.05</v>
      </c>
      <c r="J14" s="78">
        <f>BNS!$D$44*100</f>
        <v>0.4</v>
      </c>
      <c r="K14" s="79">
        <f>INDEX(BNS!$B$17:$C$22,MATCH(VALUE(LEFT(A14,FIND(" ",A14)-1)),BNS!$G$17:$G$22,1),2)*100</f>
        <v>0.1</v>
      </c>
      <c r="L14" s="64">
        <f t="shared" si="0"/>
        <v>0.45</v>
      </c>
      <c r="M14" s="33">
        <f>LEFT((ICICI!$B$6),5)*100</f>
        <v>0.44999999999999996</v>
      </c>
      <c r="N14" s="33">
        <f>(Manulife!$C$10)*100</f>
        <v>0.2</v>
      </c>
      <c r="O14" s="33">
        <f>Manulife!$C$16*100</f>
        <v>0.25</v>
      </c>
      <c r="P14" s="33">
        <f>INDEX(HSBC!$B$10:$I$13,MATCH(VALUE(LEFT(A14,FIND(" ",A14)-1)),HSBC!$I$10:$I$13,1),2)*100</f>
        <v>0.05</v>
      </c>
      <c r="Q14" s="33">
        <f>(Altamira!$D$11)*100</f>
        <v>0.25</v>
      </c>
      <c r="R14" s="79">
        <f>(BNS!$D$40)*100</f>
        <v>0.25</v>
      </c>
      <c r="S14"/>
      <c r="T14"/>
      <c r="U14"/>
      <c r="V14"/>
      <c r="W14"/>
      <c r="X14"/>
      <c r="Y14"/>
    </row>
    <row r="15" spans="1:28" x14ac:dyDescent="0.35">
      <c r="A15" s="31" t="s">
        <v>318</v>
      </c>
      <c r="B15" s="33">
        <f>INDEX(CIBC!$C$8:$F$12,MATCH(VALUE(LEFT(A15,FIND(" ",A15)-1)),CIBC!$F$8:$F$12,1),2)*100</f>
        <v>0.05</v>
      </c>
      <c r="C15" s="33">
        <f>(CIBC!$D$22)*100</f>
        <v>0.3</v>
      </c>
      <c r="D15" s="33">
        <f>INDEX(TD!$B$30:$E$35,MATCH(VALUE(LEFT(A15,FIND(" ",A15)-1)),TD!$E$30:$E$35,1),2)*100</f>
        <v>0.01</v>
      </c>
      <c r="E15" s="33">
        <f>(TD!$K$41)*100</f>
        <v>0.25</v>
      </c>
      <c r="F15" s="33" t="str">
        <f>INDEX(RBC!$A$134:$E$134,MATCH(VALUE(LEFT(A15,FIND(" ",A15)-1)),RBC!$E$134:$E$134,1),3)</f>
        <v>0.050</v>
      </c>
      <c r="G15" s="33" t="str">
        <f>INDEX(RBC!$A$133:$E$133,MATCH(VALUE(LEFT(A15,FIND(" ",A15)-1)),RBC!$E$133:$E$133,1),3)</f>
        <v>0.000</v>
      </c>
      <c r="H15" s="33">
        <f>(RBC!$D$2)</f>
        <v>1.5E-3</v>
      </c>
      <c r="I15" s="33">
        <f>INDEX(BMO!$B$9:$E$10,MATCH(VALUE(LEFT(A15,FIND(" ",A15)-1)),BMO!$E$9:$E$10,1),2)*100</f>
        <v>0.05</v>
      </c>
      <c r="J15" s="78">
        <f>BNS!$D$44*100</f>
        <v>0.4</v>
      </c>
      <c r="K15" s="79">
        <f>INDEX(BNS!$B$17:$C$22,MATCH(VALUE(LEFT(A15,FIND(" ",A15)-1)),BNS!$G$17:$G$22,1),2)*100</f>
        <v>0.1</v>
      </c>
      <c r="L15" s="64">
        <f t="shared" si="0"/>
        <v>0.45</v>
      </c>
      <c r="M15" s="33">
        <f>LEFT((ICICI!$B$6),5)*100</f>
        <v>0.44999999999999996</v>
      </c>
      <c r="N15" s="33">
        <f>(Manulife!$C$10)*100</f>
        <v>0.2</v>
      </c>
      <c r="O15" s="33">
        <f>Manulife!$C$16*100</f>
        <v>0.25</v>
      </c>
      <c r="P15" s="33">
        <f>INDEX(HSBC!$B$10:$I$13,MATCH(VALUE(LEFT(A15,FIND(" ",A15)-1)),HSBC!$I$10:$I$13,1),2)*100</f>
        <v>0.05</v>
      </c>
      <c r="Q15" s="33">
        <f>(Altamira!$D$11)*100</f>
        <v>0.25</v>
      </c>
      <c r="R15" s="79">
        <f>(BNS!$D$40)*100</f>
        <v>0.25</v>
      </c>
    </row>
    <row r="16" spans="1:28" x14ac:dyDescent="0.35">
      <c r="A16" s="31" t="s">
        <v>35</v>
      </c>
      <c r="B16" s="33">
        <f>INDEX(CIBC!$C$8:$F$12,MATCH(VALUE(LEFT(A16,FIND(" ",A16)-1)),CIBC!$F$8:$F$12,1),2)*100</f>
        <v>0.05</v>
      </c>
      <c r="C16" s="33">
        <f>(CIBC!$D$22)*100</f>
        <v>0.3</v>
      </c>
      <c r="D16" s="33">
        <f>INDEX(TD!$B$30:$E$35,MATCH(VALUE(LEFT(A16,FIND(" ",A16)-1)),TD!$E$30:$E$35,1),2)*100</f>
        <v>0.01</v>
      </c>
      <c r="E16" s="33">
        <f>(TD!$K$41)*100</f>
        <v>0.25</v>
      </c>
      <c r="F16" s="33" t="str">
        <f>INDEX(RBC!$A$134:$E$134,MATCH(VALUE(LEFT(A16,FIND(" ",A16)-1)),RBC!$E$134:$E$134,1),3)</f>
        <v>0.050</v>
      </c>
      <c r="G16" s="33" t="str">
        <f>INDEX(RBC!$A$133:$E$133,MATCH(VALUE(LEFT(A16,FIND(" ",A16)-1)),RBC!$E$133:$E$133,1),3)</f>
        <v>0.000</v>
      </c>
      <c r="H16" s="33">
        <f>(RBC!$D$2)</f>
        <v>1.5E-3</v>
      </c>
      <c r="I16" s="33">
        <f>INDEX(BMO!$B$9:$E$10,MATCH(VALUE(LEFT(A16,FIND(" ",A16)-1)),BMO!$E$9:$E$10,1),2)*100</f>
        <v>0.05</v>
      </c>
      <c r="J16" s="78">
        <f>BNS!$D$44*100</f>
        <v>0.4</v>
      </c>
      <c r="K16" s="79">
        <f>INDEX(BNS!$B$17:$C$22,MATCH(VALUE(LEFT(A16,FIND(" ",A16)-1)),BNS!$G$17:$G$22,1),2)*100</f>
        <v>0.05</v>
      </c>
      <c r="L16" s="64">
        <f t="shared" si="0"/>
        <v>0.45</v>
      </c>
      <c r="M16" s="33">
        <f>LEFT((ICICI!$B$6),5)*100</f>
        <v>0.44999999999999996</v>
      </c>
      <c r="N16" s="33">
        <f>(Manulife!$C$10)*100</f>
        <v>0.2</v>
      </c>
      <c r="O16" s="33">
        <f>Manulife!$C$16*100</f>
        <v>0.25</v>
      </c>
      <c r="P16" s="33">
        <f>INDEX(HSBC!$B$10:$I$13,MATCH(VALUE(LEFT(A16,FIND(" ",A16)-1)),HSBC!$I$10:$I$13,1),2)*100</f>
        <v>0.05</v>
      </c>
      <c r="Q16" s="33">
        <f>(Altamira!$D$11)*100</f>
        <v>0.25</v>
      </c>
      <c r="R16" s="79">
        <f>(BNS!$D$40)*100</f>
        <v>0.25</v>
      </c>
    </row>
    <row r="17" spans="1:18" x14ac:dyDescent="0.35">
      <c r="A17" s="31" t="s">
        <v>36</v>
      </c>
      <c r="B17" s="33">
        <f>INDEX(CIBC!$C$8:$F$12,MATCH(VALUE(LEFT(A17,FIND(" ",A17)-1)),CIBC!$F$8:$F$12,1),2)*100</f>
        <v>0.05</v>
      </c>
      <c r="C17" s="33">
        <f>(CIBC!$D$22)*100</f>
        <v>0.3</v>
      </c>
      <c r="D17" s="33">
        <f>INDEX(TD!$B$30:$E$35,MATCH(VALUE(LEFT(A17,FIND(" ",A17)-1)),TD!$E$30:$E$35,1),2)*100</f>
        <v>0.01</v>
      </c>
      <c r="E17" s="33">
        <f>(TD!$K$41)*100</f>
        <v>0.25</v>
      </c>
      <c r="F17" s="33" t="str">
        <f>INDEX(RBC!$A$134:$E$134,MATCH(VALUE(LEFT(A17,FIND(" ",A17)-1)),RBC!$E$134:$E$134,1),3)</f>
        <v>0.050</v>
      </c>
      <c r="G17" s="33" t="str">
        <f>INDEX(RBC!$A$133:$E$133,MATCH(VALUE(LEFT(A17,FIND(" ",A17)-1)),RBC!$E$133:$E$133,1),3)</f>
        <v>0.000</v>
      </c>
      <c r="H17" s="33">
        <f>(RBC!$D$2)</f>
        <v>1.5E-3</v>
      </c>
      <c r="I17" s="33">
        <f>INDEX(BMO!$B$9:$E$10,MATCH(VALUE(LEFT(A17,FIND(" ",A17)-1)),BMO!$E$9:$E$10,1),2)*100</f>
        <v>0.05</v>
      </c>
      <c r="J17" s="78">
        <f>BNS!$D$44*100</f>
        <v>0.4</v>
      </c>
      <c r="K17" s="79">
        <f>INDEX(BNS!$B$17:$C$22,MATCH(VALUE(LEFT(A17,FIND(" ",A17)-1)),BNS!$G$17:$G$22,1),2)*100</f>
        <v>2.5000000000000001E-2</v>
      </c>
      <c r="L17" s="64">
        <f t="shared" si="0"/>
        <v>0.45</v>
      </c>
      <c r="M17" s="33">
        <f>LEFT((ICICI!$B$6),5)*100</f>
        <v>0.44999999999999996</v>
      </c>
      <c r="N17" s="33">
        <f>(Manulife!$C$10)*100</f>
        <v>0.2</v>
      </c>
      <c r="O17" s="33">
        <f>Manulife!$C$16*100</f>
        <v>0.25</v>
      </c>
      <c r="P17" s="33">
        <f>INDEX(HSBC!$B$10:$I$13,MATCH(VALUE(LEFT(A17,FIND(" ",A17)-1)),HSBC!$I$10:$I$13,1),2)*100</f>
        <v>0.05</v>
      </c>
      <c r="Q17" s="33">
        <f>(Altamira!$D$11)*100</f>
        <v>0.25</v>
      </c>
      <c r="R17" s="79">
        <f>(BNS!$D$40)*100</f>
        <v>0.25</v>
      </c>
    </row>
    <row r="18" spans="1:18" x14ac:dyDescent="0.35">
      <c r="A18" s="31" t="s">
        <v>37</v>
      </c>
      <c r="B18" s="33">
        <f>INDEX(CIBC!$C$8:$F$12,MATCH(VALUE(LEFT(A18,FIND(" ",A18)-1)),CIBC!$F$8:$F$12,1),2)*100</f>
        <v>0.05</v>
      </c>
      <c r="C18" s="33">
        <f>(CIBC!$D$22)*100</f>
        <v>0.3</v>
      </c>
      <c r="D18" s="33">
        <f>INDEX(TD!$B$30:$E$35,MATCH(VALUE(LEFT(A18,FIND(" ",A18)-1)),TD!$E$30:$E$35,1),2)*100</f>
        <v>0.01</v>
      </c>
      <c r="E18" s="33">
        <f>(TD!$K$41)*100</f>
        <v>0.25</v>
      </c>
      <c r="F18" s="33" t="str">
        <f>INDEX(RBC!$A$134:$E$134,MATCH(VALUE(LEFT(A18,FIND(" ",A18)-1)),RBC!$E$134:$E$134,1),3)</f>
        <v>0.050</v>
      </c>
      <c r="G18" s="33" t="str">
        <f>INDEX(RBC!$A$133:$E$133,MATCH(VALUE(LEFT(A18,FIND(" ",A18)-1)),RBC!$E$133:$E$133,1),3)</f>
        <v>0.000</v>
      </c>
      <c r="H18" s="33">
        <f>(RBC!$D$2)</f>
        <v>1.5E-3</v>
      </c>
      <c r="I18" s="33">
        <f>INDEX(BMO!$B$9:$E$10,MATCH(VALUE(LEFT(A18,FIND(" ",A18)-1)),BMO!$E$9:$E$10,1),2)*100</f>
        <v>0.05</v>
      </c>
      <c r="J18" s="78">
        <f>BNS!$D$44*100</f>
        <v>0.4</v>
      </c>
      <c r="K18" s="79">
        <f>INDEX(BNS!$B$17:$C$22,MATCH(VALUE(LEFT(A18,FIND(" ",A18)-1)),BNS!$G$17:$G$22,1),2)*100</f>
        <v>0.01</v>
      </c>
      <c r="L18" s="64">
        <f t="shared" si="0"/>
        <v>0.45</v>
      </c>
      <c r="M18" s="33">
        <f>LEFT((ICICI!$B$6),5)*100</f>
        <v>0.44999999999999996</v>
      </c>
      <c r="N18" s="33">
        <f>(Manulife!$C$10)*100</f>
        <v>0.2</v>
      </c>
      <c r="O18" s="33">
        <f>Manulife!$C$16*100</f>
        <v>0.25</v>
      </c>
      <c r="P18" s="33">
        <f>INDEX(HSBC!$B$10:$I$13,MATCH(VALUE(LEFT(A18,FIND(" ",A18)-1)),HSBC!$I$10:$I$13,1),2)*100</f>
        <v>0.05</v>
      </c>
      <c r="Q18" s="33">
        <f>(Altamira!$D$11)*100</f>
        <v>0.25</v>
      </c>
      <c r="R18" s="79">
        <f>(BNS!$D$40)*100</f>
        <v>0.25</v>
      </c>
    </row>
    <row r="19" spans="1:18" x14ac:dyDescent="0.35">
      <c r="A19" s="31" t="s">
        <v>38</v>
      </c>
      <c r="B19" s="33">
        <f>INDEX(CIBC!$C$8:$F$12,MATCH(VALUE(LEFT(A19,FIND(" ",A19)-1)),CIBC!$F$8:$F$12,1),2)*100</f>
        <v>0.05</v>
      </c>
      <c r="C19" s="33">
        <f>(CIBC!$D$22)*100</f>
        <v>0.3</v>
      </c>
      <c r="D19" s="33">
        <f>INDEX(TD!$B$30:$E$35,MATCH(VALUE(LEFT(A19,FIND(" ",A19)-1)),TD!$E$30:$E$35,1),2)*100</f>
        <v>0.01</v>
      </c>
      <c r="E19" s="33">
        <f>(TD!$K$41)*100</f>
        <v>0.25</v>
      </c>
      <c r="F19" s="33" t="str">
        <f>INDEX(RBC!$A$134:$E$134,MATCH(VALUE(LEFT(A19,FIND(" ",A19)-1)),RBC!$E$134:$E$134,1),3)</f>
        <v>0.050</v>
      </c>
      <c r="G19" s="33" t="str">
        <f>INDEX(RBC!$A$133:$E$133,MATCH(VALUE(LEFT(A19,FIND(" ",A19)-1)),RBC!$E$133:$E$133,1),3)</f>
        <v>0.000</v>
      </c>
      <c r="H19" s="33">
        <f>(RBC!$D$2)</f>
        <v>1.5E-3</v>
      </c>
      <c r="I19" s="33">
        <f>INDEX(BMO!$B$9:$E$10,MATCH(VALUE(LEFT(A19,FIND(" ",A19)-1)),BMO!$E$9:$E$10,1),2)*100</f>
        <v>0.05</v>
      </c>
      <c r="J19" s="78">
        <f>BNS!$D$44*100</f>
        <v>0.4</v>
      </c>
      <c r="K19" s="79">
        <f>INDEX(BNS!$B$17:$C$22,MATCH(VALUE(LEFT(A19,FIND(" ",A19)-1)),BNS!$G$17:$G$22,1),2)*100</f>
        <v>0.01</v>
      </c>
      <c r="L19" s="64">
        <f t="shared" si="0"/>
        <v>0.45</v>
      </c>
      <c r="M19" s="33">
        <f>LEFT((ICICI!$B$6),5)*100</f>
        <v>0.44999999999999996</v>
      </c>
      <c r="N19" s="33">
        <f>(Manulife!$C$10)*100</f>
        <v>0.2</v>
      </c>
      <c r="O19" s="33">
        <f>Manulife!$C$16*100</f>
        <v>0.25</v>
      </c>
      <c r="P19" s="33">
        <f>INDEX(HSBC!$B$10:$I$13,MATCH(VALUE(LEFT(A19,FIND(" ",A19)-1)),HSBC!$I$10:$I$13,1),2)*100</f>
        <v>0.05</v>
      </c>
      <c r="Q19" s="33">
        <f>(Altamira!$D$11)*100</f>
        <v>0.25</v>
      </c>
      <c r="R19" s="79">
        <f>(BNS!$D$40)*100</f>
        <v>0.25</v>
      </c>
    </row>
    <row r="20" spans="1:18" s="30" customFormat="1" x14ac:dyDescent="0.35">
      <c r="A20" s="31" t="s">
        <v>355</v>
      </c>
      <c r="B20" s="33">
        <f>INDEX(CIBC!$C$8:$F$12,MATCH(VALUE(LEFT(A20,FIND(" ",A20)-1)),CIBC!$F$8:$F$12,1),2)*100</f>
        <v>0.05</v>
      </c>
      <c r="C20" s="33">
        <f>(CIBC!$D$22)*100</f>
        <v>0.3</v>
      </c>
      <c r="D20" s="33">
        <f>INDEX(TD!$B$30:$E$35,MATCH(VALUE(LEFT(A20,FIND(" ",A20)-1)),TD!$E$30:$E$35,1),2)*100</f>
        <v>0.01</v>
      </c>
      <c r="E20" s="33">
        <f>(TD!$K$41)*100</f>
        <v>0.25</v>
      </c>
      <c r="F20" s="33" t="str">
        <f>INDEX(RBC!$A$134:$E$134,MATCH(VALUE(LEFT(A20,FIND(" ",A20)-1)),RBC!$E$134:$E$134,1),3)</f>
        <v>0.050</v>
      </c>
      <c r="G20" s="33" t="str">
        <f>INDEX(RBC!$A$133:$E$133,MATCH(VALUE(LEFT(A20,FIND(" ",A20)-1)),RBC!$E$133:$E$133,1),3)</f>
        <v>0.000</v>
      </c>
      <c r="H20" s="33">
        <f>(RBC!$D$2)</f>
        <v>1.5E-3</v>
      </c>
      <c r="I20" s="33">
        <f>INDEX(BMO!$B$9:$E$10,MATCH(VALUE(LEFT(A20,FIND(" ",A20)-1)),BMO!$E$9:$E$10,1),2)*100</f>
        <v>0.05</v>
      </c>
      <c r="J20" s="78">
        <f>BNS!$D$44*100</f>
        <v>0.4</v>
      </c>
      <c r="K20" s="33">
        <f>INDEX(BNS!$B$17:$C$22,MATCH(VALUE(LEFT(A20,FIND(" ",A20)-1)),BNS!$G$17:$G$22,1),2)*100</f>
        <v>0</v>
      </c>
      <c r="L20" s="64">
        <f t="shared" si="0"/>
        <v>0.45</v>
      </c>
      <c r="M20" s="33">
        <f>LEFT((ICICI!$B$6),5)*100</f>
        <v>0.44999999999999996</v>
      </c>
      <c r="N20" s="33">
        <f>(Manulife!$C$10)*100</f>
        <v>0.2</v>
      </c>
      <c r="O20" s="33">
        <f>Manulife!$C$16*100</f>
        <v>0.25</v>
      </c>
      <c r="P20" s="33">
        <f>INDEX(HSBC!$B$10:$I$13,MATCH(VALUE(LEFT(A20,FIND(" ",A20)-1)),HSBC!$I$10:$I$13,1),2)*100</f>
        <v>0.05</v>
      </c>
      <c r="Q20" s="33">
        <f>(Altamira!$D$11)*100</f>
        <v>0.25</v>
      </c>
      <c r="R20" s="79">
        <f>(BNS!$D$40)*100</f>
        <v>0.25</v>
      </c>
    </row>
    <row r="21" spans="1:18" x14ac:dyDescent="0.35">
      <c r="A21" s="31" t="s">
        <v>356</v>
      </c>
      <c r="B21" s="33">
        <f>INDEX(CIBC!$C$8:$F$12,MATCH(VALUE(LEFT(A21,FIND(" ",A21)-1)),CIBC!$F$8:$F$12,1),2)*100</f>
        <v>0.05</v>
      </c>
      <c r="C21" s="33">
        <f>(CIBC!$D$22)*100</f>
        <v>0.3</v>
      </c>
      <c r="D21" s="33">
        <f>INDEX(TD!$B$30:$E$35,MATCH(VALUE(LEFT(A21,FIND(" ",A21)-1)),TD!$E$30:$E$35,1),2)*100</f>
        <v>0.01</v>
      </c>
      <c r="E21" s="33">
        <f>(TD!$K$41)*100</f>
        <v>0.25</v>
      </c>
      <c r="F21" s="33" t="str">
        <f>INDEX(RBC!$A$134:$E$134,MATCH(VALUE(LEFT(A21,FIND(" ",A21)-1)),RBC!$E$134:$E$134,1),3)</f>
        <v>0.050</v>
      </c>
      <c r="G21" s="33" t="str">
        <f>INDEX(RBC!$A$133:$E$133,MATCH(VALUE(LEFT(A21,FIND(" ",A21)-1)),RBC!$E$133:$E$133,1),3)</f>
        <v>0.000</v>
      </c>
      <c r="H21" s="33">
        <f>(RBC!$D$2)</f>
        <v>1.5E-3</v>
      </c>
      <c r="I21" s="33">
        <f>INDEX(BMO!$B$9:$E$10,MATCH(VALUE(LEFT(A21,FIND(" ",A21)-1)),BMO!$E$9:$E$10,1),2)*100</f>
        <v>0.05</v>
      </c>
      <c r="J21" s="78">
        <f>BNS!$D$44*100</f>
        <v>0.4</v>
      </c>
      <c r="K21" s="33">
        <f>INDEX(BNS!$B$17:$C$22,MATCH(VALUE(LEFT(A21,FIND(" ",A21)-1)),BNS!$G$17:$G$22,1),2)*100</f>
        <v>0</v>
      </c>
      <c r="L21" s="64">
        <f t="shared" si="0"/>
        <v>0.45</v>
      </c>
      <c r="M21" s="33">
        <f>LEFT((ICICI!$B$6),5)*100</f>
        <v>0.44999999999999996</v>
      </c>
      <c r="N21" s="33">
        <f>(Manulife!$C$10)*100</f>
        <v>0.2</v>
      </c>
      <c r="O21" s="33">
        <f>Manulife!$C$16*100</f>
        <v>0.25</v>
      </c>
      <c r="P21" s="33">
        <f>INDEX(HSBC!$B$10:$I$13,MATCH(VALUE(LEFT(A21,FIND(" ",A21)-1)),HSBC!$I$10:$I$13,1),2)*100</f>
        <v>0.05</v>
      </c>
      <c r="Q21" s="33">
        <f>(Altamira!$D$11)*100</f>
        <v>0.25</v>
      </c>
      <c r="R21" s="79">
        <f>(BNS!$D$40)*100</f>
        <v>0.25</v>
      </c>
    </row>
    <row r="22" spans="1:18" x14ac:dyDescent="0.35">
      <c r="A22" s="41"/>
      <c r="B22" s="42"/>
      <c r="C22" s="43"/>
      <c r="D22" s="44"/>
      <c r="E22" s="44"/>
      <c r="F22" s="44"/>
      <c r="G22" s="44"/>
      <c r="H22" s="43"/>
      <c r="I22" s="45"/>
      <c r="J22" s="51"/>
      <c r="K22" s="44"/>
      <c r="L22" s="43"/>
      <c r="M22" s="42"/>
      <c r="N22" s="43"/>
      <c r="O22" s="43"/>
      <c r="P22" s="43"/>
      <c r="Q22" s="43"/>
      <c r="R22" s="41"/>
    </row>
    <row r="23" spans="1:18" hidden="1" x14ac:dyDescent="0.35">
      <c r="A23" s="9" t="s">
        <v>29</v>
      </c>
      <c r="B23" s="10">
        <v>43625</v>
      </c>
      <c r="C23" s="10">
        <v>43626</v>
      </c>
      <c r="D23" s="10">
        <v>43627</v>
      </c>
      <c r="E23" s="10">
        <v>43628</v>
      </c>
      <c r="F23" s="10">
        <v>43629</v>
      </c>
      <c r="G23" s="10">
        <v>43630</v>
      </c>
      <c r="H23" s="10">
        <v>43631</v>
      </c>
      <c r="I23" s="10">
        <v>43632</v>
      </c>
      <c r="J23" s="10">
        <v>43633</v>
      </c>
      <c r="K23" s="10">
        <v>43634</v>
      </c>
      <c r="L23" s="10">
        <v>43635</v>
      </c>
      <c r="M23" s="10">
        <v>43636</v>
      </c>
      <c r="N23" s="10">
        <v>43637</v>
      </c>
      <c r="O23" s="10">
        <v>43638</v>
      </c>
      <c r="P23" s="10"/>
      <c r="Q23" s="10">
        <v>43639</v>
      </c>
      <c r="R23" s="10">
        <v>43640</v>
      </c>
    </row>
    <row r="24" spans="1:18" x14ac:dyDescent="0.35">
      <c r="A24" s="12" t="s">
        <v>40</v>
      </c>
      <c r="B24" s="31" t="s">
        <v>41</v>
      </c>
      <c r="C24" s="31" t="s">
        <v>42</v>
      </c>
      <c r="D24" s="31" t="s">
        <v>41</v>
      </c>
      <c r="E24" s="31" t="s">
        <v>42</v>
      </c>
      <c r="F24" s="31" t="s">
        <v>41</v>
      </c>
      <c r="G24" s="31" t="s">
        <v>41</v>
      </c>
      <c r="H24" s="31" t="s">
        <v>42</v>
      </c>
      <c r="I24" s="31" t="s">
        <v>41</v>
      </c>
      <c r="J24" s="31" t="s">
        <v>42</v>
      </c>
      <c r="K24" s="31" t="s">
        <v>41</v>
      </c>
      <c r="L24" s="31" t="s">
        <v>41</v>
      </c>
      <c r="M24" s="31" t="s">
        <v>41</v>
      </c>
      <c r="N24" s="31" t="s">
        <v>41</v>
      </c>
      <c r="O24" s="31" t="s">
        <v>42</v>
      </c>
      <c r="P24" s="31" t="s">
        <v>41</v>
      </c>
      <c r="Q24" s="31" t="s">
        <v>42</v>
      </c>
      <c r="R24" s="31" t="s">
        <v>42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12DAC-F2B1-4974-9966-4B39C40987DE}">
  <sheetPr codeName="Sheet3">
    <tabColor theme="5" tint="0.39997558519241921"/>
  </sheetPr>
  <dimension ref="A1:N24"/>
  <sheetViews>
    <sheetView topLeftCell="A6" zoomScale="85" zoomScaleNormal="85" workbookViewId="0">
      <selection activeCell="H12" sqref="H12"/>
    </sheetView>
  </sheetViews>
  <sheetFormatPr defaultRowHeight="14.5" x14ac:dyDescent="0.35"/>
  <cols>
    <col min="1" max="1" width="28.453125" bestFit="1" customWidth="1"/>
    <col min="2" max="2" width="13" customWidth="1"/>
    <col min="3" max="3" width="11" bestFit="1" customWidth="1"/>
    <col min="4" max="4" width="10" bestFit="1" customWidth="1"/>
    <col min="5" max="8" width="10" style="30" bestFit="1" customWidth="1"/>
    <col min="9" max="9" width="10" bestFit="1" customWidth="1"/>
    <col min="10" max="10" width="12.54296875" bestFit="1" customWidth="1"/>
    <col min="11" max="12" width="10" bestFit="1" customWidth="1"/>
    <col min="13" max="13" width="11.453125" bestFit="1" customWidth="1"/>
    <col min="14" max="14" width="10.54296875" bestFit="1" customWidth="1"/>
  </cols>
  <sheetData>
    <row r="1" spans="1:14" ht="25" x14ac:dyDescent="0.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"/>
      <c r="M1" s="3"/>
      <c r="N1" s="3"/>
    </row>
    <row r="2" spans="1:14" ht="25" x14ac:dyDescent="0.5">
      <c r="A2" s="52"/>
      <c r="B2" s="62" t="s">
        <v>378</v>
      </c>
      <c r="C2" s="52"/>
      <c r="D2" s="52"/>
      <c r="E2" s="52"/>
      <c r="F2" s="52"/>
      <c r="G2" s="52"/>
      <c r="H2" s="52"/>
      <c r="I2" s="52"/>
      <c r="J2" s="52"/>
      <c r="K2" s="52"/>
      <c r="L2" s="3"/>
      <c r="M2" s="3"/>
      <c r="N2" s="3"/>
    </row>
    <row r="3" spans="1:14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4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idden="1" x14ac:dyDescent="0.35">
      <c r="A7" s="34" t="s">
        <v>361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x14ac:dyDescent="0.3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</row>
    <row r="9" spans="1:14" x14ac:dyDescent="0.35">
      <c r="A9" s="37"/>
      <c r="B9" s="37" t="s">
        <v>0</v>
      </c>
      <c r="C9" s="37" t="s">
        <v>0</v>
      </c>
      <c r="D9" s="37" t="s">
        <v>1</v>
      </c>
      <c r="E9" s="37" t="s">
        <v>1</v>
      </c>
      <c r="F9" s="37" t="s">
        <v>1</v>
      </c>
      <c r="G9" s="37" t="s">
        <v>1</v>
      </c>
      <c r="H9" s="37" t="s">
        <v>4</v>
      </c>
      <c r="I9" s="37" t="s">
        <v>5</v>
      </c>
      <c r="J9" s="37" t="s">
        <v>43</v>
      </c>
      <c r="K9" s="37" t="s">
        <v>8</v>
      </c>
      <c r="L9" s="37" t="s">
        <v>11</v>
      </c>
      <c r="M9" s="37" t="s">
        <v>12</v>
      </c>
      <c r="N9" s="59" t="s">
        <v>44</v>
      </c>
    </row>
    <row r="10" spans="1:14" ht="52.5" x14ac:dyDescent="0.35">
      <c r="A10" s="39"/>
      <c r="B10" s="39" t="s">
        <v>339</v>
      </c>
      <c r="C10" s="39" t="s">
        <v>45</v>
      </c>
      <c r="D10" s="39" t="s">
        <v>46</v>
      </c>
      <c r="E10" s="39" t="s">
        <v>324</v>
      </c>
      <c r="F10" s="39" t="s">
        <v>325</v>
      </c>
      <c r="G10" s="39" t="s">
        <v>326</v>
      </c>
      <c r="H10" s="39" t="s">
        <v>329</v>
      </c>
      <c r="I10" s="39" t="s">
        <v>46</v>
      </c>
      <c r="J10" s="39" t="s">
        <v>366</v>
      </c>
      <c r="K10" s="39" t="s">
        <v>46</v>
      </c>
      <c r="L10" s="39" t="s">
        <v>47</v>
      </c>
      <c r="M10" s="39" t="s">
        <v>26</v>
      </c>
      <c r="N10" s="39" t="s">
        <v>48</v>
      </c>
    </row>
    <row r="11" spans="1:14" x14ac:dyDescent="0.35">
      <c r="A11" s="7" t="s">
        <v>357</v>
      </c>
      <c r="B11" s="33">
        <f>(CIBC!$B$25)*100</f>
        <v>0.3</v>
      </c>
      <c r="C11" s="33">
        <f>(CIBC!$D$21)*100</f>
        <v>0.3</v>
      </c>
      <c r="D11" s="33">
        <f>(TD!$K$40)*100</f>
        <v>0.25</v>
      </c>
      <c r="E11" s="33">
        <f>(TD!$K$42)*100</f>
        <v>0.25</v>
      </c>
      <c r="F11" s="33">
        <f>(TD!$K$43)*100</f>
        <v>0.25</v>
      </c>
      <c r="G11" s="33">
        <f>(TD!$K$44)*100</f>
        <v>0.25</v>
      </c>
      <c r="H11" s="78">
        <f>BNS!$C$45*100</f>
        <v>0.4</v>
      </c>
      <c r="I11" s="33">
        <f>(RBC!$C$2)*100</f>
        <v>0.2</v>
      </c>
      <c r="J11" s="33">
        <f>(Altamira!$D$4)*100</f>
        <v>0.25</v>
      </c>
      <c r="K11" s="33">
        <f>Manulife!$B$16*100</f>
        <v>0.15</v>
      </c>
      <c r="L11" s="65">
        <f>(B2B!$D$2)*100</f>
        <v>0.2</v>
      </c>
      <c r="M11" s="79">
        <f>(BNS!$C$40)*100</f>
        <v>0.25</v>
      </c>
      <c r="N11" s="33">
        <f>(HomeTrust!$B$27)*100</f>
        <v>0.05</v>
      </c>
    </row>
    <row r="12" spans="1:14" s="30" customFormat="1" x14ac:dyDescent="0.35">
      <c r="A12" s="31" t="s">
        <v>315</v>
      </c>
      <c r="B12" s="33">
        <f>(CIBC!$B$25)*100</f>
        <v>0.3</v>
      </c>
      <c r="C12" s="33">
        <f>(CIBC!$D$21)*100</f>
        <v>0.3</v>
      </c>
      <c r="D12" s="33">
        <f>(TD!$K$40)*100</f>
        <v>0.25</v>
      </c>
      <c r="E12" s="33">
        <f>(TD!$K$42)*100</f>
        <v>0.25</v>
      </c>
      <c r="F12" s="33">
        <f>(TD!$K$43)*100</f>
        <v>0.25</v>
      </c>
      <c r="G12" s="33">
        <f>(TD!$K$44)*100</f>
        <v>0.25</v>
      </c>
      <c r="H12" s="78">
        <f>BNS!$C$45*100</f>
        <v>0.4</v>
      </c>
      <c r="I12" s="33">
        <f>(RBC!$C$2)*100</f>
        <v>0.2</v>
      </c>
      <c r="J12" s="33">
        <f>(Altamira!$D$4)*100</f>
        <v>0.25</v>
      </c>
      <c r="K12" s="33">
        <f>Manulife!$B$16*100</f>
        <v>0.15</v>
      </c>
      <c r="L12" s="65">
        <f>(B2B!$D$2)*100</f>
        <v>0.2</v>
      </c>
      <c r="M12" s="79">
        <f>(BNS!$C$40)*100</f>
        <v>0.25</v>
      </c>
      <c r="N12" s="33">
        <f>(HomeTrust!$B$27)*100</f>
        <v>0.05</v>
      </c>
    </row>
    <row r="13" spans="1:14" x14ac:dyDescent="0.35">
      <c r="A13" s="31" t="s">
        <v>316</v>
      </c>
      <c r="B13" s="33">
        <f>(CIBC!$B$25)*100</f>
        <v>0.3</v>
      </c>
      <c r="C13" s="33">
        <f>(CIBC!$D$21)*100</f>
        <v>0.3</v>
      </c>
      <c r="D13" s="33">
        <f>(TD!$K$40)*100</f>
        <v>0.25</v>
      </c>
      <c r="E13" s="33">
        <f>(TD!$K$42)*100</f>
        <v>0.25</v>
      </c>
      <c r="F13" s="33">
        <f>(TD!$K$43)*100</f>
        <v>0.25</v>
      </c>
      <c r="G13" s="33">
        <f>(TD!$K$44)*100</f>
        <v>0.25</v>
      </c>
      <c r="H13" s="78">
        <f>BNS!$C$44*100</f>
        <v>0.4</v>
      </c>
      <c r="I13" s="33">
        <f>(RBC!$C$2)*100</f>
        <v>0.2</v>
      </c>
      <c r="J13" s="33">
        <f>(Altamira!$D$4)*100</f>
        <v>0.25</v>
      </c>
      <c r="K13" s="33">
        <f>Manulife!$B$16*100</f>
        <v>0.15</v>
      </c>
      <c r="L13" s="65">
        <f>(B2B!$D$2)*100</f>
        <v>0.2</v>
      </c>
      <c r="M13" s="79">
        <f>(BNS!$C$40)*100</f>
        <v>0.25</v>
      </c>
      <c r="N13" s="33">
        <f>(HomeTrust!$B$27)*100</f>
        <v>0.05</v>
      </c>
    </row>
    <row r="14" spans="1:14" x14ac:dyDescent="0.35">
      <c r="A14" s="31" t="s">
        <v>317</v>
      </c>
      <c r="B14" s="33">
        <f>(CIBC!$B$25)*100</f>
        <v>0.3</v>
      </c>
      <c r="C14" s="33">
        <f>(CIBC!$D$21)*100</f>
        <v>0.3</v>
      </c>
      <c r="D14" s="33">
        <f>(TD!$K$40)*100</f>
        <v>0.25</v>
      </c>
      <c r="E14" s="33">
        <f>(TD!$K$42)*100</f>
        <v>0.25</v>
      </c>
      <c r="F14" s="33">
        <f>(TD!$K$43)*100</f>
        <v>0.25</v>
      </c>
      <c r="G14" s="33">
        <f>(TD!$K$44)*100</f>
        <v>0.25</v>
      </c>
      <c r="H14" s="78">
        <f>BNS!$C$44*100</f>
        <v>0.4</v>
      </c>
      <c r="I14" s="33">
        <f>(RBC!$C$2)*100</f>
        <v>0.2</v>
      </c>
      <c r="J14" s="33">
        <f>(Altamira!$D$4)*100</f>
        <v>0.25</v>
      </c>
      <c r="K14" s="33">
        <f>Manulife!$B$16*100</f>
        <v>0.15</v>
      </c>
      <c r="L14" s="65">
        <f>(B2B!$D$2)*100</f>
        <v>0.2</v>
      </c>
      <c r="M14" s="79">
        <f>(BNS!$C$40)*100</f>
        <v>0.25</v>
      </c>
      <c r="N14" s="33">
        <f>(HomeTrust!$B$27)*100</f>
        <v>0.05</v>
      </c>
    </row>
    <row r="15" spans="1:14" x14ac:dyDescent="0.35">
      <c r="A15" s="31" t="s">
        <v>318</v>
      </c>
      <c r="B15" s="33">
        <f>(CIBC!$B$25)*100</f>
        <v>0.3</v>
      </c>
      <c r="C15" s="33">
        <f>(CIBC!$D$21)*100</f>
        <v>0.3</v>
      </c>
      <c r="D15" s="33">
        <f>(TD!$K$40)*100</f>
        <v>0.25</v>
      </c>
      <c r="E15" s="33">
        <f>(TD!$K$42)*100</f>
        <v>0.25</v>
      </c>
      <c r="F15" s="33">
        <f>(TD!$K$43)*100</f>
        <v>0.25</v>
      </c>
      <c r="G15" s="33">
        <f>(TD!$K$44)*100</f>
        <v>0.25</v>
      </c>
      <c r="H15" s="78">
        <f>BNS!$C$44*100</f>
        <v>0.4</v>
      </c>
      <c r="I15" s="33">
        <f>(RBC!$C$2)*100</f>
        <v>0.2</v>
      </c>
      <c r="J15" s="33">
        <f>(Altamira!$D$4)*100</f>
        <v>0.25</v>
      </c>
      <c r="K15" s="33">
        <f>Manulife!$B$16*100</f>
        <v>0.15</v>
      </c>
      <c r="L15" s="65">
        <f>(B2B!$D$2)*100</f>
        <v>0.2</v>
      </c>
      <c r="M15" s="79">
        <f>(BNS!$C$40)*100</f>
        <v>0.25</v>
      </c>
      <c r="N15" s="33">
        <f>(HomeTrust!$B$27)*100</f>
        <v>0.05</v>
      </c>
    </row>
    <row r="16" spans="1:14" x14ac:dyDescent="0.35">
      <c r="A16" s="31" t="s">
        <v>35</v>
      </c>
      <c r="B16" s="33">
        <f>(CIBC!$B$25)*100</f>
        <v>0.3</v>
      </c>
      <c r="C16" s="33">
        <f>(CIBC!$D$21)*100</f>
        <v>0.3</v>
      </c>
      <c r="D16" s="33">
        <f>(TD!$K$40)*100</f>
        <v>0.25</v>
      </c>
      <c r="E16" s="33">
        <f>(TD!$K$42)*100</f>
        <v>0.25</v>
      </c>
      <c r="F16" s="33">
        <f>(TD!$K$43)*100</f>
        <v>0.25</v>
      </c>
      <c r="G16" s="33">
        <f>(TD!$K$44)*100</f>
        <v>0.25</v>
      </c>
      <c r="H16" s="78">
        <f>BNS!$C$44*100</f>
        <v>0.4</v>
      </c>
      <c r="I16" s="33">
        <f>(RBC!$C$2)*100</f>
        <v>0.2</v>
      </c>
      <c r="J16" s="33">
        <f>(Altamira!$D$4)*100</f>
        <v>0.25</v>
      </c>
      <c r="K16" s="33">
        <f>Manulife!$B$16*100</f>
        <v>0.15</v>
      </c>
      <c r="L16" s="65">
        <f>(B2B!$D$2)*100</f>
        <v>0.2</v>
      </c>
      <c r="M16" s="79">
        <f>(BNS!$C$40)*100</f>
        <v>0.25</v>
      </c>
      <c r="N16" s="33">
        <f>(HomeTrust!$B$27)*100</f>
        <v>0.05</v>
      </c>
    </row>
    <row r="17" spans="1:14" x14ac:dyDescent="0.35">
      <c r="A17" s="31" t="s">
        <v>36</v>
      </c>
      <c r="B17" s="33">
        <f>(CIBC!$B$25)*100</f>
        <v>0.3</v>
      </c>
      <c r="C17" s="33">
        <f>(CIBC!$D$21)*100</f>
        <v>0.3</v>
      </c>
      <c r="D17" s="33">
        <f>(TD!$K$40)*100</f>
        <v>0.25</v>
      </c>
      <c r="E17" s="33">
        <f>(TD!$K$42)*100</f>
        <v>0.25</v>
      </c>
      <c r="F17" s="33">
        <f>(TD!$K$43)*100</f>
        <v>0.25</v>
      </c>
      <c r="G17" s="33">
        <f>(TD!$K$44)*100</f>
        <v>0.25</v>
      </c>
      <c r="H17" s="78">
        <f>BNS!$C$44*100</f>
        <v>0.4</v>
      </c>
      <c r="I17" s="33">
        <f>(RBC!$C$2)*100</f>
        <v>0.2</v>
      </c>
      <c r="J17" s="33">
        <f>(Altamira!$D$4)*100</f>
        <v>0.25</v>
      </c>
      <c r="K17" s="33">
        <f>Manulife!$B$16*100</f>
        <v>0.15</v>
      </c>
      <c r="L17" s="65">
        <f>(B2B!$D$2)*100</f>
        <v>0.2</v>
      </c>
      <c r="M17" s="79">
        <f>(BNS!$C$40)*100</f>
        <v>0.25</v>
      </c>
      <c r="N17" s="33">
        <f>(HomeTrust!$B$27)*100</f>
        <v>0.05</v>
      </c>
    </row>
    <row r="18" spans="1:14" x14ac:dyDescent="0.35">
      <c r="A18" s="31" t="s">
        <v>37</v>
      </c>
      <c r="B18" s="33">
        <f>(CIBC!$B$25)*100</f>
        <v>0.3</v>
      </c>
      <c r="C18" s="33">
        <f>(CIBC!$D$21)*100</f>
        <v>0.3</v>
      </c>
      <c r="D18" s="33">
        <f>(TD!$K$40)*100</f>
        <v>0.25</v>
      </c>
      <c r="E18" s="33">
        <f>(TD!$K$42)*100</f>
        <v>0.25</v>
      </c>
      <c r="F18" s="33">
        <f>(TD!$K$43)*100</f>
        <v>0.25</v>
      </c>
      <c r="G18" s="33">
        <f>(TD!$K$44)*100</f>
        <v>0.25</v>
      </c>
      <c r="H18" s="78">
        <f>BNS!$C$44*100</f>
        <v>0.4</v>
      </c>
      <c r="I18" s="33">
        <f>(RBC!$C$2)*100</f>
        <v>0.2</v>
      </c>
      <c r="J18" s="33">
        <f>(Altamira!$D$4)*100</f>
        <v>0.25</v>
      </c>
      <c r="K18" s="33">
        <f>Manulife!$B$16*100</f>
        <v>0.15</v>
      </c>
      <c r="L18" s="65">
        <f>(B2B!$D$2)*100</f>
        <v>0.2</v>
      </c>
      <c r="M18" s="79">
        <f>(BNS!$C$40)*100</f>
        <v>0.25</v>
      </c>
      <c r="N18" s="33">
        <f>(HomeTrust!$B$27)*100</f>
        <v>0.05</v>
      </c>
    </row>
    <row r="19" spans="1:14" x14ac:dyDescent="0.35">
      <c r="A19" s="31" t="s">
        <v>38</v>
      </c>
      <c r="B19" s="33">
        <f>(CIBC!$B$25)*100</f>
        <v>0.3</v>
      </c>
      <c r="C19" s="33">
        <f>(CIBC!$D$21)*100</f>
        <v>0.3</v>
      </c>
      <c r="D19" s="33">
        <f>(TD!$K$40)*100</f>
        <v>0.25</v>
      </c>
      <c r="E19" s="33">
        <f>(TD!$K$42)*100</f>
        <v>0.25</v>
      </c>
      <c r="F19" s="33">
        <f>(TD!$K$43)*100</f>
        <v>0.25</v>
      </c>
      <c r="G19" s="33">
        <f>(TD!$K$44)*100</f>
        <v>0.25</v>
      </c>
      <c r="H19" s="78">
        <f>BNS!$C$44*100</f>
        <v>0.4</v>
      </c>
      <c r="I19" s="33">
        <f>(RBC!$C$2)*100</f>
        <v>0.2</v>
      </c>
      <c r="J19" s="33">
        <f>(Altamira!$D$4)*100</f>
        <v>0.25</v>
      </c>
      <c r="K19" s="33">
        <f>Manulife!$B$16*100</f>
        <v>0.15</v>
      </c>
      <c r="L19" s="65">
        <f>(B2B!$D$2)*100</f>
        <v>0.2</v>
      </c>
      <c r="M19" s="79">
        <f>(BNS!$C$40)*100</f>
        <v>0.25</v>
      </c>
      <c r="N19" s="33">
        <f>(HomeTrust!$B$27)*100</f>
        <v>0.05</v>
      </c>
    </row>
    <row r="20" spans="1:14" s="30" customFormat="1" x14ac:dyDescent="0.35">
      <c r="A20" s="31" t="s">
        <v>355</v>
      </c>
      <c r="B20" s="33">
        <f>(CIBC!$B$25)*100</f>
        <v>0.3</v>
      </c>
      <c r="C20" s="33">
        <f>(CIBC!$D$21)*100</f>
        <v>0.3</v>
      </c>
      <c r="D20" s="33">
        <f>(TD!$K$40)*100</f>
        <v>0.25</v>
      </c>
      <c r="E20" s="33">
        <f>(TD!$K$42)*100</f>
        <v>0.25</v>
      </c>
      <c r="F20" s="33">
        <f>(TD!$K$43)*100</f>
        <v>0.25</v>
      </c>
      <c r="G20" s="33">
        <f>(TD!$K$44)*100</f>
        <v>0.25</v>
      </c>
      <c r="H20" s="78">
        <f>BNS!$C$44*100</f>
        <v>0.4</v>
      </c>
      <c r="I20" s="33">
        <f>(RBC!$C$2)*100</f>
        <v>0.2</v>
      </c>
      <c r="J20" s="33">
        <f>(Altamira!$D$4)*100</f>
        <v>0.25</v>
      </c>
      <c r="K20" s="33">
        <f>Manulife!$B$16*100</f>
        <v>0.15</v>
      </c>
      <c r="L20" s="65">
        <f>(B2B!$D$2)*100</f>
        <v>0.2</v>
      </c>
      <c r="M20" s="79">
        <f>(BNS!$C$40)*100</f>
        <v>0.25</v>
      </c>
      <c r="N20" s="33">
        <f>(HomeTrust!$B$27)*100</f>
        <v>0.05</v>
      </c>
    </row>
    <row r="21" spans="1:14" x14ac:dyDescent="0.35">
      <c r="A21" s="31" t="s">
        <v>356</v>
      </c>
      <c r="B21" s="33">
        <f>(CIBC!$B$25)*100</f>
        <v>0.3</v>
      </c>
      <c r="C21" s="33">
        <f>(CIBC!$D$21)*100</f>
        <v>0.3</v>
      </c>
      <c r="D21" s="33">
        <f>(TD!$K$40)*100</f>
        <v>0.25</v>
      </c>
      <c r="E21" s="33">
        <f>(TD!$K$42)*100</f>
        <v>0.25</v>
      </c>
      <c r="F21" s="33">
        <f>(TD!$K$43)*100</f>
        <v>0.25</v>
      </c>
      <c r="G21" s="33">
        <f>(TD!$K$44)*100</f>
        <v>0.25</v>
      </c>
      <c r="H21" s="78">
        <f>BNS!$C$44*100</f>
        <v>0.4</v>
      </c>
      <c r="I21" s="33">
        <f>(RBC!$C$2)*100</f>
        <v>0.2</v>
      </c>
      <c r="J21" s="33">
        <f>(Altamira!$D$4)*100</f>
        <v>0.25</v>
      </c>
      <c r="K21" s="33">
        <f>Manulife!$B$16*100</f>
        <v>0.15</v>
      </c>
      <c r="L21" s="65">
        <f>(B2B!$D$2)*100</f>
        <v>0.2</v>
      </c>
      <c r="M21" s="79">
        <f>(BNS!$C$40)*100</f>
        <v>0.25</v>
      </c>
      <c r="N21" s="33">
        <f>(HomeTrust!$B$27)*100</f>
        <v>0.05</v>
      </c>
    </row>
    <row r="22" spans="1:14" x14ac:dyDescent="0.3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19"/>
    </row>
    <row r="23" spans="1:14" hidden="1" x14ac:dyDescent="0.35">
      <c r="A23" s="9" t="s">
        <v>29</v>
      </c>
      <c r="B23" s="10">
        <v>43294</v>
      </c>
      <c r="C23" s="10">
        <v>43294</v>
      </c>
      <c r="D23" s="10">
        <v>43298</v>
      </c>
      <c r="E23" s="29">
        <v>43458</v>
      </c>
      <c r="F23" s="29">
        <v>43458</v>
      </c>
      <c r="G23" s="29">
        <v>43458</v>
      </c>
      <c r="H23" s="29">
        <v>43123</v>
      </c>
      <c r="I23" s="29">
        <v>43293</v>
      </c>
      <c r="J23" s="29">
        <v>43294</v>
      </c>
      <c r="K23" s="29">
        <v>43300</v>
      </c>
      <c r="L23" s="29">
        <v>43130</v>
      </c>
      <c r="M23" s="29">
        <v>43410</v>
      </c>
    </row>
    <row r="24" spans="1:14" hidden="1" x14ac:dyDescent="0.35">
      <c r="A24" s="12" t="s">
        <v>30</v>
      </c>
      <c r="B24" s="10">
        <v>41911</v>
      </c>
      <c r="C24" s="13">
        <v>39944</v>
      </c>
      <c r="D24" s="11">
        <v>40849</v>
      </c>
      <c r="E24" s="29"/>
      <c r="F24" s="29"/>
      <c r="G24" s="29"/>
      <c r="H24" s="29">
        <v>38961</v>
      </c>
      <c r="I24" s="29"/>
      <c r="J24" s="63"/>
      <c r="K24" s="13"/>
      <c r="L24" s="10"/>
      <c r="M24" s="10"/>
    </row>
  </sheetData>
  <phoneticPr fontId="14" type="noConversion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865FF-D64F-4704-AFAE-ABAA1C73EF1B}">
  <sheetPr codeName="Sheet24"/>
  <dimension ref="A1:F25"/>
  <sheetViews>
    <sheetView workbookViewId="0">
      <selection activeCell="D5" sqref="D5"/>
    </sheetView>
  </sheetViews>
  <sheetFormatPr defaultRowHeight="14.5" x14ac:dyDescent="0.35"/>
  <cols>
    <col min="1" max="1" width="41" bestFit="1" customWidth="1"/>
    <col min="2" max="2" width="16.453125" style="30" bestFit="1" customWidth="1"/>
    <col min="3" max="3" width="27" style="30" bestFit="1" customWidth="1"/>
    <col min="4" max="4" width="12.08984375" style="30" bestFit="1" customWidth="1"/>
    <col min="5" max="5" width="18.26953125" bestFit="1" customWidth="1"/>
    <col min="6" max="6" width="12.54296875" bestFit="1" customWidth="1"/>
    <col min="8" max="8" width="12.54296875" bestFit="1" customWidth="1"/>
  </cols>
  <sheetData>
    <row r="1" spans="1:6" x14ac:dyDescent="0.35">
      <c r="C1" t="s">
        <v>135</v>
      </c>
      <c r="D1" t="s">
        <v>136</v>
      </c>
      <c r="F1" s="27" t="s">
        <v>236</v>
      </c>
    </row>
    <row r="2" spans="1:6" x14ac:dyDescent="0.35">
      <c r="A2" t="s">
        <v>137</v>
      </c>
      <c r="C2" s="15" t="s">
        <v>223</v>
      </c>
      <c r="D2" s="15">
        <v>5.0000000000000001E-4</v>
      </c>
      <c r="F2">
        <f>IF(OR(CIBC_Savings_Accounts[[#This Row],[Data.Daily Closing Balance]]="All Balances",MID(CIBC_Savings_Accounts[[#This Row],[Data.Daily Closing Balance]],9,5)="up to"),0,VALUE(TRIM(MID(CIBC_Savings_Accounts[[#This Row],[Data.Daily Closing Balance]],10,FIND(" ",CIBC_Savings_Accounts[[#This Row],[Data.Daily Closing Balance]],10)-10))))</f>
        <v>0</v>
      </c>
    </row>
    <row r="3" spans="1:6" x14ac:dyDescent="0.35">
      <c r="C3" s="15" t="s">
        <v>224</v>
      </c>
      <c r="D3" s="15">
        <v>5.0000000000000001E-4</v>
      </c>
      <c r="F3">
        <f>IF(OR(CIBC_Savings_Accounts[[#This Row],[Data.Daily Closing Balance]]="All Balances",MID(CIBC_Savings_Accounts[[#This Row],[Data.Daily Closing Balance]],9,5)="up to"),0,VALUE(TRIM(MID(CIBC!$C3,10,FIND(" ",CIBC!$C3,10)-10))))</f>
        <v>5000</v>
      </c>
    </row>
    <row r="4" spans="1:6" x14ac:dyDescent="0.35">
      <c r="A4" t="s">
        <v>138</v>
      </c>
      <c r="C4" s="15" t="s">
        <v>227</v>
      </c>
      <c r="D4" s="15">
        <v>1E-4</v>
      </c>
      <c r="F4">
        <f>IF(OR(CIBC_Savings_Accounts[[#This Row],[Data.Daily Closing Balance]]="All Balances",MID(CIBC_Savings_Accounts[[#This Row],[Data.Daily Closing Balance]],9,5)="up to"),0,VALUE(TRIM(MID(CIBC!$C4,10,FIND(" ",CIBC!$C4,10)-10))))</f>
        <v>0</v>
      </c>
    </row>
    <row r="5" spans="1:6" x14ac:dyDescent="0.35">
      <c r="C5" s="15" t="s">
        <v>225</v>
      </c>
      <c r="D5" s="15">
        <v>2.0000000000000001E-4</v>
      </c>
      <c r="F5">
        <f>IF(OR(CIBC_Savings_Accounts[[#This Row],[Data.Daily Closing Balance]]="All Balances",MID(CIBC_Savings_Accounts[[#This Row],[Data.Daily Closing Balance]],9,5)="up to"),0,VALUE(TRIM(MID(CIBC!$C5,10,FIND(" ",CIBC!$C5,10)-10))))</f>
        <v>3000</v>
      </c>
    </row>
    <row r="6" spans="1:6" x14ac:dyDescent="0.35">
      <c r="A6" t="s">
        <v>139</v>
      </c>
      <c r="C6" s="15" t="s">
        <v>123</v>
      </c>
      <c r="D6" s="15">
        <v>1E-4</v>
      </c>
      <c r="F6">
        <f>IF(OR(CIBC_Savings_Accounts[[#This Row],[Data.Daily Closing Balance]]="All Balances",MID(CIBC_Savings_Accounts[[#This Row],[Data.Daily Closing Balance]],9,5)="up to"),0,VALUE(TRIM(MID(CIBC!$C6,10,FIND(" ",CIBC!$C6,10)-10))))</f>
        <v>0</v>
      </c>
    </row>
    <row r="7" spans="1:6" x14ac:dyDescent="0.35">
      <c r="A7" t="s">
        <v>140</v>
      </c>
      <c r="C7" s="15" t="s">
        <v>123</v>
      </c>
      <c r="D7" s="15">
        <v>5.0000000000000001E-4</v>
      </c>
      <c r="F7">
        <f>IF(OR(CIBC_Savings_Accounts[[#This Row],[Data.Daily Closing Balance]]="All Balances",MID(CIBC_Savings_Accounts[[#This Row],[Data.Daily Closing Balance]],9,5)="up to"),0,VALUE(TRIM(MID(CIBC!$C7,10,FIND(" ",CIBC!$C7,10)-10))))</f>
        <v>0</v>
      </c>
    </row>
    <row r="8" spans="1:6" x14ac:dyDescent="0.35">
      <c r="A8" t="s">
        <v>33</v>
      </c>
      <c r="C8" s="15" t="s">
        <v>227</v>
      </c>
      <c r="D8" s="15">
        <v>5.0000000000000001E-4</v>
      </c>
      <c r="F8">
        <f>IF(OR(CIBC_Savings_Accounts[[#This Row],[Data.Daily Closing Balance]]="All Balances",MID(CIBC_Savings_Accounts[[#This Row],[Data.Daily Closing Balance]],9,5)="up to"),0,VALUE(TRIM(MID(CIBC!$C8,10,FIND(" ",CIBC!$C8,10)-10))))</f>
        <v>0</v>
      </c>
    </row>
    <row r="9" spans="1:6" x14ac:dyDescent="0.35">
      <c r="C9" s="15" t="s">
        <v>228</v>
      </c>
      <c r="D9" s="15">
        <v>5.0000000000000001E-4</v>
      </c>
      <c r="F9">
        <f>IF(OR(CIBC_Savings_Accounts[[#This Row],[Data.Daily Closing Balance]]="All Balances",MID(CIBC_Savings_Accounts[[#This Row],[Data.Daily Closing Balance]],9,5)="up to"),0,VALUE(TRIM(MID(CIBC!$C9,10,FIND(" ",CIBC!$C9,10)-10))))</f>
        <v>3000</v>
      </c>
    </row>
    <row r="10" spans="1:6" x14ac:dyDescent="0.35">
      <c r="C10" s="15" t="s">
        <v>229</v>
      </c>
      <c r="D10" s="15">
        <v>5.0000000000000001E-4</v>
      </c>
      <c r="F10">
        <f>IF(OR(CIBC_Savings_Accounts[[#This Row],[Data.Daily Closing Balance]]="All Balances",MID(CIBC_Savings_Accounts[[#This Row],[Data.Daily Closing Balance]],9,5)="up to"),0,VALUE(TRIM(MID(CIBC!$C10,10,FIND(" ",CIBC!$C10,10)-10))))</f>
        <v>10000</v>
      </c>
    </row>
    <row r="11" spans="1:6" x14ac:dyDescent="0.35">
      <c r="C11" s="15" t="s">
        <v>230</v>
      </c>
      <c r="D11" s="15">
        <v>5.0000000000000001E-4</v>
      </c>
      <c r="F11">
        <f>IF(OR(CIBC_Savings_Accounts[[#This Row],[Data.Daily Closing Balance]]="All Balances",MID(CIBC_Savings_Accounts[[#This Row],[Data.Daily Closing Balance]],9,5)="up to"),0,VALUE(TRIM(MID(CIBC!$C11,10,FIND(" ",CIBC!$C11,10)-10))))</f>
        <v>25000</v>
      </c>
    </row>
    <row r="12" spans="1:6" x14ac:dyDescent="0.35">
      <c r="C12" s="15" t="s">
        <v>226</v>
      </c>
      <c r="D12" s="15">
        <v>5.0000000000000001E-4</v>
      </c>
      <c r="F12">
        <f>IF(OR(CIBC_Savings_Accounts[[#This Row],[Data.Daily Closing Balance]]="All Balances",MID(CIBC_Savings_Accounts[[#This Row],[Data.Daily Closing Balance]],9,5)="up to"),0,VALUE(TRIM(MID(CIBC!$C12,10,FIND(" ",CIBC!$C12,10)-10))))</f>
        <v>60000</v>
      </c>
    </row>
    <row r="13" spans="1:6" x14ac:dyDescent="0.35">
      <c r="C13" s="15"/>
      <c r="D13" s="15"/>
    </row>
    <row r="20" spans="1:6" x14ac:dyDescent="0.35">
      <c r="A20" s="30" t="s">
        <v>319</v>
      </c>
      <c r="C20" t="s">
        <v>330</v>
      </c>
      <c r="D20" t="s">
        <v>331</v>
      </c>
    </row>
    <row r="21" spans="1:6" x14ac:dyDescent="0.35">
      <c r="C21" s="15" t="s">
        <v>382</v>
      </c>
      <c r="D21" s="30">
        <v>3.0000000000000001E-3</v>
      </c>
      <c r="F21">
        <v>0</v>
      </c>
    </row>
    <row r="22" spans="1:6" x14ac:dyDescent="0.35">
      <c r="C22" s="15" t="s">
        <v>383</v>
      </c>
      <c r="D22" s="30">
        <v>3.0000000000000001E-3</v>
      </c>
      <c r="F22">
        <v>0</v>
      </c>
    </row>
    <row r="24" spans="1:6" x14ac:dyDescent="0.35">
      <c r="A24" t="s">
        <v>339</v>
      </c>
      <c r="B24" t="s">
        <v>473</v>
      </c>
      <c r="C24"/>
      <c r="D24"/>
    </row>
    <row r="25" spans="1:6" x14ac:dyDescent="0.35">
      <c r="B25">
        <v>3.0000000000000001E-3</v>
      </c>
      <c r="C25"/>
      <c r="D25">
        <v>0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FDDCC-9F3B-4B17-A26F-88F6BA179EFE}">
  <sheetPr codeName="Sheet18"/>
  <dimension ref="A1:E15"/>
  <sheetViews>
    <sheetView workbookViewId="0">
      <selection activeCell="C2" sqref="C2"/>
    </sheetView>
  </sheetViews>
  <sheetFormatPr defaultRowHeight="14.5" x14ac:dyDescent="0.35"/>
  <cols>
    <col min="1" max="1" width="39.1796875" bestFit="1" customWidth="1"/>
    <col min="2" max="2" width="73.08984375" bestFit="1" customWidth="1"/>
    <col min="3" max="3" width="15.6328125" style="30" bestFit="1" customWidth="1"/>
    <col min="4" max="4" width="14" bestFit="1" customWidth="1"/>
    <col min="5" max="5" width="10.54296875" customWidth="1"/>
    <col min="6" max="6" width="14.7265625" bestFit="1" customWidth="1"/>
    <col min="7" max="7" width="18.7265625" bestFit="1" customWidth="1"/>
    <col min="8" max="8" width="15.7265625" bestFit="1" customWidth="1"/>
  </cols>
  <sheetData>
    <row r="1" spans="1:5" x14ac:dyDescent="0.35">
      <c r="B1" t="s">
        <v>220</v>
      </c>
      <c r="C1" t="s">
        <v>496</v>
      </c>
      <c r="E1" s="27" t="s">
        <v>236</v>
      </c>
    </row>
    <row r="2" spans="1:5" x14ac:dyDescent="0.35">
      <c r="A2" t="s">
        <v>241</v>
      </c>
      <c r="B2" s="15" t="s">
        <v>221</v>
      </c>
      <c r="C2">
        <v>5.0000000000000001E-4</v>
      </c>
      <c r="E2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3" spans="1:5" x14ac:dyDescent="0.35">
      <c r="B3" s="15" t="s">
        <v>417</v>
      </c>
      <c r="C3">
        <v>5.0000000000000001E-3</v>
      </c>
      <c r="E3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4" spans="1:5" x14ac:dyDescent="0.35">
      <c r="B4" s="15" t="s">
        <v>222</v>
      </c>
      <c r="C4">
        <v>5.0000000000000001E-4</v>
      </c>
      <c r="E4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250000.01</v>
      </c>
    </row>
    <row r="5" spans="1:5" x14ac:dyDescent="0.35">
      <c r="A5" s="28" t="s">
        <v>238</v>
      </c>
      <c r="B5" s="15" t="s">
        <v>418</v>
      </c>
      <c r="C5">
        <v>5.0000000000000001E-4</v>
      </c>
      <c r="E5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6" spans="1:5" x14ac:dyDescent="0.35">
      <c r="B6" s="15" t="s">
        <v>419</v>
      </c>
      <c r="C6">
        <v>5.0000000000000001E-4</v>
      </c>
      <c r="E6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5000</v>
      </c>
    </row>
    <row r="7" spans="1:5" x14ac:dyDescent="0.35">
      <c r="A7" s="28" t="s">
        <v>239</v>
      </c>
      <c r="B7" s="15" t="s">
        <v>420</v>
      </c>
      <c r="C7">
        <v>1E-4</v>
      </c>
      <c r="E7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8" spans="1:5" x14ac:dyDescent="0.35">
      <c r="B8" s="15" t="s">
        <v>421</v>
      </c>
      <c r="C8">
        <v>1E-4</v>
      </c>
      <c r="E8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9" spans="1:5" x14ac:dyDescent="0.35">
      <c r="A9" s="28" t="s">
        <v>242</v>
      </c>
      <c r="B9" s="15" t="s">
        <v>420</v>
      </c>
      <c r="C9">
        <v>5.0000000000000001E-4</v>
      </c>
      <c r="E9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10" spans="1:5" x14ac:dyDescent="0.35">
      <c r="B10" s="15" t="s">
        <v>421</v>
      </c>
      <c r="C10">
        <v>5.0000000000000001E-4</v>
      </c>
      <c r="E10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11" spans="1:5" x14ac:dyDescent="0.35">
      <c r="A11" s="28" t="s">
        <v>240</v>
      </c>
      <c r="B11" s="15" t="s">
        <v>422</v>
      </c>
      <c r="C11">
        <v>1E-4</v>
      </c>
      <c r="E11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12" spans="1:5" x14ac:dyDescent="0.35">
      <c r="B12" s="15" t="s">
        <v>423</v>
      </c>
      <c r="C12">
        <v>1E-4</v>
      </c>
      <c r="E12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5000</v>
      </c>
    </row>
    <row r="13" spans="1:5" x14ac:dyDescent="0.35">
      <c r="B13" s="15" t="s">
        <v>424</v>
      </c>
      <c r="C13">
        <v>1E-4</v>
      </c>
      <c r="E13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25000</v>
      </c>
    </row>
    <row r="14" spans="1:5" x14ac:dyDescent="0.35">
      <c r="B14" s="15" t="s">
        <v>425</v>
      </c>
      <c r="C14">
        <v>1E-4</v>
      </c>
      <c r="E14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15" spans="1:5" x14ac:dyDescent="0.35">
      <c r="B15" s="15"/>
      <c r="C15" s="1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A413E-D786-4F77-A591-15816D87DF8A}">
  <sheetPr codeName="Sheet8"/>
  <dimension ref="A1:G45"/>
  <sheetViews>
    <sheetView topLeftCell="A22" workbookViewId="0">
      <selection activeCell="D36" sqref="D36"/>
    </sheetView>
  </sheetViews>
  <sheetFormatPr defaultRowHeight="14.5" x14ac:dyDescent="0.35"/>
  <cols>
    <col min="1" max="1" width="62.453125" bestFit="1" customWidth="1"/>
    <col min="2" max="2" width="31" bestFit="1" customWidth="1"/>
    <col min="3" max="3" width="8.08984375" bestFit="1" customWidth="1"/>
    <col min="4" max="4" width="7.81640625" bestFit="1" customWidth="1"/>
    <col min="5" max="5" width="22.26953125" bestFit="1" customWidth="1"/>
    <col min="7" max="7" width="12.54296875" bestFit="1" customWidth="1"/>
  </cols>
  <sheetData>
    <row r="1" spans="1:7" x14ac:dyDescent="0.35">
      <c r="B1" t="s">
        <v>141</v>
      </c>
      <c r="C1" t="s">
        <v>279</v>
      </c>
      <c r="D1" t="s">
        <v>280</v>
      </c>
      <c r="E1" t="s">
        <v>278</v>
      </c>
      <c r="G1" s="27" t="s">
        <v>236</v>
      </c>
    </row>
    <row r="2" spans="1:7" x14ac:dyDescent="0.35">
      <c r="A2" t="s">
        <v>347</v>
      </c>
      <c r="B2" s="15" t="s">
        <v>497</v>
      </c>
      <c r="C2" s="15" t="s">
        <v>498</v>
      </c>
      <c r="D2" s="15" t="s">
        <v>499</v>
      </c>
      <c r="E2" s="15" t="s">
        <v>499</v>
      </c>
      <c r="G2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3" spans="1:7" x14ac:dyDescent="0.35">
      <c r="B3" s="15" t="s">
        <v>500</v>
      </c>
      <c r="C3" s="15" t="s">
        <v>498</v>
      </c>
      <c r="D3" s="15" t="s">
        <v>499</v>
      </c>
      <c r="E3" s="15" t="s">
        <v>499</v>
      </c>
      <c r="G3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4" spans="1:7" x14ac:dyDescent="0.35">
      <c r="A4" t="s">
        <v>346</v>
      </c>
      <c r="B4" s="15" t="s">
        <v>497</v>
      </c>
      <c r="C4" s="15" t="s">
        <v>498</v>
      </c>
      <c r="D4" s="15" t="s">
        <v>499</v>
      </c>
      <c r="E4" s="15" t="s">
        <v>499</v>
      </c>
      <c r="G4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5" spans="1:7" x14ac:dyDescent="0.35">
      <c r="B5" s="15" t="s">
        <v>500</v>
      </c>
      <c r="C5" s="15" t="s">
        <v>498</v>
      </c>
      <c r="D5" s="15" t="s">
        <v>499</v>
      </c>
      <c r="E5" s="15" t="s">
        <v>499</v>
      </c>
      <c r="G5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6" spans="1:7" x14ac:dyDescent="0.35">
      <c r="A6" t="s">
        <v>345</v>
      </c>
      <c r="B6" s="15" t="s">
        <v>501</v>
      </c>
      <c r="C6" s="15" t="s">
        <v>502</v>
      </c>
      <c r="D6" s="15" t="s">
        <v>499</v>
      </c>
      <c r="E6" s="15" t="s">
        <v>499</v>
      </c>
      <c r="G6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7" spans="1:7" x14ac:dyDescent="0.35">
      <c r="B7" s="15" t="s">
        <v>503</v>
      </c>
      <c r="C7" s="15" t="s">
        <v>498</v>
      </c>
      <c r="D7" s="15" t="s">
        <v>499</v>
      </c>
      <c r="E7" s="15" t="s">
        <v>499</v>
      </c>
      <c r="G7" s="30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8" spans="1:7" x14ac:dyDescent="0.35">
      <c r="A8" t="s">
        <v>344</v>
      </c>
      <c r="B8" s="15" t="s">
        <v>504</v>
      </c>
      <c r="C8" s="15" t="s">
        <v>502</v>
      </c>
      <c r="D8" s="15" t="s">
        <v>499</v>
      </c>
      <c r="E8" s="15" t="s">
        <v>499</v>
      </c>
      <c r="G8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9" spans="1:7" x14ac:dyDescent="0.35">
      <c r="B9" s="15" t="s">
        <v>500</v>
      </c>
      <c r="C9" s="15" t="s">
        <v>498</v>
      </c>
      <c r="D9" s="15" t="s">
        <v>499</v>
      </c>
      <c r="E9" s="15" t="s">
        <v>499</v>
      </c>
      <c r="G9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0" spans="1:7" x14ac:dyDescent="0.35">
      <c r="A10" t="s">
        <v>343</v>
      </c>
      <c r="B10" s="15" t="s">
        <v>504</v>
      </c>
      <c r="C10" s="15" t="s">
        <v>498</v>
      </c>
      <c r="D10" s="15" t="s">
        <v>499</v>
      </c>
      <c r="E10" s="15" t="s">
        <v>499</v>
      </c>
      <c r="G10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1" spans="1:7" x14ac:dyDescent="0.35">
      <c r="B11" s="15" t="s">
        <v>500</v>
      </c>
      <c r="C11" s="15" t="s">
        <v>498</v>
      </c>
      <c r="D11" s="15" t="s">
        <v>499</v>
      </c>
      <c r="E11" s="15" t="s">
        <v>499</v>
      </c>
      <c r="G11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2" spans="1:7" x14ac:dyDescent="0.35">
      <c r="A12" s="30" t="s">
        <v>342</v>
      </c>
      <c r="B12" s="15" t="s">
        <v>505</v>
      </c>
      <c r="C12" s="15" t="s">
        <v>502</v>
      </c>
      <c r="D12" s="15" t="s">
        <v>499</v>
      </c>
      <c r="E12" s="15" t="s">
        <v>499</v>
      </c>
      <c r="G12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3" spans="1:7" x14ac:dyDescent="0.35">
      <c r="B13" s="15" t="s">
        <v>506</v>
      </c>
      <c r="C13" s="15" t="s">
        <v>507</v>
      </c>
      <c r="D13" s="15" t="s">
        <v>499</v>
      </c>
      <c r="E13" s="15" t="s">
        <v>499</v>
      </c>
      <c r="G13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4" spans="1:7" x14ac:dyDescent="0.35">
      <c r="B14" s="15" t="s">
        <v>508</v>
      </c>
      <c r="C14" s="15" t="s">
        <v>509</v>
      </c>
      <c r="D14" s="15" t="s">
        <v>499</v>
      </c>
      <c r="E14" s="15" t="s">
        <v>499</v>
      </c>
      <c r="G14" s="30">
        <f>IF(MID(BNS_Savings_Accounts[[#This Row],[Account Balance]],1,5)="Under",0,VALUE(TRIM(MID(BNS_Savings_Accounts[[#This Row],[Account Balance]],2,FIND(" ",BNS_Savings_Accounts[[#This Row],[Account Balance]],2)-2))))</f>
        <v>10000</v>
      </c>
    </row>
    <row r="15" spans="1:7" x14ac:dyDescent="0.35">
      <c r="B15" s="15" t="s">
        <v>510</v>
      </c>
      <c r="C15" s="15" t="s">
        <v>511</v>
      </c>
      <c r="D15" s="15" t="s">
        <v>499</v>
      </c>
      <c r="E15" s="15" t="s">
        <v>499</v>
      </c>
      <c r="G15" s="30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16" spans="1:7" x14ac:dyDescent="0.35">
      <c r="B16" s="15" t="s">
        <v>512</v>
      </c>
      <c r="C16" s="15" t="s">
        <v>513</v>
      </c>
      <c r="D16" s="15" t="s">
        <v>499</v>
      </c>
      <c r="E16" s="15" t="s">
        <v>499</v>
      </c>
      <c r="G16" s="30">
        <f>IF(MID(BNS_Savings_Accounts[[#This Row],[Account Balance]],1,5)="Under",0,VALUE(TRIM(MID(BNS_Savings_Accounts[[#This Row],[Account Balance]],2,FIND(" ",BNS_Savings_Accounts[[#This Row],[Account Balance]],2)-2))))</f>
        <v>60000</v>
      </c>
    </row>
    <row r="17" spans="1:7" x14ac:dyDescent="0.35">
      <c r="A17" s="30" t="s">
        <v>174</v>
      </c>
      <c r="B17" s="15" t="s">
        <v>514</v>
      </c>
      <c r="C17" s="15" t="s">
        <v>502</v>
      </c>
      <c r="D17" s="15" t="s">
        <v>499</v>
      </c>
      <c r="E17" s="15" t="s">
        <v>499</v>
      </c>
      <c r="G17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8" spans="1:7" x14ac:dyDescent="0.35">
      <c r="B18" s="15" t="s">
        <v>515</v>
      </c>
      <c r="C18" s="15" t="s">
        <v>507</v>
      </c>
      <c r="D18" s="15" t="s">
        <v>499</v>
      </c>
      <c r="E18" s="15" t="s">
        <v>499</v>
      </c>
      <c r="G18" s="30">
        <f>IF(MID(BNS_Savings_Accounts[[#This Row],[Account Balance]],1,5)="Under",0,VALUE(TRIM(MID(BNS_Savings_Accounts[[#This Row],[Account Balance]],2,FIND(" ",BNS_Savings_Accounts[[#This Row],[Account Balance]],2)-2))))</f>
        <v>1000</v>
      </c>
    </row>
    <row r="19" spans="1:7" x14ac:dyDescent="0.35">
      <c r="B19" s="15" t="s">
        <v>36</v>
      </c>
      <c r="C19" s="15" t="s">
        <v>509</v>
      </c>
      <c r="D19" s="15" t="s">
        <v>499</v>
      </c>
      <c r="E19" s="15" t="s">
        <v>499</v>
      </c>
      <c r="G19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20" spans="1:7" x14ac:dyDescent="0.35">
      <c r="B20" s="15" t="s">
        <v>35</v>
      </c>
      <c r="C20" s="15" t="s">
        <v>511</v>
      </c>
      <c r="D20" s="15" t="s">
        <v>499</v>
      </c>
      <c r="E20" s="15" t="s">
        <v>499</v>
      </c>
      <c r="G20" s="30">
        <f>IF(MID(BNS_Savings_Accounts[[#This Row],[Account Balance]],1,5)="Under",0,VALUE(TRIM(MID(BNS_Savings_Accounts[[#This Row],[Account Balance]],2,FIND(" ",BNS_Savings_Accounts[[#This Row],[Account Balance]],2)-2))))</f>
        <v>10000</v>
      </c>
    </row>
    <row r="21" spans="1:7" x14ac:dyDescent="0.35">
      <c r="B21" s="15" t="s">
        <v>516</v>
      </c>
      <c r="C21" s="15" t="s">
        <v>513</v>
      </c>
      <c r="D21" s="15" t="s">
        <v>499</v>
      </c>
      <c r="E21" s="15" t="s">
        <v>499</v>
      </c>
      <c r="G21" s="30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22" spans="1:7" x14ac:dyDescent="0.35">
      <c r="B22" s="15" t="s">
        <v>517</v>
      </c>
      <c r="C22" s="15" t="s">
        <v>518</v>
      </c>
      <c r="D22" s="15" t="s">
        <v>499</v>
      </c>
      <c r="E22" s="15" t="s">
        <v>499</v>
      </c>
      <c r="G22" s="30">
        <f>IF(MID(BNS_Savings_Accounts[[#This Row],[Account Balance]],1,5)="Under",0,VALUE(TRIM(MID(BNS_Savings_Accounts[[#This Row],[Account Balance]],2,FIND(" ",BNS_Savings_Accounts[[#This Row],[Account Balance]],2)-2))))</f>
        <v>60000</v>
      </c>
    </row>
    <row r="23" spans="1:7" x14ac:dyDescent="0.35">
      <c r="A23" s="30" t="s">
        <v>287</v>
      </c>
      <c r="B23" s="15" t="s">
        <v>519</v>
      </c>
      <c r="C23" s="15" t="s">
        <v>513</v>
      </c>
      <c r="D23" s="15" t="s">
        <v>499</v>
      </c>
      <c r="E23" s="15" t="s">
        <v>499</v>
      </c>
      <c r="G23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4" spans="1:7" x14ac:dyDescent="0.35">
      <c r="B24" s="15" t="s">
        <v>520</v>
      </c>
      <c r="C24" s="15" t="s">
        <v>521</v>
      </c>
      <c r="D24" s="15" t="s">
        <v>499</v>
      </c>
      <c r="E24" s="15" t="s">
        <v>499</v>
      </c>
      <c r="G24" s="30">
        <f>IF(MID(BNS_Savings_Accounts[[#This Row],[Account Balance]],1,5)="Under",0,VALUE(TRIM(MID(BNS_Savings_Accounts[[#This Row],[Account Balance]],2,FIND(" ",BNS_Savings_Accounts[[#This Row],[Account Balance]],2)-2))))</f>
        <v>250000</v>
      </c>
    </row>
    <row r="25" spans="1:7" x14ac:dyDescent="0.35">
      <c r="A25" s="30" t="s">
        <v>128</v>
      </c>
      <c r="B25" s="15" t="s">
        <v>497</v>
      </c>
      <c r="C25" s="15" t="s">
        <v>511</v>
      </c>
      <c r="D25" s="15" t="s">
        <v>499</v>
      </c>
      <c r="E25" s="15" t="s">
        <v>499</v>
      </c>
      <c r="G25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6" spans="1:7" x14ac:dyDescent="0.35">
      <c r="B26" s="15" t="s">
        <v>522</v>
      </c>
      <c r="C26" s="15" t="s">
        <v>513</v>
      </c>
      <c r="D26" s="15" t="s">
        <v>499</v>
      </c>
      <c r="E26" s="15" t="s">
        <v>499</v>
      </c>
      <c r="G26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27" spans="1:7" x14ac:dyDescent="0.35">
      <c r="B27" s="15" t="s">
        <v>520</v>
      </c>
      <c r="C27" s="15" t="s">
        <v>521</v>
      </c>
      <c r="D27" s="15" t="s">
        <v>499</v>
      </c>
      <c r="E27" s="15" t="s">
        <v>499</v>
      </c>
      <c r="G27" s="30">
        <f>IF(MID(BNS_Savings_Accounts[[#This Row],[Account Balance]],1,5)="Under",0,VALUE(TRIM(MID(BNS_Savings_Accounts[[#This Row],[Account Balance]],2,FIND(" ",BNS_Savings_Accounts[[#This Row],[Account Balance]],2)-2))))</f>
        <v>250000</v>
      </c>
    </row>
    <row r="28" spans="1:7" x14ac:dyDescent="0.35">
      <c r="A28" s="30" t="s">
        <v>127</v>
      </c>
      <c r="B28" s="15" t="s">
        <v>504</v>
      </c>
      <c r="C28" s="15" t="s">
        <v>511</v>
      </c>
      <c r="D28" s="15" t="s">
        <v>499</v>
      </c>
      <c r="E28" s="15" t="s">
        <v>499</v>
      </c>
      <c r="G28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9" spans="1:7" x14ac:dyDescent="0.35">
      <c r="B29" s="15" t="s">
        <v>500</v>
      </c>
      <c r="C29" s="15" t="s">
        <v>511</v>
      </c>
      <c r="D29" s="15" t="s">
        <v>499</v>
      </c>
      <c r="E29" s="15" t="s">
        <v>499</v>
      </c>
      <c r="G29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30" spans="1:7" x14ac:dyDescent="0.35">
      <c r="A30" s="30" t="s">
        <v>286</v>
      </c>
      <c r="B30" s="15" t="s">
        <v>497</v>
      </c>
      <c r="C30" s="15" t="s">
        <v>511</v>
      </c>
      <c r="D30" s="15" t="s">
        <v>511</v>
      </c>
      <c r="E30" s="15" t="s">
        <v>523</v>
      </c>
      <c r="G30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31" spans="1:7" x14ac:dyDescent="0.35">
      <c r="B31" s="15" t="s">
        <v>500</v>
      </c>
      <c r="C31" s="15" t="s">
        <v>524</v>
      </c>
      <c r="D31" s="15" t="s">
        <v>511</v>
      </c>
      <c r="E31" s="15" t="s">
        <v>525</v>
      </c>
      <c r="G31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32" spans="1:7" x14ac:dyDescent="0.35">
      <c r="A32" s="30" t="s">
        <v>126</v>
      </c>
      <c r="B32" s="15" t="s">
        <v>526</v>
      </c>
      <c r="C32" s="15" t="s">
        <v>527</v>
      </c>
      <c r="D32" s="15" t="s">
        <v>511</v>
      </c>
      <c r="E32" s="15" t="s">
        <v>528</v>
      </c>
      <c r="G32" s="30"/>
    </row>
    <row r="33" spans="1:7" x14ac:dyDescent="0.35">
      <c r="B33" s="15" t="s">
        <v>529</v>
      </c>
      <c r="C33" s="15" t="s">
        <v>530</v>
      </c>
      <c r="D33" s="15" t="s">
        <v>511</v>
      </c>
      <c r="E33" s="15" t="s">
        <v>531</v>
      </c>
      <c r="G33" s="30"/>
    </row>
    <row r="34" spans="1:7" x14ac:dyDescent="0.35">
      <c r="B34" s="15" t="s">
        <v>532</v>
      </c>
      <c r="C34" s="15" t="s">
        <v>533</v>
      </c>
      <c r="D34" s="15" t="s">
        <v>511</v>
      </c>
      <c r="E34" s="15" t="s">
        <v>534</v>
      </c>
      <c r="G34" s="30"/>
    </row>
    <row r="35" spans="1:7" x14ac:dyDescent="0.35">
      <c r="B35" s="15" t="s">
        <v>535</v>
      </c>
      <c r="C35" s="15" t="s">
        <v>536</v>
      </c>
      <c r="D35" s="15" t="s">
        <v>511</v>
      </c>
      <c r="E35" s="15" t="s">
        <v>537</v>
      </c>
      <c r="G35" s="30"/>
    </row>
    <row r="36" spans="1:7" x14ac:dyDescent="0.35">
      <c r="B36" s="15" t="s">
        <v>538</v>
      </c>
      <c r="C36" s="15" t="s">
        <v>511</v>
      </c>
      <c r="D36" s="15" t="s">
        <v>511</v>
      </c>
      <c r="E36" s="15" t="s">
        <v>523</v>
      </c>
      <c r="G36" s="30"/>
    </row>
    <row r="39" spans="1:7" x14ac:dyDescent="0.35">
      <c r="A39" t="s">
        <v>125</v>
      </c>
      <c r="B39" t="s">
        <v>124</v>
      </c>
      <c r="C39" t="s">
        <v>284</v>
      </c>
      <c r="D39" t="s">
        <v>285</v>
      </c>
    </row>
    <row r="40" spans="1:7" x14ac:dyDescent="0.35">
      <c r="B40" s="15" t="s">
        <v>125</v>
      </c>
      <c r="C40">
        <v>2.5000000000000001E-3</v>
      </c>
      <c r="D40">
        <v>2.5000000000000001E-3</v>
      </c>
    </row>
    <row r="41" spans="1:7" x14ac:dyDescent="0.35">
      <c r="B41" s="15" t="s">
        <v>71</v>
      </c>
      <c r="C41">
        <v>2.4500000000000001E-2</v>
      </c>
      <c r="D41">
        <v>3.2500000000000001E-2</v>
      </c>
    </row>
    <row r="43" spans="1:7" x14ac:dyDescent="0.35">
      <c r="A43" s="30" t="s">
        <v>321</v>
      </c>
      <c r="B43" s="48" t="s">
        <v>124</v>
      </c>
      <c r="C43" s="50" t="s">
        <v>284</v>
      </c>
      <c r="D43" s="49" t="s">
        <v>285</v>
      </c>
    </row>
    <row r="44" spans="1:7" x14ac:dyDescent="0.35">
      <c r="B44" s="53" t="s">
        <v>322</v>
      </c>
      <c r="C44" s="55">
        <v>4.0000000000000001E-3</v>
      </c>
      <c r="D44" s="56">
        <v>4.0000000000000001E-3</v>
      </c>
    </row>
    <row r="45" spans="1:7" x14ac:dyDescent="0.35">
      <c r="B45" s="54" t="s">
        <v>323</v>
      </c>
      <c r="C45" s="57">
        <v>4.0000000000000001E-3</v>
      </c>
      <c r="D45" s="58">
        <v>4.0000000000000001E-3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A24EF-BF9F-4211-B31A-37519D5F4FCB}">
  <sheetPr codeName="Sheet13"/>
  <dimension ref="A1:M57"/>
  <sheetViews>
    <sheetView workbookViewId="0">
      <selection activeCell="C11" sqref="C11"/>
    </sheetView>
  </sheetViews>
  <sheetFormatPr defaultRowHeight="14.5" x14ac:dyDescent="0.35"/>
  <cols>
    <col min="1" max="1" width="30.453125" bestFit="1" customWidth="1"/>
    <col min="2" max="2" width="18.7265625" style="30" bestFit="1" customWidth="1"/>
    <col min="3" max="3" width="17.54296875" style="30" bestFit="1" customWidth="1"/>
    <col min="4" max="4" width="15.1796875" style="30" bestFit="1" customWidth="1"/>
    <col min="5" max="5" width="18.7265625" style="30" bestFit="1" customWidth="1"/>
    <col min="6" max="6" width="14.08984375" style="30" bestFit="1" customWidth="1"/>
    <col min="7" max="7" width="12.90625" style="30" bestFit="1" customWidth="1"/>
    <col min="8" max="9" width="15.81640625" style="30" bestFit="1" customWidth="1"/>
    <col min="10" max="10" width="15" bestFit="1" customWidth="1"/>
    <col min="11" max="11" width="17.54296875" bestFit="1" customWidth="1"/>
    <col min="12" max="12" width="15" bestFit="1" customWidth="1"/>
    <col min="13" max="13" width="17.54296875" bestFit="1" customWidth="1"/>
  </cols>
  <sheetData>
    <row r="1" spans="1:13" x14ac:dyDescent="0.35">
      <c r="A1" t="s">
        <v>60</v>
      </c>
      <c r="M1" s="27"/>
    </row>
    <row r="2" spans="1:13" x14ac:dyDescent="0.35">
      <c r="A2" t="s">
        <v>61</v>
      </c>
    </row>
    <row r="8" spans="1:13" x14ac:dyDescent="0.35">
      <c r="A8" t="s">
        <v>62</v>
      </c>
    </row>
    <row r="10" spans="1:13" x14ac:dyDescent="0.35">
      <c r="A10" t="s">
        <v>19</v>
      </c>
      <c r="B10" t="s">
        <v>416</v>
      </c>
      <c r="C10" t="s">
        <v>415</v>
      </c>
      <c r="D10"/>
      <c r="E10"/>
      <c r="F10"/>
      <c r="G10"/>
      <c r="H10"/>
      <c r="I10"/>
    </row>
    <row r="11" spans="1:13" x14ac:dyDescent="0.35">
      <c r="B11" t="s">
        <v>298</v>
      </c>
      <c r="C11">
        <v>2E-3</v>
      </c>
      <c r="D11"/>
      <c r="E11"/>
      <c r="F11"/>
      <c r="G11"/>
      <c r="H11"/>
      <c r="I11"/>
    </row>
    <row r="12" spans="1:13" x14ac:dyDescent="0.35">
      <c r="H12"/>
      <c r="I12"/>
    </row>
    <row r="17" spans="1:1" x14ac:dyDescent="0.35">
      <c r="A17" t="s">
        <v>63</v>
      </c>
    </row>
    <row r="19" spans="1:1" x14ac:dyDescent="0.35">
      <c r="A19" t="s">
        <v>64</v>
      </c>
    </row>
    <row r="22" spans="1:1" x14ac:dyDescent="0.35">
      <c r="A22" t="s">
        <v>65</v>
      </c>
    </row>
    <row r="30" spans="1:1" x14ac:dyDescent="0.35">
      <c r="A30" t="s">
        <v>66</v>
      </c>
    </row>
    <row r="33" spans="1:1" x14ac:dyDescent="0.35">
      <c r="A33" t="s">
        <v>67</v>
      </c>
    </row>
    <row r="41" spans="1:1" x14ac:dyDescent="0.35">
      <c r="A41" t="s">
        <v>68</v>
      </c>
    </row>
    <row r="47" spans="1:1" x14ac:dyDescent="0.35">
      <c r="A47" t="s">
        <v>69</v>
      </c>
    </row>
    <row r="49" spans="1:1" x14ac:dyDescent="0.35">
      <c r="A49" t="s">
        <v>70</v>
      </c>
    </row>
    <row r="57" spans="1:1" x14ac:dyDescent="0.35">
      <c r="A57" t="s">
        <v>71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11BB7-5E27-4634-A257-3A854600ED19}">
  <sheetPr codeName="Sheet15"/>
  <dimension ref="A1:E28"/>
  <sheetViews>
    <sheetView topLeftCell="A4" workbookViewId="0">
      <selection activeCell="E14" sqref="E14"/>
    </sheetView>
  </sheetViews>
  <sheetFormatPr defaultRowHeight="14.5" x14ac:dyDescent="0.35"/>
  <cols>
    <col min="1" max="1" width="56" bestFit="1" customWidth="1"/>
    <col min="2" max="2" width="32.36328125" bestFit="1" customWidth="1"/>
    <col min="3" max="3" width="6.90625" bestFit="1" customWidth="1"/>
    <col min="4" max="4" width="10.54296875" customWidth="1"/>
    <col min="5" max="6" width="15.81640625" bestFit="1" customWidth="1"/>
    <col min="7" max="7" width="12.54296875" bestFit="1" customWidth="1"/>
  </cols>
  <sheetData>
    <row r="1" spans="1:5" x14ac:dyDescent="0.35">
      <c r="B1" t="s">
        <v>220</v>
      </c>
      <c r="C1" t="s">
        <v>49</v>
      </c>
      <c r="E1" s="27" t="s">
        <v>236</v>
      </c>
    </row>
    <row r="2" spans="1:5" x14ac:dyDescent="0.35">
      <c r="A2" t="s">
        <v>87</v>
      </c>
      <c r="B2" s="15" t="s">
        <v>243</v>
      </c>
      <c r="C2">
        <v>5.0000000000000001E-4</v>
      </c>
      <c r="E2">
        <f>IF(LEFT(NBC_Bank_Accounts[[#This Row],[Balance]],1)&lt;&gt;"$",0,VALUE(LEFT(NBC_Bank_Accounts[[#This Row],[Balance]],FIND(" ",NBC_Bank_Accounts[[#This Row],[Balance]])-1)))</f>
        <v>0</v>
      </c>
    </row>
    <row r="3" spans="1:5" x14ac:dyDescent="0.35">
      <c r="B3" s="15" t="s">
        <v>88</v>
      </c>
      <c r="C3">
        <v>1E-4</v>
      </c>
      <c r="E3">
        <f>IF(LEFT(NBC_Bank_Accounts[[#This Row],[Balance]],1)&lt;&gt;"$",0,VALUE(LEFT(NBC_Bank_Accounts[[#This Row],[Balance]],FIND(" ",NBC_Bank_Accounts[[#This Row],[Balance]])-1)))</f>
        <v>0</v>
      </c>
    </row>
    <row r="4" spans="1:5" x14ac:dyDescent="0.35">
      <c r="B4" s="15" t="s">
        <v>89</v>
      </c>
      <c r="C4">
        <v>1E-4</v>
      </c>
      <c r="E4">
        <f>IF(LEFT(NBC_Bank_Accounts[[#This Row],[Balance]],1)&lt;&gt;"$",0,VALUE(LEFT(NBC_Bank_Accounts[[#This Row],[Balance]],FIND(" ",NBC_Bank_Accounts[[#This Row],[Balance]])-1)))</f>
        <v>0</v>
      </c>
    </row>
    <row r="5" spans="1:5" x14ac:dyDescent="0.35">
      <c r="B5" s="15" t="s">
        <v>90</v>
      </c>
      <c r="C5">
        <v>5.0000000000000001E-4</v>
      </c>
      <c r="E5">
        <f>IF(LEFT(NBC_Bank_Accounts[[#This Row],[Balance]],1)&lt;&gt;"$",0,VALUE(LEFT(NBC_Bank_Accounts[[#This Row],[Balance]],FIND(" ",NBC_Bank_Accounts[[#This Row],[Balance]])-1)))</f>
        <v>0</v>
      </c>
    </row>
    <row r="6" spans="1:5" x14ac:dyDescent="0.35">
      <c r="B6" s="15" t="s">
        <v>91</v>
      </c>
      <c r="C6">
        <v>5.0000000000000001E-4</v>
      </c>
      <c r="E6">
        <f>IF(LEFT(NBC_Bank_Accounts[[#This Row],[Balance]],1)&lt;&gt;"$",0,VALUE(LEFT(NBC_Bank_Accounts[[#This Row],[Balance]],FIND(" ",NBC_Bank_Accounts[[#This Row],[Balance]])-1)))</f>
        <v>0</v>
      </c>
    </row>
    <row r="7" spans="1:5" x14ac:dyDescent="0.35">
      <c r="A7" t="s">
        <v>92</v>
      </c>
      <c r="B7" s="15" t="s">
        <v>93</v>
      </c>
      <c r="C7">
        <v>0</v>
      </c>
      <c r="E7">
        <f>IF(LEFT(NBC_Bank_Accounts[[#This Row],[Balance]],1)&lt;&gt;"$",0,VALUE(LEFT(NBC_Bank_Accounts[[#This Row],[Balance]],FIND(" ",NBC_Bank_Accounts[[#This Row],[Balance]])-1)))</f>
        <v>0</v>
      </c>
    </row>
    <row r="8" spans="1:5" x14ac:dyDescent="0.35">
      <c r="B8" s="15" t="s">
        <v>409</v>
      </c>
      <c r="C8">
        <v>0</v>
      </c>
      <c r="E8">
        <f>IF(LEFT(NBC_Bank_Accounts[[#This Row],[Balance]],1)&lt;&gt;"$",0,VALUE(LEFT(NBC_Bank_Accounts[[#This Row],[Balance]],FIND(" ",NBC_Bank_Accounts[[#This Row],[Balance]])-1)))</f>
        <v>2000</v>
      </c>
    </row>
    <row r="9" spans="1:5" x14ac:dyDescent="0.35">
      <c r="B9" s="15" t="s">
        <v>379</v>
      </c>
      <c r="C9">
        <v>1E-4</v>
      </c>
      <c r="E9">
        <f>IF(LEFT(NBC_Bank_Accounts[[#This Row],[Balance]],1)&lt;&gt;"$",0,VALUE(LEFT(NBC_Bank_Accounts[[#This Row],[Balance]],FIND(" ",NBC_Bank_Accounts[[#This Row],[Balance]])-1)))</f>
        <v>5000</v>
      </c>
    </row>
    <row r="10" spans="1:5" x14ac:dyDescent="0.35">
      <c r="B10" s="15" t="s">
        <v>58</v>
      </c>
      <c r="C10">
        <v>1E-4</v>
      </c>
      <c r="E10">
        <f>IF(LEFT(NBC_Bank_Accounts[[#This Row],[Balance]],1)&lt;&gt;"$",0,VALUE(LEFT(NBC_Bank_Accounts[[#This Row],[Balance]],FIND(" ",NBC_Bank_Accounts[[#This Row],[Balance]])-1)))</f>
        <v>25000</v>
      </c>
    </row>
    <row r="11" spans="1:5" x14ac:dyDescent="0.35">
      <c r="B11" s="15" t="s">
        <v>57</v>
      </c>
      <c r="C11">
        <v>1E-4</v>
      </c>
      <c r="E11">
        <f>IF(LEFT(NBC_Bank_Accounts[[#This Row],[Balance]],1)&lt;&gt;"$",0,VALUE(LEFT(NBC_Bank_Accounts[[#This Row],[Balance]],FIND(" ",NBC_Bank_Accounts[[#This Row],[Balance]])-1)))</f>
        <v>60000</v>
      </c>
    </row>
    <row r="12" spans="1:5" x14ac:dyDescent="0.35">
      <c r="B12" s="15" t="s">
        <v>94</v>
      </c>
      <c r="C12">
        <v>5.0000000000000001E-4</v>
      </c>
      <c r="E12">
        <f>IF(LEFT(NBC_Bank_Accounts[[#This Row],[Balance]],1)&lt;&gt;"$",0,VALUE(LEFT(NBC_Bank_Accounts[[#This Row],[Balance]],FIND(" ",NBC_Bank_Accounts[[#This Row],[Balance]])-1)))</f>
        <v>100000</v>
      </c>
    </row>
    <row r="13" spans="1:5" x14ac:dyDescent="0.35">
      <c r="A13" t="s">
        <v>97</v>
      </c>
      <c r="B13" s="15" t="s">
        <v>98</v>
      </c>
      <c r="C13">
        <v>0</v>
      </c>
      <c r="E13">
        <f>IF(LEFT(NBC_Bank_Accounts[[#This Row],[Balance]],1)&lt;&gt;"$",0,VALUE(LEFT(NBC_Bank_Accounts[[#This Row],[Balance]],FIND(" ",NBC_Bank_Accounts[[#This Row],[Balance]])-1)))</f>
        <v>0</v>
      </c>
    </row>
    <row r="14" spans="1:5" x14ac:dyDescent="0.35">
      <c r="B14" s="15" t="s">
        <v>99</v>
      </c>
      <c r="C14">
        <v>0</v>
      </c>
      <c r="E14">
        <f>IF(LEFT(NBC_Bank_Accounts[[#This Row],[Balance]],1)&lt;&gt;"$",0,VALUE(LEFT(NBC_Bank_Accounts[[#This Row],[Balance]],FIND(" ",NBC_Bank_Accounts[[#This Row],[Balance]])-1)))</f>
        <v>1000</v>
      </c>
    </row>
    <row r="15" spans="1:5" x14ac:dyDescent="0.35">
      <c r="B15" s="15" t="s">
        <v>100</v>
      </c>
      <c r="C15">
        <v>0</v>
      </c>
      <c r="E15" s="30">
        <f>IF(LEFT(NBC_Bank_Accounts[[#This Row],[Balance]],1)&lt;&gt;"$",0,VALUE(LEFT(NBC_Bank_Accounts[[#This Row],[Balance]],FIND(" ",NBC_Bank_Accounts[[#This Row],[Balance]])-1)))</f>
        <v>2000</v>
      </c>
    </row>
    <row r="16" spans="1:5" x14ac:dyDescent="0.35">
      <c r="B16" s="15" t="s">
        <v>96</v>
      </c>
      <c r="C16">
        <v>1E-4</v>
      </c>
      <c r="E16" s="30">
        <f>IF(LEFT(NBC_Bank_Accounts[[#This Row],[Balance]],1)&lt;&gt;"$",0,VALUE(LEFT(NBC_Bank_Accounts[[#This Row],[Balance]],FIND(" ",NBC_Bank_Accounts[[#This Row],[Balance]])-1)))</f>
        <v>5000</v>
      </c>
    </row>
    <row r="17" spans="1:5" x14ac:dyDescent="0.35">
      <c r="B17" s="15" t="s">
        <v>101</v>
      </c>
      <c r="C17">
        <v>1E-3</v>
      </c>
      <c r="E17">
        <f>IF(LEFT(NBC_Bank_Accounts[[#This Row],[Balance]],1)&lt;&gt;"$",0,VALUE(LEFT(NBC_Bank_Accounts[[#This Row],[Balance]],FIND(" ",NBC_Bank_Accounts[[#This Row],[Balance]])-1)))</f>
        <v>10000</v>
      </c>
    </row>
    <row r="18" spans="1:5" x14ac:dyDescent="0.35">
      <c r="A18" t="s">
        <v>102</v>
      </c>
      <c r="B18" s="15" t="s">
        <v>98</v>
      </c>
      <c r="C18">
        <v>0</v>
      </c>
      <c r="E18">
        <f>IF(LEFT(NBC_Bank_Accounts[[#This Row],[Balance]],1)&lt;&gt;"$",0,VALUE(LEFT(NBC_Bank_Accounts[[#This Row],[Balance]],FIND(" ",NBC_Bank_Accounts[[#This Row],[Balance]])-1)))</f>
        <v>0</v>
      </c>
    </row>
    <row r="19" spans="1:5" x14ac:dyDescent="0.35">
      <c r="B19" s="15" t="s">
        <v>96</v>
      </c>
      <c r="C19">
        <v>1E-4</v>
      </c>
      <c r="E19">
        <f>IF(LEFT(NBC_Bank_Accounts[[#This Row],[Balance]],1)&lt;&gt;"$",0,VALUE(LEFT(NBC_Bank_Accounts[[#This Row],[Balance]],FIND(" ",NBC_Bank_Accounts[[#This Row],[Balance]])-1)))</f>
        <v>5000</v>
      </c>
    </row>
    <row r="20" spans="1:5" x14ac:dyDescent="0.35">
      <c r="B20" s="15" t="s">
        <v>103</v>
      </c>
      <c r="C20">
        <v>1E-4</v>
      </c>
      <c r="E20">
        <f>IF(LEFT(NBC_Bank_Accounts[[#This Row],[Balance]],1)&lt;&gt;"$",0,VALUE(LEFT(NBC_Bank_Accounts[[#This Row],[Balance]],FIND(" ",NBC_Bank_Accounts[[#This Row],[Balance]])-1)))</f>
        <v>25000</v>
      </c>
    </row>
    <row r="21" spans="1:5" x14ac:dyDescent="0.35">
      <c r="B21" s="15" t="s">
        <v>104</v>
      </c>
      <c r="C21">
        <v>5.0000000000000001E-4</v>
      </c>
      <c r="E21">
        <f>IF(LEFT(NBC_Bank_Accounts[[#This Row],[Balance]],1)&lt;&gt;"$",0,VALUE(LEFT(NBC_Bank_Accounts[[#This Row],[Balance]],FIND(" ",NBC_Bank_Accounts[[#This Row],[Balance]])-1)))</f>
        <v>60000</v>
      </c>
    </row>
    <row r="22" spans="1:5" x14ac:dyDescent="0.35">
      <c r="B22" s="15" t="s">
        <v>244</v>
      </c>
      <c r="C22">
        <v>5.0000000000000001E-4</v>
      </c>
      <c r="E22">
        <f>IF(LEFT(NBC_Bank_Accounts[[#This Row],[Balance]],1)&lt;&gt;"$",0,VALUE(LEFT(NBC_Bank_Accounts[[#This Row],[Balance]],FIND(" ",NBC_Bank_Accounts[[#This Row],[Balance]])-1)))</f>
        <v>100000</v>
      </c>
    </row>
    <row r="23" spans="1:5" x14ac:dyDescent="0.35">
      <c r="A23" t="s">
        <v>105</v>
      </c>
      <c r="B23" s="15" t="s">
        <v>98</v>
      </c>
      <c r="C23">
        <v>0</v>
      </c>
      <c r="E23">
        <f>IF(LEFT(NBC_Bank_Accounts[[#This Row],[Balance]],1)&lt;&gt;"$",0,VALUE(LEFT(NBC_Bank_Accounts[[#This Row],[Balance]],FIND(" ",NBC_Bank_Accounts[[#This Row],[Balance]])-1)))</f>
        <v>0</v>
      </c>
    </row>
    <row r="24" spans="1:5" x14ac:dyDescent="0.35">
      <c r="B24" s="15" t="s">
        <v>106</v>
      </c>
      <c r="C24">
        <v>5.0000000000000001E-4</v>
      </c>
      <c r="E24">
        <f>IF(LEFT(NBC_Bank_Accounts[[#This Row],[Balance]],1)&lt;&gt;"$",0,VALUE(LEFT(NBC_Bank_Accounts[[#This Row],[Balance]],FIND(" ",NBC_Bank_Accounts[[#This Row],[Balance]])-1)))</f>
        <v>3000</v>
      </c>
    </row>
    <row r="25" spans="1:5" x14ac:dyDescent="0.35">
      <c r="B25" s="15" t="s">
        <v>107</v>
      </c>
      <c r="C25">
        <v>5.0000000000000001E-4</v>
      </c>
      <c r="E25">
        <f>IF(LEFT(NBC_Bank_Accounts[[#This Row],[Balance]],1)&lt;&gt;"$",0,VALUE(LEFT(NBC_Bank_Accounts[[#This Row],[Balance]],FIND(" ",NBC_Bank_Accounts[[#This Row],[Balance]])-1)))</f>
        <v>30000</v>
      </c>
    </row>
    <row r="26" spans="1:5" x14ac:dyDescent="0.35">
      <c r="A26" t="s">
        <v>108</v>
      </c>
      <c r="B26" s="15" t="s">
        <v>109</v>
      </c>
      <c r="C26">
        <v>0</v>
      </c>
      <c r="E26">
        <f>IF(LEFT(NBC_Bank_Accounts[[#This Row],[Balance]],1)&lt;&gt;"$",0,VALUE(LEFT(NBC_Bank_Accounts[[#This Row],[Balance]],FIND(" ",NBC_Bank_Accounts[[#This Row],[Balance]])-1)))</f>
        <v>0</v>
      </c>
    </row>
    <row r="27" spans="1:5" x14ac:dyDescent="0.35">
      <c r="B27" s="15" t="s">
        <v>110</v>
      </c>
      <c r="C27">
        <v>0</v>
      </c>
      <c r="E27">
        <f>IF(LEFT(NBC_Bank_Accounts[[#This Row],[Balance]],1)&lt;&gt;"$",0,VALUE(LEFT(NBC_Bank_Accounts[[#This Row],[Balance]],FIND(" ",NBC_Bank_Accounts[[#This Row],[Balance]])-1)))</f>
        <v>0</v>
      </c>
    </row>
    <row r="28" spans="1:5" x14ac:dyDescent="0.35">
      <c r="A28" t="s">
        <v>95</v>
      </c>
      <c r="B28" s="15" t="s">
        <v>98</v>
      </c>
      <c r="C28">
        <v>1.5E-3</v>
      </c>
      <c r="E28">
        <f>IF(LEFT(NBC_Bank_Accounts[[#This Row],[Balance]],1)&lt;&gt;"$",0,VALUE(LEFT(NBC_Bank_Accounts[[#This Row],[Balance]],FIND(" ",NBC_Bank_Accounts[[#This Row],[Balance]])-1)))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C8081-6A83-47D2-AD9D-392DF2744A8A}">
  <sheetPr codeName="Sheet26"/>
  <dimension ref="A1:I13"/>
  <sheetViews>
    <sheetView workbookViewId="0">
      <selection activeCell="B10" sqref="B10"/>
    </sheetView>
  </sheetViews>
  <sheetFormatPr defaultRowHeight="14.5" x14ac:dyDescent="0.35"/>
  <cols>
    <col min="1" max="1" width="31" style="30" bestFit="1" customWidth="1"/>
    <col min="2" max="2" width="28.54296875" bestFit="1" customWidth="1"/>
    <col min="3" max="3" width="21.7265625" bestFit="1" customWidth="1"/>
    <col min="4" max="4" width="22.7265625" bestFit="1" customWidth="1"/>
    <col min="5" max="5" width="22.6328125" bestFit="1" customWidth="1"/>
    <col min="6" max="6" width="28.1796875" bestFit="1" customWidth="1"/>
    <col min="7" max="7" width="28.453125" bestFit="1" customWidth="1"/>
  </cols>
  <sheetData>
    <row r="1" spans="1:9" x14ac:dyDescent="0.35">
      <c r="A1" s="30" t="s">
        <v>362</v>
      </c>
      <c r="B1" t="s">
        <v>77</v>
      </c>
      <c r="C1" t="s">
        <v>154</v>
      </c>
      <c r="I1" s="30" t="s">
        <v>236</v>
      </c>
    </row>
    <row r="2" spans="1:9" x14ac:dyDescent="0.35">
      <c r="B2" s="15" t="s">
        <v>216</v>
      </c>
      <c r="C2">
        <v>5.0000000000000001E-4</v>
      </c>
      <c r="I2" s="30">
        <f>IF(LEFT(HSBC_CAD_Savings[[#This Row],[Daily closing balance]],2)="Up",0,VALUE(MID(HSBC_CAD_Savings[[#This Row],[Daily closing balance]],FIND("$",B2),FIND(" ",B2,FIND("$",B2))-FIND("$",B2))))</f>
        <v>0</v>
      </c>
    </row>
    <row r="3" spans="1:9" x14ac:dyDescent="0.35">
      <c r="B3" s="15" t="s">
        <v>217</v>
      </c>
      <c r="C3">
        <v>1.5E-3</v>
      </c>
      <c r="I3" s="30">
        <f>IF(LEFT(HSBC_CAD_Savings[[#This Row],[Daily closing balance]],2)="Up",0,VALUE(MID(HSBC_CAD_Savings[[#This Row],[Daily closing balance]],FIND("$",B3),FIND(" ",B3,FIND("$",B3))-FIND("$",B3))))</f>
        <v>25000</v>
      </c>
    </row>
    <row r="4" spans="1:9" x14ac:dyDescent="0.35">
      <c r="B4" s="15" t="s">
        <v>218</v>
      </c>
      <c r="C4">
        <v>1.5E-3</v>
      </c>
      <c r="I4" s="30">
        <f>IF(LEFT(HSBC_CAD_Savings[[#This Row],[Daily closing balance]],2)="Up",0,VALUE(MID(HSBC_CAD_Savings[[#This Row],[Daily closing balance]],FIND("$",B4),FIND(" ",B4,FIND("$",B4))-FIND("$",B4))))</f>
        <v>50000</v>
      </c>
    </row>
    <row r="5" spans="1:9" x14ac:dyDescent="0.35">
      <c r="B5" s="15" t="s">
        <v>219</v>
      </c>
      <c r="C5">
        <v>1.5E-3</v>
      </c>
      <c r="I5" s="30">
        <f>IF(LEFT(HSBC_CAD_Savings[[#This Row],[Daily closing balance]],2)="Up",0,VALUE(MID(HSBC_CAD_Savings[[#This Row],[Daily closing balance]],FIND("$",B5),FIND(" ",B5,FIND("$",B5))-FIND("$",B5))))</f>
        <v>100000</v>
      </c>
    </row>
    <row r="9" spans="1:9" x14ac:dyDescent="0.35">
      <c r="A9" s="30" t="s">
        <v>374</v>
      </c>
      <c r="B9" s="30" t="s">
        <v>77</v>
      </c>
      <c r="C9" s="30" t="s">
        <v>367</v>
      </c>
      <c r="D9" s="30" t="s">
        <v>368</v>
      </c>
      <c r="E9" s="30" t="s">
        <v>369</v>
      </c>
      <c r="F9" s="30" t="s">
        <v>370</v>
      </c>
      <c r="G9" s="30" t="s">
        <v>371</v>
      </c>
    </row>
    <row r="10" spans="1:9" x14ac:dyDescent="0.35">
      <c r="B10" s="15" t="s">
        <v>372</v>
      </c>
      <c r="C10" s="30">
        <v>5.0000000000000001E-4</v>
      </c>
      <c r="D10" s="30">
        <v>5.0000000000000001E-4</v>
      </c>
      <c r="E10" s="30">
        <v>0</v>
      </c>
      <c r="F10" s="30">
        <v>5.0000000000000001E-4</v>
      </c>
      <c r="G10" s="30">
        <v>0</v>
      </c>
      <c r="I10">
        <f>IF(LEFT(HSBC_Foreign_Savings[[#This Row],[Daily closing balance]],2)="Up",0,VALUE(MID(HSBC_Foreign_Savings[[#This Row],[Daily closing balance]],FIND("$",B10),FIND(" ",B10,FIND("$",B10))-FIND("$",B10))))</f>
        <v>0</v>
      </c>
    </row>
    <row r="11" spans="1:9" x14ac:dyDescent="0.35">
      <c r="B11" s="15" t="s">
        <v>217</v>
      </c>
      <c r="C11" s="30">
        <v>5.0000000000000001E-4</v>
      </c>
      <c r="D11" s="30">
        <v>5.0000000000000001E-4</v>
      </c>
      <c r="E11" s="30">
        <v>0</v>
      </c>
      <c r="F11" s="30">
        <v>5.0000000000000001E-4</v>
      </c>
      <c r="G11" s="30">
        <v>0</v>
      </c>
      <c r="I11" s="30">
        <f>IF(LEFT(HSBC_Foreign_Savings[[#This Row],[Daily closing balance]],2)="Up",0,VALUE(MID(HSBC_Foreign_Savings[[#This Row],[Daily closing balance]],FIND("$",B11),FIND(" ",B11,FIND("$",B11))-FIND("$",B11))))</f>
        <v>25000</v>
      </c>
    </row>
    <row r="12" spans="1:9" x14ac:dyDescent="0.35">
      <c r="B12" s="15" t="s">
        <v>218</v>
      </c>
      <c r="C12" s="30">
        <v>5.0000000000000001E-4</v>
      </c>
      <c r="D12" s="30">
        <v>5.0000000000000001E-4</v>
      </c>
      <c r="E12" s="30">
        <v>0</v>
      </c>
      <c r="F12" s="30">
        <v>5.0000000000000001E-4</v>
      </c>
      <c r="G12" s="30">
        <v>0</v>
      </c>
      <c r="I12" s="30">
        <f>IF(LEFT(HSBC_Foreign_Savings[[#This Row],[Daily closing balance]],2)="Up",0,VALUE(MID(HSBC_Foreign_Savings[[#This Row],[Daily closing balance]],FIND("$",B12),FIND(" ",B12,FIND("$",B12))-FIND("$",B12))))</f>
        <v>50000</v>
      </c>
    </row>
    <row r="13" spans="1:9" x14ac:dyDescent="0.35">
      <c r="B13" s="15" t="s">
        <v>373</v>
      </c>
      <c r="C13" s="30">
        <v>5.0000000000000001E-4</v>
      </c>
      <c r="D13" s="30">
        <v>5.0000000000000001E-4</v>
      </c>
      <c r="E13" s="30">
        <v>0</v>
      </c>
      <c r="F13" s="30">
        <v>5.0000000000000001E-4</v>
      </c>
      <c r="G13" s="30">
        <v>0</v>
      </c>
      <c r="I13" s="30">
        <f>IF(LEFT(HSBC_Foreign_Savings[[#This Row],[Daily closing balance]],2)="Up",0,VALUE(MID(HSBC_Foreign_Savings[[#This Row],[Daily closing balance]],FIND("$",B13),FIND(" ",B13,FIND("$",B13))-FIND("$",B13))))</f>
        <v>100000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2914-10B4-4A93-8338-458BFDDF487F}">
  <sheetPr codeName="Sheet19"/>
  <dimension ref="A1:E9"/>
  <sheetViews>
    <sheetView workbookViewId="0">
      <selection activeCell="C6" sqref="C6"/>
    </sheetView>
  </sheetViews>
  <sheetFormatPr defaultRowHeight="14.5" x14ac:dyDescent="0.35"/>
  <cols>
    <col min="1" max="1" width="35.81640625" customWidth="1"/>
    <col min="2" max="2" width="14.54296875" style="30" bestFit="1" customWidth="1"/>
    <col min="3" max="3" width="72.54296875" style="30" bestFit="1" customWidth="1"/>
    <col min="4" max="5" width="10.54296875" style="30" bestFit="1" customWidth="1"/>
    <col min="6" max="6" width="18.1796875" bestFit="1" customWidth="1"/>
    <col min="7" max="7" width="77.26953125" bestFit="1" customWidth="1"/>
    <col min="8" max="8" width="25.453125" bestFit="1" customWidth="1"/>
    <col min="9" max="9" width="23.453125" bestFit="1" customWidth="1"/>
    <col min="10" max="10" width="25.453125" bestFit="1" customWidth="1"/>
    <col min="11" max="11" width="23.453125" bestFit="1" customWidth="1"/>
    <col min="12" max="12" width="25.453125" bestFit="1" customWidth="1"/>
    <col min="13" max="13" width="23.453125" bestFit="1" customWidth="1"/>
  </cols>
  <sheetData>
    <row r="1" spans="1:5" x14ac:dyDescent="0.35">
      <c r="B1" t="s">
        <v>52</v>
      </c>
      <c r="C1" t="s">
        <v>53</v>
      </c>
      <c r="D1" t="s">
        <v>54</v>
      </c>
      <c r="E1" t="s">
        <v>175</v>
      </c>
    </row>
    <row r="2" spans="1:5" x14ac:dyDescent="0.35">
      <c r="A2" t="s">
        <v>47</v>
      </c>
      <c r="B2" s="15" t="s">
        <v>129</v>
      </c>
      <c r="C2" s="15" t="s">
        <v>130</v>
      </c>
      <c r="D2">
        <v>2E-3</v>
      </c>
      <c r="E2">
        <v>4.4999999999999997E-3</v>
      </c>
    </row>
    <row r="3" spans="1:5" x14ac:dyDescent="0.35">
      <c r="A3" t="s">
        <v>131</v>
      </c>
      <c r="B3" s="15" t="s">
        <v>129</v>
      </c>
      <c r="C3" s="15" t="s">
        <v>131</v>
      </c>
      <c r="D3">
        <v>2E-3</v>
      </c>
      <c r="E3"/>
    </row>
    <row r="4" spans="1:5" x14ac:dyDescent="0.35">
      <c r="A4" t="s">
        <v>132</v>
      </c>
      <c r="B4" s="15" t="s">
        <v>129</v>
      </c>
      <c r="C4" s="15" t="s">
        <v>428</v>
      </c>
      <c r="D4">
        <v>1.6500000000000001E-2</v>
      </c>
      <c r="E4"/>
    </row>
    <row r="5" spans="1:5" x14ac:dyDescent="0.35">
      <c r="A5" t="s">
        <v>133</v>
      </c>
      <c r="B5" s="15" t="s">
        <v>129</v>
      </c>
      <c r="C5" s="15" t="s">
        <v>429</v>
      </c>
      <c r="D5">
        <v>6.4999999999999997E-3</v>
      </c>
      <c r="E5"/>
    </row>
    <row r="6" spans="1:5" x14ac:dyDescent="0.35">
      <c r="A6" t="s">
        <v>134</v>
      </c>
      <c r="B6" s="15" t="s">
        <v>129</v>
      </c>
      <c r="C6" s="15" t="s">
        <v>380</v>
      </c>
      <c r="D6">
        <v>1.6500000000000001E-2</v>
      </c>
      <c r="E6"/>
    </row>
    <row r="7" spans="1:5" x14ac:dyDescent="0.35">
      <c r="B7" s="15" t="s">
        <v>129</v>
      </c>
      <c r="C7" s="15" t="s">
        <v>281</v>
      </c>
      <c r="D7">
        <v>0</v>
      </c>
      <c r="E7"/>
    </row>
    <row r="8" spans="1:5" x14ac:dyDescent="0.35">
      <c r="B8" s="15" t="s">
        <v>129</v>
      </c>
      <c r="C8" s="15" t="s">
        <v>282</v>
      </c>
      <c r="D8" s="30">
        <v>0</v>
      </c>
    </row>
    <row r="9" spans="1:5" x14ac:dyDescent="0.35">
      <c r="B9" s="15" t="s">
        <v>129</v>
      </c>
      <c r="C9" s="15" t="s">
        <v>283</v>
      </c>
      <c r="D9" s="30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3D887-26A0-457F-9680-465B244BCFBD}">
  <sheetPr codeName="Sheet27"/>
  <dimension ref="A1:C5"/>
  <sheetViews>
    <sheetView workbookViewId="0"/>
  </sheetViews>
  <sheetFormatPr defaultRowHeight="14.5" x14ac:dyDescent="0.35"/>
  <cols>
    <col min="1" max="1" width="6.90625" bestFit="1" customWidth="1"/>
    <col min="2" max="2" width="22.81640625" bestFit="1" customWidth="1"/>
    <col min="3" max="3" width="12.7265625" bestFit="1" customWidth="1"/>
  </cols>
  <sheetData>
    <row r="1" spans="1:3" x14ac:dyDescent="0.35">
      <c r="A1" t="s">
        <v>49</v>
      </c>
      <c r="B1" t="s">
        <v>155</v>
      </c>
      <c r="C1" t="s">
        <v>156</v>
      </c>
    </row>
    <row r="2" spans="1:3" x14ac:dyDescent="0.35">
      <c r="A2">
        <v>5.0000000000000001E-3</v>
      </c>
      <c r="B2" s="15" t="s">
        <v>25</v>
      </c>
      <c r="C2" s="15" t="s">
        <v>157</v>
      </c>
    </row>
    <row r="3" spans="1:3" x14ac:dyDescent="0.35">
      <c r="A3">
        <v>5.0000000000000001E-3</v>
      </c>
      <c r="B3" s="15" t="s">
        <v>158</v>
      </c>
      <c r="C3" s="15" t="s">
        <v>157</v>
      </c>
    </row>
    <row r="4" spans="1:3" x14ac:dyDescent="0.35">
      <c r="A4">
        <v>5.0000000000000001E-3</v>
      </c>
      <c r="B4" s="15" t="s">
        <v>159</v>
      </c>
      <c r="C4" s="15" t="s">
        <v>157</v>
      </c>
    </row>
    <row r="5" spans="1:3" x14ac:dyDescent="0.35">
      <c r="A5">
        <v>5.0000000000000001E-3</v>
      </c>
      <c r="B5" s="15" t="s">
        <v>160</v>
      </c>
      <c r="C5" s="15" t="s">
        <v>161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EA9F3-7E72-4374-B3DB-836472B55807}">
  <sheetPr codeName="Sheet4"/>
  <dimension ref="A1:F12"/>
  <sheetViews>
    <sheetView workbookViewId="0">
      <selection activeCell="A6" sqref="A6"/>
    </sheetView>
  </sheetViews>
  <sheetFormatPr defaultRowHeight="14.5" x14ac:dyDescent="0.35"/>
  <cols>
    <col min="1" max="2" width="74.90625" bestFit="1" customWidth="1"/>
    <col min="3" max="6" width="35.7265625" bestFit="1" customWidth="1"/>
  </cols>
  <sheetData>
    <row r="1" spans="1:6" x14ac:dyDescent="0.35">
      <c r="A1" t="s">
        <v>52</v>
      </c>
      <c r="B1" t="s">
        <v>53</v>
      </c>
      <c r="C1" t="s">
        <v>54</v>
      </c>
      <c r="D1" t="s">
        <v>175</v>
      </c>
      <c r="E1" t="s">
        <v>176</v>
      </c>
      <c r="F1" t="s">
        <v>177</v>
      </c>
    </row>
    <row r="2" spans="1:6" x14ac:dyDescent="0.35">
      <c r="A2" s="15" t="s">
        <v>178</v>
      </c>
      <c r="B2" s="15" t="s">
        <v>178</v>
      </c>
      <c r="C2" s="15" t="s">
        <v>179</v>
      </c>
      <c r="D2" s="15" t="s">
        <v>180</v>
      </c>
      <c r="E2" s="15" t="s">
        <v>181</v>
      </c>
      <c r="F2" s="15" t="s">
        <v>182</v>
      </c>
    </row>
    <row r="3" spans="1:6" x14ac:dyDescent="0.35">
      <c r="A3" s="15" t="s">
        <v>183</v>
      </c>
      <c r="B3" s="15" t="s">
        <v>183</v>
      </c>
      <c r="C3" s="15" t="s">
        <v>183</v>
      </c>
      <c r="D3" s="15" t="s">
        <v>183</v>
      </c>
      <c r="E3" s="15" t="s">
        <v>183</v>
      </c>
      <c r="F3" s="15" t="s">
        <v>183</v>
      </c>
    </row>
    <row r="4" spans="1:6" x14ac:dyDescent="0.35">
      <c r="A4" s="15" t="s">
        <v>184</v>
      </c>
      <c r="B4" s="15" t="s">
        <v>184</v>
      </c>
      <c r="C4" s="15" t="s">
        <v>185</v>
      </c>
      <c r="D4" s="15" t="s">
        <v>410</v>
      </c>
      <c r="E4" s="15" t="s">
        <v>186</v>
      </c>
      <c r="F4" s="15" t="s">
        <v>187</v>
      </c>
    </row>
    <row r="5" spans="1:6" x14ac:dyDescent="0.35">
      <c r="A5" s="15" t="s">
        <v>188</v>
      </c>
      <c r="B5" s="15" t="s">
        <v>188</v>
      </c>
      <c r="C5" s="15" t="s">
        <v>189</v>
      </c>
      <c r="D5" s="15" t="s">
        <v>411</v>
      </c>
      <c r="E5" s="15" t="s">
        <v>186</v>
      </c>
      <c r="F5" s="15" t="s">
        <v>187</v>
      </c>
    </row>
    <row r="6" spans="1:6" x14ac:dyDescent="0.35">
      <c r="A6" s="15" t="s">
        <v>190</v>
      </c>
      <c r="B6" s="15" t="s">
        <v>190</v>
      </c>
      <c r="C6" s="15" t="s">
        <v>191</v>
      </c>
      <c r="D6" s="15" t="s">
        <v>410</v>
      </c>
      <c r="E6" s="15" t="s">
        <v>186</v>
      </c>
      <c r="F6" s="15" t="s">
        <v>192</v>
      </c>
    </row>
    <row r="7" spans="1:6" x14ac:dyDescent="0.35">
      <c r="A7" s="15" t="s">
        <v>193</v>
      </c>
      <c r="B7" s="15" t="s">
        <v>193</v>
      </c>
      <c r="C7" s="15" t="s">
        <v>194</v>
      </c>
      <c r="D7" s="15" t="s">
        <v>411</v>
      </c>
      <c r="E7" s="15" t="s">
        <v>186</v>
      </c>
      <c r="F7" s="15" t="s">
        <v>192</v>
      </c>
    </row>
    <row r="8" spans="1:6" x14ac:dyDescent="0.35">
      <c r="A8" s="15" t="s">
        <v>195</v>
      </c>
      <c r="B8" s="15" t="s">
        <v>195</v>
      </c>
      <c r="C8" s="15" t="s">
        <v>196</v>
      </c>
      <c r="D8" s="15" t="s">
        <v>410</v>
      </c>
      <c r="E8" s="15" t="s">
        <v>186</v>
      </c>
      <c r="F8" s="15" t="s">
        <v>192</v>
      </c>
    </row>
    <row r="9" spans="1:6" x14ac:dyDescent="0.35">
      <c r="A9" s="15" t="s">
        <v>197</v>
      </c>
      <c r="B9" s="15" t="s">
        <v>197</v>
      </c>
      <c r="C9" s="15" t="s">
        <v>198</v>
      </c>
      <c r="D9" s="15" t="s">
        <v>411</v>
      </c>
      <c r="E9" s="15" t="s">
        <v>186</v>
      </c>
      <c r="F9" s="15" t="s">
        <v>192</v>
      </c>
    </row>
    <row r="10" spans="1:6" x14ac:dyDescent="0.35">
      <c r="A10" s="15" t="s">
        <v>199</v>
      </c>
      <c r="B10" s="15" t="s">
        <v>199</v>
      </c>
      <c r="C10" s="15" t="s">
        <v>199</v>
      </c>
      <c r="D10" s="15" t="s">
        <v>199</v>
      </c>
      <c r="E10" s="15" t="s">
        <v>199</v>
      </c>
      <c r="F10" s="15" t="s">
        <v>199</v>
      </c>
    </row>
    <row r="11" spans="1:6" x14ac:dyDescent="0.35">
      <c r="A11" s="15" t="s">
        <v>200</v>
      </c>
      <c r="B11" s="15" t="s">
        <v>200</v>
      </c>
      <c r="C11" s="15" t="s">
        <v>201</v>
      </c>
      <c r="D11" s="15" t="s">
        <v>410</v>
      </c>
      <c r="E11" s="15" t="s">
        <v>186</v>
      </c>
      <c r="F11" s="15" t="s">
        <v>187</v>
      </c>
    </row>
    <row r="12" spans="1:6" x14ac:dyDescent="0.35">
      <c r="A12" s="15" t="s">
        <v>202</v>
      </c>
      <c r="B12" s="15" t="s">
        <v>202</v>
      </c>
      <c r="C12" s="15" t="s">
        <v>203</v>
      </c>
      <c r="D12" s="15" t="s">
        <v>411</v>
      </c>
      <c r="E12" s="15" t="s">
        <v>186</v>
      </c>
      <c r="F12" s="15" t="s">
        <v>187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34262-5FE0-448E-B68B-934A5AC82E80}">
  <sheetPr codeName="Sheet7"/>
  <dimension ref="A1:C27"/>
  <sheetViews>
    <sheetView workbookViewId="0">
      <selection activeCell="C6" sqref="C6"/>
    </sheetView>
  </sheetViews>
  <sheetFormatPr defaultRowHeight="14.5" x14ac:dyDescent="0.35"/>
  <cols>
    <col min="1" max="1" width="10.453125" bestFit="1" customWidth="1"/>
    <col min="2" max="2" width="8.90625" bestFit="1" customWidth="1"/>
    <col min="3" max="3" width="14.08984375" bestFit="1" customWidth="1"/>
  </cols>
  <sheetData>
    <row r="1" spans="1:3" x14ac:dyDescent="0.35">
      <c r="A1" t="s">
        <v>215</v>
      </c>
      <c r="B1" t="s">
        <v>328</v>
      </c>
      <c r="C1" t="s">
        <v>236</v>
      </c>
    </row>
    <row r="2" spans="1:3" x14ac:dyDescent="0.35">
      <c r="A2" s="14">
        <v>41151</v>
      </c>
      <c r="B2" s="30">
        <v>1.35E-2</v>
      </c>
    </row>
    <row r="3" spans="1:3" x14ac:dyDescent="0.35">
      <c r="A3" s="14">
        <v>41213</v>
      </c>
      <c r="B3" s="30">
        <v>1.4E-2</v>
      </c>
    </row>
    <row r="4" spans="1:3" x14ac:dyDescent="0.35">
      <c r="A4" s="14">
        <v>42212</v>
      </c>
      <c r="B4" s="30">
        <v>1.2999999999999999E-2</v>
      </c>
    </row>
    <row r="5" spans="1:3" x14ac:dyDescent="0.35">
      <c r="A5" s="14">
        <v>42397</v>
      </c>
      <c r="B5" s="30">
        <v>1.2E-2</v>
      </c>
    </row>
    <row r="6" spans="1:3" x14ac:dyDescent="0.35">
      <c r="A6" s="14">
        <v>42402</v>
      </c>
      <c r="B6" s="30">
        <v>1.0500000000000001E-2</v>
      </c>
    </row>
    <row r="7" spans="1:3" x14ac:dyDescent="0.35">
      <c r="A7" s="14">
        <v>42649</v>
      </c>
      <c r="B7" s="30">
        <v>8.9999999999999993E-3</v>
      </c>
    </row>
    <row r="8" spans="1:3" x14ac:dyDescent="0.35">
      <c r="A8" s="14">
        <v>42850</v>
      </c>
      <c r="B8" s="30">
        <v>0.01</v>
      </c>
    </row>
    <row r="9" spans="1:3" x14ac:dyDescent="0.35">
      <c r="A9" s="14">
        <v>42886</v>
      </c>
      <c r="B9" s="30">
        <v>1.4999999999999999E-2</v>
      </c>
    </row>
    <row r="10" spans="1:3" x14ac:dyDescent="0.35">
      <c r="A10" s="14">
        <v>42978</v>
      </c>
      <c r="B10" s="30">
        <v>0.01</v>
      </c>
    </row>
    <row r="11" spans="1:3" x14ac:dyDescent="0.35">
      <c r="A11" s="14">
        <v>43125</v>
      </c>
      <c r="B11" s="30">
        <v>1.15E-2</v>
      </c>
    </row>
    <row r="12" spans="1:3" x14ac:dyDescent="0.35">
      <c r="A12" s="14">
        <v>43301</v>
      </c>
      <c r="B12" s="30">
        <v>1.35E-2</v>
      </c>
    </row>
    <row r="13" spans="1:3" x14ac:dyDescent="0.35">
      <c r="A13" s="14">
        <v>43410</v>
      </c>
      <c r="B13" s="30">
        <v>1.6E-2</v>
      </c>
      <c r="C13" s="30"/>
    </row>
    <row r="14" spans="1:3" x14ac:dyDescent="0.35">
      <c r="A14" s="14">
        <v>43902</v>
      </c>
      <c r="B14" s="30">
        <v>1.15E-2</v>
      </c>
      <c r="C14" s="30"/>
    </row>
    <row r="15" spans="1:3" x14ac:dyDescent="0.35">
      <c r="A15" s="14">
        <v>43935</v>
      </c>
      <c r="B15" s="30">
        <v>1.0500000000000001E-2</v>
      </c>
      <c r="C15" s="30"/>
    </row>
    <row r="16" spans="1:3" x14ac:dyDescent="0.35">
      <c r="A16" s="14">
        <v>43938</v>
      </c>
      <c r="B16" s="30">
        <v>8.9999999999999993E-3</v>
      </c>
      <c r="C16" s="30"/>
    </row>
    <row r="17" spans="1:3" x14ac:dyDescent="0.35">
      <c r="A17" s="14">
        <v>43941</v>
      </c>
      <c r="B17" s="30">
        <v>7.0000000000000001E-3</v>
      </c>
      <c r="C17" s="30"/>
    </row>
    <row r="18" spans="1:3" x14ac:dyDescent="0.35">
      <c r="A18" s="14">
        <v>43942</v>
      </c>
      <c r="B18" s="30">
        <v>5.0000000000000001E-3</v>
      </c>
      <c r="C18" s="30"/>
    </row>
    <row r="19" spans="1:3" x14ac:dyDescent="0.35">
      <c r="A19" s="14">
        <v>43943</v>
      </c>
      <c r="B19" s="30">
        <v>4.4999999999999997E-3</v>
      </c>
      <c r="C19" s="30"/>
    </row>
    <row r="20" spans="1:3" x14ac:dyDescent="0.35">
      <c r="A20" s="14">
        <v>43944</v>
      </c>
      <c r="B20" s="30">
        <v>4.0000000000000001E-3</v>
      </c>
      <c r="C20" s="30"/>
    </row>
    <row r="21" spans="1:3" x14ac:dyDescent="0.35">
      <c r="A21" s="14">
        <v>43945</v>
      </c>
      <c r="B21" s="30">
        <v>3.5000000000000001E-3</v>
      </c>
      <c r="C21" s="30"/>
    </row>
    <row r="22" spans="1:3" x14ac:dyDescent="0.35">
      <c r="A22" s="14">
        <v>43949</v>
      </c>
      <c r="B22" s="30">
        <v>3.0000000000000001E-3</v>
      </c>
      <c r="C22" s="30"/>
    </row>
    <row r="23" spans="1:3" x14ac:dyDescent="0.35">
      <c r="A23" s="14">
        <v>43955</v>
      </c>
      <c r="B23" s="30">
        <v>2.5000000000000001E-3</v>
      </c>
      <c r="C23" s="30"/>
    </row>
    <row r="24" spans="1:3" x14ac:dyDescent="0.35">
      <c r="A24" s="14">
        <v>43993</v>
      </c>
      <c r="B24" s="30">
        <v>2E-3</v>
      </c>
      <c r="C24" s="30"/>
    </row>
    <row r="25" spans="1:3" x14ac:dyDescent="0.35">
      <c r="A25" s="14">
        <v>43998</v>
      </c>
      <c r="B25" s="30">
        <v>1.5E-3</v>
      </c>
      <c r="C25" s="30"/>
    </row>
    <row r="26" spans="1:3" x14ac:dyDescent="0.35">
      <c r="A26" s="14">
        <v>44014</v>
      </c>
      <c r="B26" s="30">
        <v>1E-3</v>
      </c>
      <c r="C26" s="30"/>
    </row>
    <row r="27" spans="1:3" x14ac:dyDescent="0.35">
      <c r="A27" s="14">
        <v>44021</v>
      </c>
      <c r="B27" s="30">
        <v>5.0000000000000001E-4</v>
      </c>
      <c r="C27" s="30">
        <v>1000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582C2-2212-418E-BA30-6478A440B7CC}">
  <sheetPr codeName="Sheet21"/>
  <dimension ref="A1:B2"/>
  <sheetViews>
    <sheetView workbookViewId="0">
      <selection activeCell="G16" sqref="G16"/>
    </sheetView>
  </sheetViews>
  <sheetFormatPr defaultRowHeight="14.5" x14ac:dyDescent="0.35"/>
  <cols>
    <col min="1" max="1" width="19.54296875" bestFit="1" customWidth="1"/>
    <col min="2" max="2" width="7.1796875" style="30" bestFit="1" customWidth="1"/>
    <col min="3" max="3" width="7.26953125" bestFit="1" customWidth="1"/>
    <col min="4" max="4" width="7.1796875" bestFit="1" customWidth="1"/>
  </cols>
  <sheetData>
    <row r="1" spans="1:2" x14ac:dyDescent="0.35">
      <c r="B1" s="67" t="s">
        <v>381</v>
      </c>
    </row>
    <row r="2" spans="1:2" x14ac:dyDescent="0.35">
      <c r="A2" t="s">
        <v>28</v>
      </c>
      <c r="B2" s="66">
        <v>1.7500000000000002E-2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2"/>
  <sheetViews>
    <sheetView workbookViewId="0"/>
  </sheetViews>
  <sheetFormatPr defaultRowHeight="14.5" x14ac:dyDescent="0.35"/>
  <cols>
    <col min="1" max="1" width="21.6328125" bestFit="1" customWidth="1"/>
    <col min="2" max="2" width="14.08984375" bestFit="1" customWidth="1"/>
  </cols>
  <sheetData>
    <row r="1" spans="1:2" x14ac:dyDescent="0.35">
      <c r="A1" t="s">
        <v>122</v>
      </c>
      <c r="B1" t="s">
        <v>59</v>
      </c>
    </row>
    <row r="2" spans="1:2" x14ac:dyDescent="0.35">
      <c r="A2" s="15" t="s">
        <v>25</v>
      </c>
      <c r="B2">
        <v>1.7999999999999999E-2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K44"/>
  <sheetViews>
    <sheetView topLeftCell="A46" workbookViewId="0">
      <selection activeCell="D42" sqref="D42"/>
    </sheetView>
  </sheetViews>
  <sheetFormatPr defaultRowHeight="14.5" x14ac:dyDescent="0.35"/>
  <cols>
    <col min="1" max="1" width="46" bestFit="1" customWidth="1"/>
    <col min="2" max="2" width="19.1796875" bestFit="1" customWidth="1"/>
    <col min="3" max="3" width="14" bestFit="1" customWidth="1"/>
    <col min="4" max="4" width="13" bestFit="1" customWidth="1"/>
    <col min="5" max="5" width="12.26953125" bestFit="1" customWidth="1"/>
    <col min="6" max="6" width="15.54296875" bestFit="1" customWidth="1"/>
    <col min="7" max="7" width="45.7265625" bestFit="1" customWidth="1"/>
    <col min="8" max="8" width="10.54296875" bestFit="1" customWidth="1"/>
    <col min="9" max="9" width="12.1796875" bestFit="1" customWidth="1"/>
    <col min="10" max="10" width="11.54296875" bestFit="1" customWidth="1"/>
    <col min="11" max="11" width="14.81640625" bestFit="1" customWidth="1"/>
  </cols>
  <sheetData>
    <row r="2" spans="1:5" x14ac:dyDescent="0.35">
      <c r="B2" t="s">
        <v>141</v>
      </c>
      <c r="C2" t="s">
        <v>55</v>
      </c>
      <c r="E2" s="27" t="s">
        <v>236</v>
      </c>
    </row>
    <row r="3" spans="1:5" x14ac:dyDescent="0.35">
      <c r="A3" t="s">
        <v>359</v>
      </c>
      <c r="B3" s="15" t="s">
        <v>142</v>
      </c>
    </row>
    <row r="4" spans="1:5" x14ac:dyDescent="0.35">
      <c r="B4" s="15" t="s">
        <v>143</v>
      </c>
      <c r="C4">
        <v>1E-4</v>
      </c>
      <c r="E4">
        <f>VALUE(LEFT(TD_Savings_Accounts[[#This Row],[Account Balance]],FIND(" ",TD_Savings_Accounts[[#This Row],[Account Balance]])))</f>
        <v>0</v>
      </c>
    </row>
    <row r="5" spans="1:5" x14ac:dyDescent="0.35">
      <c r="B5" s="15" t="s">
        <v>144</v>
      </c>
      <c r="C5">
        <v>1E-4</v>
      </c>
      <c r="E5">
        <f>VALUE(LEFT(TD_Savings_Accounts[[#This Row],[Account Balance]],FIND(" ",TD_Savings_Accounts[[#This Row],[Account Balance]])))</f>
        <v>1000</v>
      </c>
    </row>
    <row r="6" spans="1:5" x14ac:dyDescent="0.35">
      <c r="B6" s="15" t="s">
        <v>145</v>
      </c>
      <c r="C6">
        <v>1E-4</v>
      </c>
      <c r="E6">
        <f>VALUE(LEFT(TD_Savings_Accounts[[#This Row],[Account Balance]],FIND(" ",TD_Savings_Accounts[[#This Row],[Account Balance]])))</f>
        <v>5000</v>
      </c>
    </row>
    <row r="7" spans="1:5" x14ac:dyDescent="0.35">
      <c r="B7" s="15" t="s">
        <v>146</v>
      </c>
      <c r="C7">
        <v>1E-4</v>
      </c>
      <c r="E7">
        <f>VALUE(LEFT(TD_Savings_Accounts[[#This Row],[Account Balance]],FIND(" ",TD_Savings_Accounts[[#This Row],[Account Balance]])))</f>
        <v>10000</v>
      </c>
    </row>
    <row r="8" spans="1:5" x14ac:dyDescent="0.35">
      <c r="B8" s="15" t="s">
        <v>147</v>
      </c>
      <c r="C8">
        <v>1E-4</v>
      </c>
      <c r="E8">
        <f>VALUE(LEFT(TD_Savings_Accounts[[#This Row],[Account Balance]],FIND(" ",TD_Savings_Accounts[[#This Row],[Account Balance]])))</f>
        <v>25000</v>
      </c>
    </row>
    <row r="9" spans="1:5" x14ac:dyDescent="0.35">
      <c r="B9" s="15" t="s">
        <v>148</v>
      </c>
      <c r="C9">
        <v>1E-4</v>
      </c>
      <c r="E9">
        <f>VALUE(LEFT(TD_Savings_Accounts[[#This Row],[Account Balance]],FIND(" ",TD_Savings_Accounts[[#This Row],[Account Balance]])))</f>
        <v>60000</v>
      </c>
    </row>
    <row r="10" spans="1:5" x14ac:dyDescent="0.35">
      <c r="B10" s="15" t="s">
        <v>149</v>
      </c>
    </row>
    <row r="11" spans="1:5" x14ac:dyDescent="0.35">
      <c r="B11" s="15" t="s">
        <v>150</v>
      </c>
      <c r="C11">
        <v>0</v>
      </c>
      <c r="E11">
        <f>VALUE(LEFT(TD_Savings_Accounts[[#This Row],[Account Balance]],FIND(" ",TD_Savings_Accounts[[#This Row],[Account Balance]])))</f>
        <v>0</v>
      </c>
    </row>
    <row r="12" spans="1:5" x14ac:dyDescent="0.35">
      <c r="B12" s="15" t="s">
        <v>332</v>
      </c>
      <c r="C12">
        <v>5.0000000000000001E-4</v>
      </c>
      <c r="E12">
        <f>VALUE(LEFT(TD_Savings_Accounts[[#This Row],[Account Balance]],FIND(" ",TD_Savings_Accounts[[#This Row],[Account Balance]])))</f>
        <v>5000</v>
      </c>
    </row>
    <row r="13" spans="1:5" x14ac:dyDescent="0.35">
      <c r="B13" s="15" t="s">
        <v>333</v>
      </c>
      <c r="C13">
        <v>5.0000000000000001E-4</v>
      </c>
      <c r="E13">
        <f>VALUE(LEFT(TD_Savings_Accounts[[#This Row],[Account Balance]],FIND(" ",TD_Savings_Accounts[[#This Row],[Account Balance]])))</f>
        <v>50000</v>
      </c>
    </row>
    <row r="14" spans="1:5" x14ac:dyDescent="0.35">
      <c r="B14" s="15" t="s">
        <v>338</v>
      </c>
      <c r="C14">
        <v>5.0000000000000001E-4</v>
      </c>
      <c r="E14">
        <f>VALUE(LEFT(TD_Savings_Accounts[[#This Row],[Account Balance]],FIND(" ",TD_Savings_Accounts[[#This Row],[Account Balance]])))</f>
        <v>100000</v>
      </c>
    </row>
    <row r="15" spans="1:5" x14ac:dyDescent="0.35">
      <c r="B15" s="15" t="s">
        <v>334</v>
      </c>
      <c r="C15">
        <v>5.0000000000000001E-4</v>
      </c>
      <c r="E15">
        <f>VALUE(LEFT(TD_Savings_Accounts[[#This Row],[Account Balance]],FIND(" ",TD_Savings_Accounts[[#This Row],[Account Balance]])))</f>
        <v>250000</v>
      </c>
    </row>
    <row r="16" spans="1:5" x14ac:dyDescent="0.35">
      <c r="B16" s="15" t="s">
        <v>335</v>
      </c>
      <c r="C16">
        <v>5.0000000000000001E-4</v>
      </c>
      <c r="E16">
        <f>VALUE(LEFT(TD_Savings_Accounts[[#This Row],[Account Balance]],FIND(" ",TD_Savings_Accounts[[#This Row],[Account Balance]])))</f>
        <v>1000000.01</v>
      </c>
    </row>
    <row r="17" spans="1:5" x14ac:dyDescent="0.35">
      <c r="B17" s="15" t="s">
        <v>151</v>
      </c>
    </row>
    <row r="18" spans="1:5" x14ac:dyDescent="0.35">
      <c r="B18" s="15" t="s">
        <v>336</v>
      </c>
      <c r="C18">
        <v>0</v>
      </c>
      <c r="E18">
        <f>VALUE(LEFT(TD_Savings_Accounts[[#This Row],[Account Balance]],FIND(" ",TD_Savings_Accounts[[#This Row],[Account Balance]])))</f>
        <v>0</v>
      </c>
    </row>
    <row r="19" spans="1:5" x14ac:dyDescent="0.35">
      <c r="B19" s="15" t="s">
        <v>337</v>
      </c>
      <c r="C19">
        <v>1E-3</v>
      </c>
      <c r="E19">
        <f>VALUE(LEFT(TD_Savings_Accounts[[#This Row],[Account Balance]],FIND(" ",TD_Savings_Accounts[[#This Row],[Account Balance]])))</f>
        <v>10000</v>
      </c>
    </row>
    <row r="20" spans="1:5" x14ac:dyDescent="0.35">
      <c r="B20" s="15" t="s">
        <v>333</v>
      </c>
      <c r="C20">
        <v>1E-3</v>
      </c>
      <c r="E20">
        <f>VALUE(LEFT(TD_Savings_Accounts[[#This Row],[Account Balance]],FIND(" ",TD_Savings_Accounts[[#This Row],[Account Balance]])))</f>
        <v>50000</v>
      </c>
    </row>
    <row r="21" spans="1:5" x14ac:dyDescent="0.35">
      <c r="B21" s="15" t="s">
        <v>338</v>
      </c>
      <c r="C21">
        <v>1E-3</v>
      </c>
      <c r="E21">
        <f>VALUE(LEFT(TD_Savings_Accounts[[#This Row],[Account Balance]],FIND(" ",TD_Savings_Accounts[[#This Row],[Account Balance]])))</f>
        <v>100000</v>
      </c>
    </row>
    <row r="22" spans="1:5" x14ac:dyDescent="0.35">
      <c r="B22" s="15" t="s">
        <v>334</v>
      </c>
      <c r="C22">
        <v>1E-3</v>
      </c>
      <c r="E22">
        <f>VALUE(LEFT(TD_Savings_Accounts[[#This Row],[Account Balance]],FIND(" ",TD_Savings_Accounts[[#This Row],[Account Balance]])))</f>
        <v>250000</v>
      </c>
    </row>
    <row r="23" spans="1:5" x14ac:dyDescent="0.35">
      <c r="B23" s="15" t="s">
        <v>335</v>
      </c>
      <c r="C23">
        <v>1E-3</v>
      </c>
      <c r="E23">
        <f>VALUE(LEFT(TD_Savings_Accounts[[#This Row],[Account Balance]],FIND(" ",TD_Savings_Accounts[[#This Row],[Account Balance]])))</f>
        <v>1000000.01</v>
      </c>
    </row>
    <row r="24" spans="1:5" x14ac:dyDescent="0.35">
      <c r="B24" s="15" t="s">
        <v>152</v>
      </c>
    </row>
    <row r="25" spans="1:5" x14ac:dyDescent="0.35">
      <c r="B25" s="15" t="s">
        <v>150</v>
      </c>
      <c r="C25">
        <v>1E-4</v>
      </c>
      <c r="E25">
        <f>VALUE(LEFT(TD_Savings_Accounts[[#This Row],[Account Balance]],FIND(" ",TD_Savings_Accounts[[#This Row],[Account Balance]])))</f>
        <v>0</v>
      </c>
    </row>
    <row r="26" spans="1:5" x14ac:dyDescent="0.35">
      <c r="B26" s="15" t="s">
        <v>153</v>
      </c>
      <c r="C26">
        <v>1E-4</v>
      </c>
      <c r="E26">
        <f>VALUE(LEFT(TD_Savings_Accounts[[#This Row],[Account Balance]],FIND(" ",TD_Savings_Accounts[[#This Row],[Account Balance]])))</f>
        <v>5000</v>
      </c>
    </row>
    <row r="29" spans="1:5" x14ac:dyDescent="0.35">
      <c r="A29" t="s">
        <v>320</v>
      </c>
      <c r="B29" s="30" t="s">
        <v>141</v>
      </c>
      <c r="C29" s="30" t="s">
        <v>55</v>
      </c>
      <c r="D29" s="30"/>
      <c r="E29" s="27"/>
    </row>
    <row r="30" spans="1:5" x14ac:dyDescent="0.35">
      <c r="B30" s="15" t="s">
        <v>143</v>
      </c>
      <c r="C30" s="15">
        <v>1E-4</v>
      </c>
      <c r="D30" s="30"/>
      <c r="E30" s="15">
        <f>VALUE(LEFT(TD_US_Daily_Interest[[#This Row],[Account Balance]],FIND(" ",TD_US_Daily_Interest[[#This Row],[Account Balance]])))</f>
        <v>0</v>
      </c>
    </row>
    <row r="31" spans="1:5" x14ac:dyDescent="0.35">
      <c r="B31" s="15" t="s">
        <v>144</v>
      </c>
      <c r="C31" s="15">
        <v>1E-4</v>
      </c>
      <c r="D31" s="30"/>
      <c r="E31" s="15">
        <f>VALUE(LEFT(TD_US_Daily_Interest[[#This Row],[Account Balance]],FIND(" ",TD_US_Daily_Interest[[#This Row],[Account Balance]])))</f>
        <v>1000</v>
      </c>
    </row>
    <row r="32" spans="1:5" x14ac:dyDescent="0.35">
      <c r="B32" s="15" t="s">
        <v>145</v>
      </c>
      <c r="C32" s="15">
        <v>1E-4</v>
      </c>
      <c r="D32" s="30"/>
      <c r="E32" s="15">
        <f>VALUE(LEFT(TD_US_Daily_Interest[[#This Row],[Account Balance]],FIND(" ",TD_US_Daily_Interest[[#This Row],[Account Balance]])))</f>
        <v>5000</v>
      </c>
    </row>
    <row r="33" spans="1:11" x14ac:dyDescent="0.35">
      <c r="B33" s="15" t="s">
        <v>146</v>
      </c>
      <c r="C33" s="15">
        <v>1E-4</v>
      </c>
      <c r="D33" s="30"/>
      <c r="E33" s="15">
        <f>VALUE(LEFT(TD_US_Daily_Interest[[#This Row],[Account Balance]],FIND(" ",TD_US_Daily_Interest[[#This Row],[Account Balance]])))</f>
        <v>10000</v>
      </c>
    </row>
    <row r="34" spans="1:11" x14ac:dyDescent="0.35">
      <c r="B34" s="15" t="s">
        <v>147</v>
      </c>
      <c r="C34" s="15">
        <v>1E-4</v>
      </c>
      <c r="D34" s="30"/>
      <c r="E34" s="15">
        <f>VALUE(LEFT(TD_US_Daily_Interest[[#This Row],[Account Balance]],FIND(" ",TD_US_Daily_Interest[[#This Row],[Account Balance]])))</f>
        <v>25000</v>
      </c>
    </row>
    <row r="35" spans="1:11" x14ac:dyDescent="0.35">
      <c r="B35" s="15" t="s">
        <v>148</v>
      </c>
      <c r="C35" s="15">
        <v>1E-4</v>
      </c>
      <c r="D35" s="30"/>
      <c r="E35" s="15">
        <f>VALUE(LEFT(TD_US_Daily_Interest[[#This Row],[Account Balance]],FIND(" ",TD_US_Daily_Interest[[#This Row],[Account Balance]])))</f>
        <v>60000</v>
      </c>
    </row>
    <row r="36" spans="1:11" x14ac:dyDescent="0.35">
      <c r="B36" s="15" t="s">
        <v>385</v>
      </c>
      <c r="C36" s="15"/>
    </row>
    <row r="37" spans="1:11" x14ac:dyDescent="0.35">
      <c r="B37" s="15" t="s">
        <v>123</v>
      </c>
      <c r="C37" s="15">
        <v>0</v>
      </c>
    </row>
    <row r="39" spans="1:11" x14ac:dyDescent="0.35">
      <c r="A39" t="s">
        <v>358</v>
      </c>
      <c r="G39" t="s">
        <v>204</v>
      </c>
      <c r="H39" t="s">
        <v>205</v>
      </c>
      <c r="I39" t="s">
        <v>206</v>
      </c>
      <c r="J39" t="s">
        <v>207</v>
      </c>
      <c r="K39" t="s">
        <v>208</v>
      </c>
    </row>
    <row r="40" spans="1:11" x14ac:dyDescent="0.35">
      <c r="G40" s="15" t="s">
        <v>209</v>
      </c>
      <c r="H40" s="15" t="s">
        <v>166</v>
      </c>
      <c r="I40">
        <v>1000</v>
      </c>
      <c r="J40" s="15" t="s">
        <v>210</v>
      </c>
      <c r="K40">
        <v>2.5000000000000001E-3</v>
      </c>
    </row>
    <row r="41" spans="1:11" x14ac:dyDescent="0.35">
      <c r="G41" s="15" t="s">
        <v>211</v>
      </c>
      <c r="H41" s="15" t="s">
        <v>167</v>
      </c>
      <c r="I41">
        <v>1000</v>
      </c>
      <c r="J41" s="15" t="s">
        <v>210</v>
      </c>
      <c r="K41">
        <v>2.5000000000000001E-3</v>
      </c>
    </row>
    <row r="42" spans="1:11" x14ac:dyDescent="0.35">
      <c r="G42" s="15" t="s">
        <v>212</v>
      </c>
      <c r="H42" s="15" t="s">
        <v>166</v>
      </c>
      <c r="I42">
        <v>1000</v>
      </c>
      <c r="J42" s="15" t="s">
        <v>192</v>
      </c>
      <c r="K42">
        <v>2.5000000000000001E-3</v>
      </c>
    </row>
    <row r="43" spans="1:11" x14ac:dyDescent="0.35">
      <c r="G43" s="15" t="s">
        <v>213</v>
      </c>
      <c r="H43" s="15" t="s">
        <v>166</v>
      </c>
      <c r="I43">
        <v>1000</v>
      </c>
      <c r="J43" s="15" t="s">
        <v>192</v>
      </c>
      <c r="K43">
        <v>2.5000000000000001E-3</v>
      </c>
    </row>
    <row r="44" spans="1:11" x14ac:dyDescent="0.35">
      <c r="G44" s="15" t="s">
        <v>214</v>
      </c>
      <c r="H44" s="15" t="s">
        <v>166</v>
      </c>
      <c r="I44">
        <v>1000</v>
      </c>
      <c r="J44" s="15" t="s">
        <v>192</v>
      </c>
      <c r="K44">
        <v>2.5000000000000001E-3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A2CE-4D04-4818-8569-EAA349E94289}">
  <sheetPr codeName="Sheet9"/>
  <dimension ref="A1:I169"/>
  <sheetViews>
    <sheetView workbookViewId="0">
      <selection activeCell="C4" sqref="C4"/>
    </sheetView>
  </sheetViews>
  <sheetFormatPr defaultRowHeight="14.5" x14ac:dyDescent="0.35"/>
  <cols>
    <col min="1" max="1" width="68.453125" bestFit="1" customWidth="1"/>
    <col min="2" max="2" width="25.36328125" bestFit="1" customWidth="1"/>
    <col min="3" max="3" width="17.26953125" bestFit="1" customWidth="1"/>
    <col min="4" max="4" width="6.90625" bestFit="1" customWidth="1"/>
    <col min="5" max="5" width="14.08984375" bestFit="1" customWidth="1"/>
  </cols>
  <sheetData>
    <row r="1" spans="1:8" x14ac:dyDescent="0.35">
      <c r="A1" t="s">
        <v>289</v>
      </c>
      <c r="B1" t="s">
        <v>165</v>
      </c>
      <c r="C1" t="s">
        <v>166</v>
      </c>
      <c r="D1" t="s">
        <v>167</v>
      </c>
      <c r="E1" t="s">
        <v>236</v>
      </c>
    </row>
    <row r="2" spans="1:8" x14ac:dyDescent="0.35">
      <c r="B2" s="15" t="s">
        <v>168</v>
      </c>
      <c r="C2">
        <v>2E-3</v>
      </c>
      <c r="D2">
        <v>1.5E-3</v>
      </c>
      <c r="E2">
        <v>500</v>
      </c>
    </row>
    <row r="3" spans="1:8" x14ac:dyDescent="0.35">
      <c r="B3" s="15" t="s">
        <v>169</v>
      </c>
      <c r="C3">
        <v>3.5000000000000001E-3</v>
      </c>
      <c r="D3">
        <v>3.0000000000000001E-3</v>
      </c>
    </row>
    <row r="4" spans="1:8" x14ac:dyDescent="0.35">
      <c r="B4" s="15" t="s">
        <v>170</v>
      </c>
      <c r="C4">
        <v>2E-3</v>
      </c>
      <c r="D4">
        <v>1.5E-3</v>
      </c>
    </row>
    <row r="5" spans="1:8" x14ac:dyDescent="0.35">
      <c r="B5" s="15" t="s">
        <v>171</v>
      </c>
      <c r="C5">
        <v>3.0000000000000001E-3</v>
      </c>
      <c r="D5">
        <v>2.5000000000000001E-3</v>
      </c>
    </row>
    <row r="6" spans="1:8" x14ac:dyDescent="0.35">
      <c r="B6" s="15" t="s">
        <v>172</v>
      </c>
      <c r="C6">
        <v>2.5000000000000001E-3</v>
      </c>
      <c r="D6">
        <v>2E-3</v>
      </c>
    </row>
    <row r="7" spans="1:8" x14ac:dyDescent="0.35">
      <c r="B7" s="15" t="s">
        <v>173</v>
      </c>
      <c r="C7">
        <v>3.5000000000000001E-3</v>
      </c>
      <c r="D7">
        <v>3.0000000000000001E-3</v>
      </c>
    </row>
    <row r="12" spans="1:8" x14ac:dyDescent="0.35">
      <c r="B12" t="s">
        <v>246</v>
      </c>
      <c r="C12" t="s">
        <v>56</v>
      </c>
      <c r="E12" s="27" t="s">
        <v>236</v>
      </c>
    </row>
    <row r="13" spans="1:8" x14ac:dyDescent="0.35">
      <c r="A13" t="s">
        <v>277</v>
      </c>
      <c r="B13" s="30" t="s">
        <v>432</v>
      </c>
      <c r="C13" s="30" t="s">
        <v>433</v>
      </c>
      <c r="E13">
        <f>IF(LEFT(RBC_Personal_Accounts[[#This Row],[If Balance is]],1)&lt;&gt;"$",0,VALUE(LEFT(RBC_Personal_Accounts[[#This Row],[If Balance is]],FIND(" ",RBC_Personal_Accounts[[#This Row],[If Balance is]]))))</f>
        <v>0</v>
      </c>
      <c r="H13">
        <v>157</v>
      </c>
    </row>
    <row r="14" spans="1:8" x14ac:dyDescent="0.35">
      <c r="B14" s="30" t="s">
        <v>434</v>
      </c>
      <c r="C14" s="30" t="s">
        <v>433</v>
      </c>
      <c r="E14" s="30">
        <f>IF(LEFT(RBC_Personal_Accounts[[#This Row],[If Balance is]],1)&lt;&gt;"$",0,VALUE(LEFT(RBC_Personal_Accounts[[#This Row],[If Balance is]],FIND(" ",RBC_Personal_Accounts[[#This Row],[If Balance is]]))))</f>
        <v>1000</v>
      </c>
      <c r="H14">
        <v>156</v>
      </c>
    </row>
    <row r="15" spans="1:8" x14ac:dyDescent="0.35">
      <c r="B15" s="30" t="s">
        <v>435</v>
      </c>
      <c r="C15" s="30" t="s">
        <v>433</v>
      </c>
      <c r="E15" s="30">
        <f>IF(LEFT(RBC_Personal_Accounts[[#This Row],[If Balance is]],1)&lt;&gt;"$",0,VALUE(LEFT(RBC_Personal_Accounts[[#This Row],[If Balance is]],FIND(" ",RBC_Personal_Accounts[[#This Row],[If Balance is]]))))</f>
        <v>3000</v>
      </c>
      <c r="H15">
        <v>155</v>
      </c>
    </row>
    <row r="16" spans="1:8" x14ac:dyDescent="0.35">
      <c r="B16" s="30" t="s">
        <v>379</v>
      </c>
      <c r="C16" s="30" t="s">
        <v>436</v>
      </c>
      <c r="E16" s="30">
        <f>IF(LEFT(RBC_Personal_Accounts[[#This Row],[If Balance is]],1)&lt;&gt;"$",0,VALUE(LEFT(RBC_Personal_Accounts[[#This Row],[If Balance is]],FIND(" ",RBC_Personal_Accounts[[#This Row],[If Balance is]]))))</f>
        <v>5000</v>
      </c>
      <c r="H16">
        <v>154</v>
      </c>
    </row>
    <row r="17" spans="1:9" x14ac:dyDescent="0.35">
      <c r="B17" s="30" t="s">
        <v>58</v>
      </c>
      <c r="C17" s="30" t="s">
        <v>436</v>
      </c>
      <c r="E17" s="30">
        <f>IF(LEFT(RBC_Personal_Accounts[[#This Row],[If Balance is]],1)&lt;&gt;"$",0,VALUE(LEFT(RBC_Personal_Accounts[[#This Row],[If Balance is]],FIND(" ",RBC_Personal_Accounts[[#This Row],[If Balance is]]))))</f>
        <v>25000</v>
      </c>
      <c r="H17">
        <v>153</v>
      </c>
    </row>
    <row r="18" spans="1:9" x14ac:dyDescent="0.35">
      <c r="B18" s="30" t="s">
        <v>437</v>
      </c>
      <c r="C18" s="30" t="s">
        <v>438</v>
      </c>
      <c r="E18" s="30">
        <f>IF(LEFT(RBC_Personal_Accounts[[#This Row],[If Balance is]],1)&lt;&gt;"$",0,VALUE(LEFT(RBC_Personal_Accounts[[#This Row],[If Balance is]],FIND(" ",RBC_Personal_Accounts[[#This Row],[If Balance is]]))))</f>
        <v>60000</v>
      </c>
      <c r="H18">
        <v>152</v>
      </c>
    </row>
    <row r="19" spans="1:9" x14ac:dyDescent="0.35">
      <c r="A19" t="s">
        <v>276</v>
      </c>
      <c r="B19" s="30" t="s">
        <v>432</v>
      </c>
      <c r="C19" s="30" t="s">
        <v>433</v>
      </c>
      <c r="E19" s="30">
        <f>IF(LEFT(RBC_Personal_Accounts[[#This Row],[If Balance is]],1)&lt;&gt;"$",0,VALUE(LEFT(RBC_Personal_Accounts[[#This Row],[If Balance is]],FIND(" ",RBC_Personal_Accounts[[#This Row],[If Balance is]]))))</f>
        <v>0</v>
      </c>
      <c r="H19">
        <v>151</v>
      </c>
      <c r="I19" t="s">
        <v>277</v>
      </c>
    </row>
    <row r="20" spans="1:9" x14ac:dyDescent="0.35">
      <c r="B20" s="30" t="s">
        <v>434</v>
      </c>
      <c r="C20" s="30" t="s">
        <v>433</v>
      </c>
      <c r="E20" s="30">
        <f>IF(LEFT(RBC_Personal_Accounts[[#This Row],[If Balance is]],1)&lt;&gt;"$",0,VALUE(LEFT(RBC_Personal_Accounts[[#This Row],[If Balance is]],FIND(" ",RBC_Personal_Accounts[[#This Row],[If Balance is]]))))</f>
        <v>1000</v>
      </c>
      <c r="H20">
        <v>150</v>
      </c>
    </row>
    <row r="21" spans="1:9" x14ac:dyDescent="0.35">
      <c r="B21" s="30" t="s">
        <v>435</v>
      </c>
      <c r="C21" s="30" t="s">
        <v>436</v>
      </c>
      <c r="E21" s="30">
        <f>IF(LEFT(RBC_Personal_Accounts[[#This Row],[If Balance is]],1)&lt;&gt;"$",0,VALUE(LEFT(RBC_Personal_Accounts[[#This Row],[If Balance is]],FIND(" ",RBC_Personal_Accounts[[#This Row],[If Balance is]]))))</f>
        <v>3000</v>
      </c>
      <c r="H21">
        <v>149</v>
      </c>
    </row>
    <row r="22" spans="1:9" x14ac:dyDescent="0.35">
      <c r="B22" s="30" t="s">
        <v>439</v>
      </c>
      <c r="C22" s="30" t="s">
        <v>438</v>
      </c>
      <c r="E22" s="30">
        <f>IF(LEFT(RBC_Personal_Accounts[[#This Row],[If Balance is]],1)&lt;&gt;"$",0,VALUE(LEFT(RBC_Personal_Accounts[[#This Row],[If Balance is]],FIND(" ",RBC_Personal_Accounts[[#This Row],[If Balance is]]))))</f>
        <v>5000</v>
      </c>
      <c r="H22">
        <v>148</v>
      </c>
    </row>
    <row r="23" spans="1:9" x14ac:dyDescent="0.35">
      <c r="A23" t="s">
        <v>275</v>
      </c>
      <c r="B23" s="30" t="s">
        <v>432</v>
      </c>
      <c r="C23" s="30" t="s">
        <v>440</v>
      </c>
      <c r="E23" s="30">
        <f>IF(LEFT(RBC_Personal_Accounts[[#This Row],[If Balance is]],1)&lt;&gt;"$",0,VALUE(LEFT(RBC_Personal_Accounts[[#This Row],[If Balance is]],FIND(" ",RBC_Personal_Accounts[[#This Row],[If Balance is]]))))</f>
        <v>0</v>
      </c>
      <c r="H23">
        <v>147</v>
      </c>
      <c r="I23" t="s">
        <v>276</v>
      </c>
    </row>
    <row r="24" spans="1:9" x14ac:dyDescent="0.35">
      <c r="B24" s="30" t="s">
        <v>434</v>
      </c>
      <c r="C24" s="30" t="s">
        <v>441</v>
      </c>
      <c r="E24" s="30">
        <f>IF(LEFT(RBC_Personal_Accounts[[#This Row],[If Balance is]],1)&lt;&gt;"$",0,VALUE(LEFT(RBC_Personal_Accounts[[#This Row],[If Balance is]],FIND(" ",RBC_Personal_Accounts[[#This Row],[If Balance is]]))))</f>
        <v>1000</v>
      </c>
      <c r="H24">
        <v>146</v>
      </c>
    </row>
    <row r="25" spans="1:9" x14ac:dyDescent="0.35">
      <c r="B25" s="30" t="s">
        <v>435</v>
      </c>
      <c r="C25" s="30" t="s">
        <v>442</v>
      </c>
      <c r="E25" s="30">
        <f>IF(LEFT(RBC_Personal_Accounts[[#This Row],[If Balance is]],1)&lt;&gt;"$",0,VALUE(LEFT(RBC_Personal_Accounts[[#This Row],[If Balance is]],FIND(" ",RBC_Personal_Accounts[[#This Row],[If Balance is]]))))</f>
        <v>3000</v>
      </c>
      <c r="H25">
        <v>145</v>
      </c>
    </row>
    <row r="26" spans="1:9" x14ac:dyDescent="0.35">
      <c r="B26" s="30" t="s">
        <v>439</v>
      </c>
      <c r="C26" s="30" t="s">
        <v>442</v>
      </c>
      <c r="E26" s="30">
        <f>IF(LEFT(RBC_Personal_Accounts[[#This Row],[If Balance is]],1)&lt;&gt;"$",0,VALUE(LEFT(RBC_Personal_Accounts[[#This Row],[If Balance is]],FIND(" ",RBC_Personal_Accounts[[#This Row],[If Balance is]]))))</f>
        <v>5000</v>
      </c>
      <c r="H26">
        <v>144</v>
      </c>
    </row>
    <row r="27" spans="1:9" x14ac:dyDescent="0.35">
      <c r="A27" t="s">
        <v>274</v>
      </c>
      <c r="B27" s="30" t="s">
        <v>443</v>
      </c>
      <c r="C27" s="30" t="s">
        <v>433</v>
      </c>
      <c r="E27" s="30">
        <f>IF(LEFT(RBC_Personal_Accounts[[#This Row],[If Balance is]],1)&lt;&gt;"$",0,VALUE(LEFT(RBC_Personal_Accounts[[#This Row],[If Balance is]],FIND(" ",RBC_Personal_Accounts[[#This Row],[If Balance is]]))))</f>
        <v>0</v>
      </c>
      <c r="H27">
        <v>143</v>
      </c>
      <c r="I27" t="s">
        <v>275</v>
      </c>
    </row>
    <row r="28" spans="1:9" x14ac:dyDescent="0.35">
      <c r="B28" s="30" t="s">
        <v>444</v>
      </c>
      <c r="C28" s="30" t="s">
        <v>436</v>
      </c>
      <c r="E28" s="30">
        <f>IF(LEFT(RBC_Personal_Accounts[[#This Row],[If Balance is]],1)&lt;&gt;"$",0,VALUE(LEFT(RBC_Personal_Accounts[[#This Row],[If Balance is]],FIND(" ",RBC_Personal_Accounts[[#This Row],[If Balance is]]))))</f>
        <v>5000</v>
      </c>
      <c r="H28">
        <v>142</v>
      </c>
    </row>
    <row r="29" spans="1:9" x14ac:dyDescent="0.35">
      <c r="B29" s="30" t="s">
        <v>445</v>
      </c>
      <c r="C29" s="30" t="s">
        <v>440</v>
      </c>
      <c r="E29" s="30">
        <f>IF(LEFT(RBC_Personal_Accounts[[#This Row],[If Balance is]],1)&lt;&gt;"$",0,VALUE(LEFT(RBC_Personal_Accounts[[#This Row],[If Balance is]],FIND(" ",RBC_Personal_Accounts[[#This Row],[If Balance is]]))))</f>
        <v>10000</v>
      </c>
      <c r="H29">
        <v>141</v>
      </c>
    </row>
    <row r="30" spans="1:9" x14ac:dyDescent="0.35">
      <c r="B30" s="30" t="s">
        <v>58</v>
      </c>
      <c r="C30" s="30" t="s">
        <v>441</v>
      </c>
      <c r="E30" s="30">
        <f>IF(LEFT(RBC_Personal_Accounts[[#This Row],[If Balance is]],1)&lt;&gt;"$",0,VALUE(LEFT(RBC_Personal_Accounts[[#This Row],[If Balance is]],FIND(" ",RBC_Personal_Accounts[[#This Row],[If Balance is]]))))</f>
        <v>25000</v>
      </c>
      <c r="H30">
        <v>140</v>
      </c>
    </row>
    <row r="31" spans="1:9" x14ac:dyDescent="0.35">
      <c r="B31" s="30" t="s">
        <v>57</v>
      </c>
      <c r="C31" s="30" t="s">
        <v>442</v>
      </c>
      <c r="E31" s="30">
        <f>IF(LEFT(RBC_Personal_Accounts[[#This Row],[If Balance is]],1)&lt;&gt;"$",0,VALUE(LEFT(RBC_Personal_Accounts[[#This Row],[If Balance is]],FIND(" ",RBC_Personal_Accounts[[#This Row],[If Balance is]]))))</f>
        <v>60000</v>
      </c>
      <c r="H31">
        <v>139</v>
      </c>
    </row>
    <row r="32" spans="1:9" x14ac:dyDescent="0.35">
      <c r="B32" s="30" t="s">
        <v>446</v>
      </c>
      <c r="C32" s="30" t="s">
        <v>442</v>
      </c>
      <c r="E32" s="30">
        <f>IF(LEFT(RBC_Personal_Accounts[[#This Row],[If Balance is]],1)&lt;&gt;"$",0,VALUE(LEFT(RBC_Personal_Accounts[[#This Row],[If Balance is]],FIND(" ",RBC_Personal_Accounts[[#This Row],[If Balance is]]))))</f>
        <v>100000</v>
      </c>
      <c r="H32">
        <v>138</v>
      </c>
    </row>
    <row r="33" spans="1:9" x14ac:dyDescent="0.35">
      <c r="B33" s="30" t="s">
        <v>447</v>
      </c>
      <c r="C33" s="30" t="s">
        <v>442</v>
      </c>
      <c r="E33" s="30">
        <f>IF(LEFT(RBC_Personal_Accounts[[#This Row],[If Balance is]],1)&lt;&gt;"$",0,VALUE(LEFT(RBC_Personal_Accounts[[#This Row],[If Balance is]],FIND(" ",RBC_Personal_Accounts[[#This Row],[If Balance is]]))))</f>
        <v>150000</v>
      </c>
      <c r="H33">
        <v>137</v>
      </c>
    </row>
    <row r="34" spans="1:9" x14ac:dyDescent="0.35">
      <c r="B34" s="30" t="s">
        <v>448</v>
      </c>
      <c r="C34" s="30" t="s">
        <v>442</v>
      </c>
      <c r="E34" s="30">
        <f>IF(LEFT(RBC_Personal_Accounts[[#This Row],[If Balance is]],1)&lt;&gt;"$",0,VALUE(LEFT(RBC_Personal_Accounts[[#This Row],[If Balance is]],FIND(" ",RBC_Personal_Accounts[[#This Row],[If Balance is]]))))</f>
        <v>250000</v>
      </c>
      <c r="H34">
        <v>136</v>
      </c>
    </row>
    <row r="35" spans="1:9" x14ac:dyDescent="0.35">
      <c r="A35" t="s">
        <v>273</v>
      </c>
      <c r="B35" s="30" t="s">
        <v>449</v>
      </c>
      <c r="C35" s="30" t="s">
        <v>440</v>
      </c>
      <c r="E35" s="30">
        <f>IF(LEFT(RBC_Personal_Accounts[[#This Row],[If Balance is]],1)&lt;&gt;"$",0,VALUE(LEFT(RBC_Personal_Accounts[[#This Row],[If Balance is]],FIND(" ",RBC_Personal_Accounts[[#This Row],[If Balance is]]))))</f>
        <v>0</v>
      </c>
      <c r="H35">
        <v>135</v>
      </c>
      <c r="I35" t="s">
        <v>274</v>
      </c>
    </row>
    <row r="36" spans="1:9" x14ac:dyDescent="0.35">
      <c r="B36" s="30" t="s">
        <v>450</v>
      </c>
      <c r="C36" s="30" t="s">
        <v>440</v>
      </c>
      <c r="E36" s="30">
        <f>IF(LEFT(RBC_Personal_Accounts[[#This Row],[If Balance is]],1)&lt;&gt;"$",0,VALUE(LEFT(RBC_Personal_Accounts[[#This Row],[If Balance is]],FIND(" ",RBC_Personal_Accounts[[#This Row],[If Balance is]]))))</f>
        <v>1000</v>
      </c>
      <c r="H36">
        <v>134</v>
      </c>
    </row>
    <row r="37" spans="1:9" x14ac:dyDescent="0.35">
      <c r="B37" s="30" t="s">
        <v>451</v>
      </c>
      <c r="C37" s="30" t="s">
        <v>440</v>
      </c>
      <c r="E37" s="30">
        <f>IF(LEFT(RBC_Personal_Accounts[[#This Row],[If Balance is]],1)&lt;&gt;"$",0,VALUE(LEFT(RBC_Personal_Accounts[[#This Row],[If Balance is]],FIND(" ",RBC_Personal_Accounts[[#This Row],[If Balance is]]))))</f>
        <v>3000</v>
      </c>
      <c r="H37">
        <v>133</v>
      </c>
    </row>
    <row r="38" spans="1:9" x14ac:dyDescent="0.35">
      <c r="B38" s="30" t="s">
        <v>452</v>
      </c>
      <c r="C38" s="30" t="s">
        <v>440</v>
      </c>
      <c r="E38" s="30">
        <f>IF(LEFT(RBC_Personal_Accounts[[#This Row],[If Balance is]],1)&lt;&gt;"$",0,VALUE(LEFT(RBC_Personal_Accounts[[#This Row],[If Balance is]],FIND(" ",RBC_Personal_Accounts[[#This Row],[If Balance is]]))))</f>
        <v>5000</v>
      </c>
      <c r="H38">
        <v>132</v>
      </c>
    </row>
    <row r="39" spans="1:9" x14ac:dyDescent="0.35">
      <c r="B39" s="30" t="s">
        <v>453</v>
      </c>
      <c r="C39" s="30" t="s">
        <v>440</v>
      </c>
      <c r="E39" s="30">
        <f>IF(LEFT(RBC_Personal_Accounts[[#This Row],[If Balance is]],1)&lt;&gt;"$",0,VALUE(LEFT(RBC_Personal_Accounts[[#This Row],[If Balance is]],FIND(" ",RBC_Personal_Accounts[[#This Row],[If Balance is]]))))</f>
        <v>10000</v>
      </c>
      <c r="H39">
        <v>131</v>
      </c>
    </row>
    <row r="40" spans="1:9" x14ac:dyDescent="0.35">
      <c r="B40" s="30" t="s">
        <v>454</v>
      </c>
      <c r="C40" s="30" t="s">
        <v>440</v>
      </c>
      <c r="E40" s="30">
        <f>IF(LEFT(RBC_Personal_Accounts[[#This Row],[If Balance is]],1)&lt;&gt;"$",0,VALUE(LEFT(RBC_Personal_Accounts[[#This Row],[If Balance is]],FIND(" ",RBC_Personal_Accounts[[#This Row],[If Balance is]]))))</f>
        <v>25000</v>
      </c>
      <c r="H40">
        <v>130</v>
      </c>
    </row>
    <row r="41" spans="1:9" x14ac:dyDescent="0.35">
      <c r="B41" s="30" t="s">
        <v>455</v>
      </c>
      <c r="C41" s="30" t="s">
        <v>456</v>
      </c>
      <c r="E41" s="30">
        <f>IF(LEFT(RBC_Personal_Accounts[[#This Row],[If Balance is]],1)&lt;&gt;"$",0,VALUE(LEFT(RBC_Personal_Accounts[[#This Row],[If Balance is]],FIND(" ",RBC_Personal_Accounts[[#This Row],[If Balance is]]))))</f>
        <v>60000</v>
      </c>
      <c r="H41">
        <v>129</v>
      </c>
    </row>
    <row r="42" spans="1:9" x14ac:dyDescent="0.35">
      <c r="B42" s="30" t="s">
        <v>457</v>
      </c>
      <c r="C42" s="30" t="s">
        <v>456</v>
      </c>
      <c r="E42" s="30">
        <f>IF(LEFT(RBC_Personal_Accounts[[#This Row],[If Balance is]],1)&lt;&gt;"$",0,VALUE(LEFT(RBC_Personal_Accounts[[#This Row],[If Balance is]],FIND(" ",RBC_Personal_Accounts[[#This Row],[If Balance is]]))))</f>
        <v>100000</v>
      </c>
      <c r="H42">
        <v>128</v>
      </c>
    </row>
    <row r="43" spans="1:9" x14ac:dyDescent="0.35">
      <c r="B43" s="30" t="s">
        <v>458</v>
      </c>
      <c r="C43" s="30" t="s">
        <v>456</v>
      </c>
      <c r="E43" s="30">
        <f>IF(LEFT(RBC_Personal_Accounts[[#This Row],[If Balance is]],1)&lt;&gt;"$",0,VALUE(LEFT(RBC_Personal_Accounts[[#This Row],[If Balance is]],FIND(" ",RBC_Personal_Accounts[[#This Row],[If Balance is]]))))</f>
        <v>150000</v>
      </c>
      <c r="H43">
        <v>127</v>
      </c>
    </row>
    <row r="44" spans="1:9" x14ac:dyDescent="0.35">
      <c r="B44" s="30" t="s">
        <v>448</v>
      </c>
      <c r="C44" s="30" t="s">
        <v>456</v>
      </c>
      <c r="E44" s="30">
        <f>IF(LEFT(RBC_Personal_Accounts[[#This Row],[If Balance is]],1)&lt;&gt;"$",0,VALUE(LEFT(RBC_Personal_Accounts[[#This Row],[If Balance is]],FIND(" ",RBC_Personal_Accounts[[#This Row],[If Balance is]]))))</f>
        <v>250000</v>
      </c>
      <c r="H44">
        <v>126</v>
      </c>
    </row>
    <row r="45" spans="1:9" x14ac:dyDescent="0.35">
      <c r="A45" t="s">
        <v>272</v>
      </c>
      <c r="B45" s="30" t="s">
        <v>432</v>
      </c>
      <c r="C45" s="30" t="s">
        <v>433</v>
      </c>
      <c r="E45" s="30">
        <f>IF(LEFT(RBC_Personal_Accounts[[#This Row],[If Balance is]],1)&lt;&gt;"$",0,VALUE(LEFT(RBC_Personal_Accounts[[#This Row],[If Balance is]],FIND(" ",RBC_Personal_Accounts[[#This Row],[If Balance is]]))))</f>
        <v>0</v>
      </c>
      <c r="H45">
        <v>125</v>
      </c>
      <c r="I45" t="s">
        <v>273</v>
      </c>
    </row>
    <row r="46" spans="1:9" x14ac:dyDescent="0.35">
      <c r="B46" s="30" t="s">
        <v>434</v>
      </c>
      <c r="C46" s="30" t="s">
        <v>433</v>
      </c>
      <c r="E46" s="30">
        <f>IF(LEFT(RBC_Personal_Accounts[[#This Row],[If Balance is]],1)&lt;&gt;"$",0,VALUE(LEFT(RBC_Personal_Accounts[[#This Row],[If Balance is]],FIND(" ",RBC_Personal_Accounts[[#This Row],[If Balance is]]))))</f>
        <v>1000</v>
      </c>
      <c r="H46">
        <v>124</v>
      </c>
    </row>
    <row r="47" spans="1:9" x14ac:dyDescent="0.35">
      <c r="B47" s="30" t="s">
        <v>435</v>
      </c>
      <c r="C47" s="30" t="s">
        <v>433</v>
      </c>
      <c r="E47" s="30">
        <f>IF(LEFT(RBC_Personal_Accounts[[#This Row],[If Balance is]],1)&lt;&gt;"$",0,VALUE(LEFT(RBC_Personal_Accounts[[#This Row],[If Balance is]],FIND(" ",RBC_Personal_Accounts[[#This Row],[If Balance is]]))))</f>
        <v>3000</v>
      </c>
      <c r="H47">
        <v>123</v>
      </c>
    </row>
    <row r="48" spans="1:9" x14ac:dyDescent="0.35">
      <c r="B48" s="30" t="s">
        <v>379</v>
      </c>
      <c r="C48" s="30" t="s">
        <v>436</v>
      </c>
      <c r="E48" s="30">
        <f>IF(LEFT(RBC_Personal_Accounts[[#This Row],[If Balance is]],1)&lt;&gt;"$",0,VALUE(LEFT(RBC_Personal_Accounts[[#This Row],[If Balance is]],FIND(" ",RBC_Personal_Accounts[[#This Row],[If Balance is]]))))</f>
        <v>5000</v>
      </c>
      <c r="H48">
        <v>122</v>
      </c>
    </row>
    <row r="49" spans="1:9" x14ac:dyDescent="0.35">
      <c r="B49" s="30" t="s">
        <v>58</v>
      </c>
      <c r="C49" s="30" t="s">
        <v>436</v>
      </c>
      <c r="E49" s="30">
        <f>IF(LEFT(RBC_Personal_Accounts[[#This Row],[If Balance is]],1)&lt;&gt;"$",0,VALUE(LEFT(RBC_Personal_Accounts[[#This Row],[If Balance is]],FIND(" ",RBC_Personal_Accounts[[#This Row],[If Balance is]]))))</f>
        <v>25000</v>
      </c>
      <c r="H49">
        <v>121</v>
      </c>
    </row>
    <row r="50" spans="1:9" x14ac:dyDescent="0.35">
      <c r="B50" s="30" t="s">
        <v>437</v>
      </c>
      <c r="C50" s="30" t="s">
        <v>438</v>
      </c>
      <c r="E50" s="30">
        <f>IF(LEFT(RBC_Personal_Accounts[[#This Row],[If Balance is]],1)&lt;&gt;"$",0,VALUE(LEFT(RBC_Personal_Accounts[[#This Row],[If Balance is]],FIND(" ",RBC_Personal_Accounts[[#This Row],[If Balance is]]))))</f>
        <v>60000</v>
      </c>
      <c r="H50">
        <v>120</v>
      </c>
    </row>
    <row r="51" spans="1:9" x14ac:dyDescent="0.35">
      <c r="A51" t="s">
        <v>271</v>
      </c>
      <c r="B51" s="30" t="s">
        <v>443</v>
      </c>
      <c r="C51" s="30" t="s">
        <v>433</v>
      </c>
      <c r="E51" s="30">
        <f>IF(LEFT(RBC_Personal_Accounts[[#This Row],[If Balance is]],1)&lt;&gt;"$",0,VALUE(LEFT(RBC_Personal_Accounts[[#This Row],[If Balance is]],FIND(" ",RBC_Personal_Accounts[[#This Row],[If Balance is]]))))</f>
        <v>0</v>
      </c>
      <c r="H51">
        <v>119</v>
      </c>
      <c r="I51" t="s">
        <v>272</v>
      </c>
    </row>
    <row r="52" spans="1:9" x14ac:dyDescent="0.35">
      <c r="B52" s="30" t="s">
        <v>444</v>
      </c>
      <c r="C52" s="30" t="s">
        <v>436</v>
      </c>
      <c r="E52" s="30">
        <f>IF(LEFT(RBC_Personal_Accounts[[#This Row],[If Balance is]],1)&lt;&gt;"$",0,VALUE(LEFT(RBC_Personal_Accounts[[#This Row],[If Balance is]],FIND(" ",RBC_Personal_Accounts[[#This Row],[If Balance is]]))))</f>
        <v>5000</v>
      </c>
      <c r="H52">
        <v>118</v>
      </c>
    </row>
    <row r="53" spans="1:9" x14ac:dyDescent="0.35">
      <c r="B53" s="30" t="s">
        <v>445</v>
      </c>
      <c r="C53" s="30" t="s">
        <v>440</v>
      </c>
      <c r="E53" s="30">
        <f>IF(LEFT(RBC_Personal_Accounts[[#This Row],[If Balance is]],1)&lt;&gt;"$",0,VALUE(LEFT(RBC_Personal_Accounts[[#This Row],[If Balance is]],FIND(" ",RBC_Personal_Accounts[[#This Row],[If Balance is]]))))</f>
        <v>10000</v>
      </c>
      <c r="H53">
        <v>117</v>
      </c>
    </row>
    <row r="54" spans="1:9" x14ac:dyDescent="0.35">
      <c r="B54" s="30" t="s">
        <v>58</v>
      </c>
      <c r="C54" s="30" t="s">
        <v>441</v>
      </c>
      <c r="E54" s="30">
        <f>IF(LEFT(RBC_Personal_Accounts[[#This Row],[If Balance is]],1)&lt;&gt;"$",0,VALUE(LEFT(RBC_Personal_Accounts[[#This Row],[If Balance is]],FIND(" ",RBC_Personal_Accounts[[#This Row],[If Balance is]]))))</f>
        <v>25000</v>
      </c>
      <c r="H54">
        <v>116</v>
      </c>
    </row>
    <row r="55" spans="1:9" x14ac:dyDescent="0.35">
      <c r="B55" s="30" t="s">
        <v>57</v>
      </c>
      <c r="C55" s="30" t="s">
        <v>442</v>
      </c>
      <c r="E55" s="30">
        <f>IF(LEFT(RBC_Personal_Accounts[[#This Row],[If Balance is]],1)&lt;&gt;"$",0,VALUE(LEFT(RBC_Personal_Accounts[[#This Row],[If Balance is]],FIND(" ",RBC_Personal_Accounts[[#This Row],[If Balance is]]))))</f>
        <v>60000</v>
      </c>
      <c r="H55">
        <v>115</v>
      </c>
    </row>
    <row r="56" spans="1:9" x14ac:dyDescent="0.35">
      <c r="B56" s="30" t="s">
        <v>446</v>
      </c>
      <c r="C56" s="30" t="s">
        <v>442</v>
      </c>
      <c r="E56" s="30">
        <f>IF(LEFT(RBC_Personal_Accounts[[#This Row],[If Balance is]],1)&lt;&gt;"$",0,VALUE(LEFT(RBC_Personal_Accounts[[#This Row],[If Balance is]],FIND(" ",RBC_Personal_Accounts[[#This Row],[If Balance is]]))))</f>
        <v>100000</v>
      </c>
      <c r="H56">
        <v>114</v>
      </c>
    </row>
    <row r="57" spans="1:9" x14ac:dyDescent="0.35">
      <c r="B57" s="30" t="s">
        <v>447</v>
      </c>
      <c r="C57" s="30" t="s">
        <v>442</v>
      </c>
      <c r="E57" s="30">
        <f>IF(LEFT(RBC_Personal_Accounts[[#This Row],[If Balance is]],1)&lt;&gt;"$",0,VALUE(LEFT(RBC_Personal_Accounts[[#This Row],[If Balance is]],FIND(" ",RBC_Personal_Accounts[[#This Row],[If Balance is]]))))</f>
        <v>150000</v>
      </c>
      <c r="H57">
        <v>113</v>
      </c>
    </row>
    <row r="58" spans="1:9" x14ac:dyDescent="0.35">
      <c r="B58" s="30" t="s">
        <v>448</v>
      </c>
      <c r="C58" s="30" t="s">
        <v>442</v>
      </c>
      <c r="E58" s="30">
        <f>IF(LEFT(RBC_Personal_Accounts[[#This Row],[If Balance is]],1)&lt;&gt;"$",0,VALUE(LEFT(RBC_Personal_Accounts[[#This Row],[If Balance is]],FIND(" ",RBC_Personal_Accounts[[#This Row],[If Balance is]]))))</f>
        <v>250000</v>
      </c>
      <c r="H58">
        <v>112</v>
      </c>
    </row>
    <row r="59" spans="1:9" x14ac:dyDescent="0.35">
      <c r="A59" t="s">
        <v>270</v>
      </c>
      <c r="B59" s="30" t="s">
        <v>432</v>
      </c>
      <c r="C59" s="30" t="s">
        <v>440</v>
      </c>
      <c r="E59" s="30">
        <f>IF(LEFT(RBC_Personal_Accounts[[#This Row],[If Balance is]],1)&lt;&gt;"$",0,VALUE(LEFT(RBC_Personal_Accounts[[#This Row],[If Balance is]],FIND(" ",RBC_Personal_Accounts[[#This Row],[If Balance is]]))))</f>
        <v>0</v>
      </c>
      <c r="H59">
        <v>111</v>
      </c>
      <c r="I59" t="s">
        <v>271</v>
      </c>
    </row>
    <row r="60" spans="1:9" x14ac:dyDescent="0.35">
      <c r="B60" s="30" t="s">
        <v>434</v>
      </c>
      <c r="C60" s="30" t="s">
        <v>441</v>
      </c>
      <c r="E60" s="30">
        <f>IF(LEFT(RBC_Personal_Accounts[[#This Row],[If Balance is]],1)&lt;&gt;"$",0,VALUE(LEFT(RBC_Personal_Accounts[[#This Row],[If Balance is]],FIND(" ",RBC_Personal_Accounts[[#This Row],[If Balance is]]))))</f>
        <v>1000</v>
      </c>
      <c r="H60">
        <v>110</v>
      </c>
    </row>
    <row r="61" spans="1:9" x14ac:dyDescent="0.35">
      <c r="B61" s="30" t="s">
        <v>435</v>
      </c>
      <c r="C61" s="30" t="s">
        <v>442</v>
      </c>
      <c r="E61" s="30">
        <f>IF(LEFT(RBC_Personal_Accounts[[#This Row],[If Balance is]],1)&lt;&gt;"$",0,VALUE(LEFT(RBC_Personal_Accounts[[#This Row],[If Balance is]],FIND(" ",RBC_Personal_Accounts[[#This Row],[If Balance is]]))))</f>
        <v>3000</v>
      </c>
      <c r="H61">
        <v>109</v>
      </c>
    </row>
    <row r="62" spans="1:9" x14ac:dyDescent="0.35">
      <c r="B62" s="30" t="s">
        <v>439</v>
      </c>
      <c r="C62" s="30" t="s">
        <v>442</v>
      </c>
      <c r="E62" s="30">
        <f>IF(LEFT(RBC_Personal_Accounts[[#This Row],[If Balance is]],1)&lt;&gt;"$",0,VALUE(LEFT(RBC_Personal_Accounts[[#This Row],[If Balance is]],FIND(" ",RBC_Personal_Accounts[[#This Row],[If Balance is]]))))</f>
        <v>5000</v>
      </c>
      <c r="H62">
        <v>108</v>
      </c>
    </row>
    <row r="63" spans="1:9" x14ac:dyDescent="0.35">
      <c r="A63" t="s">
        <v>269</v>
      </c>
      <c r="B63" s="30" t="s">
        <v>459</v>
      </c>
      <c r="C63" s="30" t="s">
        <v>433</v>
      </c>
      <c r="E63" s="30">
        <f>IF(LEFT(RBC_Personal_Accounts[[#This Row],[If Balance is]],1)&lt;&gt;"$",0,VALUE(LEFT(RBC_Personal_Accounts[[#This Row],[If Balance is]],FIND(" ",RBC_Personal_Accounts[[#This Row],[If Balance is]]))))</f>
        <v>0</v>
      </c>
      <c r="H63">
        <v>107</v>
      </c>
      <c r="I63" t="s">
        <v>270</v>
      </c>
    </row>
    <row r="64" spans="1:9" x14ac:dyDescent="0.35">
      <c r="B64" s="30" t="s">
        <v>460</v>
      </c>
      <c r="C64" s="30" t="s">
        <v>433</v>
      </c>
      <c r="E64" s="30">
        <f>IF(LEFT(RBC_Personal_Accounts[[#This Row],[If Balance is]],1)&lt;&gt;"$",0,VALUE(LEFT(RBC_Personal_Accounts[[#This Row],[If Balance is]],FIND(" ",RBC_Personal_Accounts[[#This Row],[If Balance is]]))))</f>
        <v>500</v>
      </c>
      <c r="H64">
        <v>106</v>
      </c>
    </row>
    <row r="65" spans="1:9" x14ac:dyDescent="0.35">
      <c r="B65" s="30" t="s">
        <v>434</v>
      </c>
      <c r="C65" s="30" t="s">
        <v>433</v>
      </c>
      <c r="E65" s="30">
        <f>IF(LEFT(RBC_Personal_Accounts[[#This Row],[If Balance is]],1)&lt;&gt;"$",0,VALUE(LEFT(RBC_Personal_Accounts[[#This Row],[If Balance is]],FIND(" ",RBC_Personal_Accounts[[#This Row],[If Balance is]]))))</f>
        <v>1000</v>
      </c>
      <c r="H65">
        <v>105</v>
      </c>
    </row>
    <row r="66" spans="1:9" x14ac:dyDescent="0.35">
      <c r="B66" s="30" t="s">
        <v>435</v>
      </c>
      <c r="C66" s="30" t="s">
        <v>436</v>
      </c>
      <c r="E66" s="30">
        <f>IF(LEFT(RBC_Personal_Accounts[[#This Row],[If Balance is]],1)&lt;&gt;"$",0,VALUE(LEFT(RBC_Personal_Accounts[[#This Row],[If Balance is]],FIND(" ",RBC_Personal_Accounts[[#This Row],[If Balance is]]))))</f>
        <v>3000</v>
      </c>
      <c r="H66">
        <v>104</v>
      </c>
    </row>
    <row r="67" spans="1:9" x14ac:dyDescent="0.35">
      <c r="B67" s="30" t="s">
        <v>439</v>
      </c>
      <c r="C67" s="30" t="s">
        <v>438</v>
      </c>
      <c r="E67" s="30">
        <f>IF(LEFT(RBC_Personal_Accounts[[#This Row],[If Balance is]],1)&lt;&gt;"$",0,VALUE(LEFT(RBC_Personal_Accounts[[#This Row],[If Balance is]],FIND(" ",RBC_Personal_Accounts[[#This Row],[If Balance is]]))))</f>
        <v>5000</v>
      </c>
      <c r="H67">
        <v>103</v>
      </c>
    </row>
    <row r="68" spans="1:9" x14ac:dyDescent="0.35">
      <c r="A68" t="s">
        <v>268</v>
      </c>
      <c r="B68" s="30" t="s">
        <v>432</v>
      </c>
      <c r="C68" s="30" t="s">
        <v>433</v>
      </c>
      <c r="E68" s="30">
        <f>IF(LEFT(RBC_Personal_Accounts[[#This Row],[If Balance is]],1)&lt;&gt;"$",0,VALUE(LEFT(RBC_Personal_Accounts[[#This Row],[If Balance is]],FIND(" ",RBC_Personal_Accounts[[#This Row],[If Balance is]]))))</f>
        <v>0</v>
      </c>
      <c r="H68">
        <v>102</v>
      </c>
      <c r="I68" t="s">
        <v>269</v>
      </c>
    </row>
    <row r="69" spans="1:9" x14ac:dyDescent="0.35">
      <c r="B69" s="30" t="s">
        <v>434</v>
      </c>
      <c r="C69" s="30" t="s">
        <v>433</v>
      </c>
      <c r="E69" s="30">
        <f>IF(LEFT(RBC_Personal_Accounts[[#This Row],[If Balance is]],1)&lt;&gt;"$",0,VALUE(LEFT(RBC_Personal_Accounts[[#This Row],[If Balance is]],FIND(" ",RBC_Personal_Accounts[[#This Row],[If Balance is]]))))</f>
        <v>1000</v>
      </c>
      <c r="H69">
        <v>101</v>
      </c>
    </row>
    <row r="70" spans="1:9" x14ac:dyDescent="0.35">
      <c r="B70" s="30" t="s">
        <v>435</v>
      </c>
      <c r="C70" s="30" t="s">
        <v>433</v>
      </c>
      <c r="E70" s="30">
        <f>IF(LEFT(RBC_Personal_Accounts[[#This Row],[If Balance is]],1)&lt;&gt;"$",0,VALUE(LEFT(RBC_Personal_Accounts[[#This Row],[If Balance is]],FIND(" ",RBC_Personal_Accounts[[#This Row],[If Balance is]]))))</f>
        <v>3000</v>
      </c>
      <c r="H70">
        <v>100</v>
      </c>
    </row>
    <row r="71" spans="1:9" x14ac:dyDescent="0.35">
      <c r="B71" s="30" t="s">
        <v>379</v>
      </c>
      <c r="C71" s="30" t="s">
        <v>436</v>
      </c>
      <c r="E71" s="30">
        <f>IF(LEFT(RBC_Personal_Accounts[[#This Row],[If Balance is]],1)&lt;&gt;"$",0,VALUE(LEFT(RBC_Personal_Accounts[[#This Row],[If Balance is]],FIND(" ",RBC_Personal_Accounts[[#This Row],[If Balance is]]))))</f>
        <v>5000</v>
      </c>
      <c r="H71">
        <v>99</v>
      </c>
    </row>
    <row r="72" spans="1:9" x14ac:dyDescent="0.35">
      <c r="B72" s="30" t="s">
        <v>58</v>
      </c>
      <c r="C72" s="30" t="s">
        <v>436</v>
      </c>
      <c r="E72" s="30">
        <f>IF(LEFT(RBC_Personal_Accounts[[#This Row],[If Balance is]],1)&lt;&gt;"$",0,VALUE(LEFT(RBC_Personal_Accounts[[#This Row],[If Balance is]],FIND(" ",RBC_Personal_Accounts[[#This Row],[If Balance is]]))))</f>
        <v>25000</v>
      </c>
      <c r="H72">
        <v>98</v>
      </c>
    </row>
    <row r="73" spans="1:9" x14ac:dyDescent="0.35">
      <c r="B73" s="30" t="s">
        <v>437</v>
      </c>
      <c r="C73" s="30" t="s">
        <v>438</v>
      </c>
      <c r="E73" s="30">
        <f>IF(LEFT(RBC_Personal_Accounts[[#This Row],[If Balance is]],1)&lt;&gt;"$",0,VALUE(LEFT(RBC_Personal_Accounts[[#This Row],[If Balance is]],FIND(" ",RBC_Personal_Accounts[[#This Row],[If Balance is]]))))</f>
        <v>60000</v>
      </c>
      <c r="H73">
        <v>97</v>
      </c>
    </row>
    <row r="74" spans="1:9" x14ac:dyDescent="0.35">
      <c r="A74" t="s">
        <v>267</v>
      </c>
      <c r="B74" s="30" t="s">
        <v>459</v>
      </c>
      <c r="C74" s="30" t="s">
        <v>436</v>
      </c>
      <c r="E74" s="30">
        <f>IF(LEFT(RBC_Personal_Accounts[[#This Row],[If Balance is]],1)&lt;&gt;"$",0,VALUE(LEFT(RBC_Personal_Accounts[[#This Row],[If Balance is]],FIND(" ",RBC_Personal_Accounts[[#This Row],[If Balance is]]))))</f>
        <v>0</v>
      </c>
      <c r="H74">
        <v>96</v>
      </c>
      <c r="I74" t="s">
        <v>268</v>
      </c>
    </row>
    <row r="75" spans="1:9" x14ac:dyDescent="0.35">
      <c r="B75" s="30" t="s">
        <v>460</v>
      </c>
      <c r="C75" s="30" t="s">
        <v>436</v>
      </c>
      <c r="E75" s="30">
        <f>IF(LEFT(RBC_Personal_Accounts[[#This Row],[If Balance is]],1)&lt;&gt;"$",0,VALUE(LEFT(RBC_Personal_Accounts[[#This Row],[If Balance is]],FIND(" ",RBC_Personal_Accounts[[#This Row],[If Balance is]]))))</f>
        <v>500</v>
      </c>
      <c r="H75">
        <v>95</v>
      </c>
    </row>
    <row r="76" spans="1:9" x14ac:dyDescent="0.35">
      <c r="B76" s="30" t="s">
        <v>434</v>
      </c>
      <c r="C76" s="30" t="s">
        <v>436</v>
      </c>
      <c r="E76" s="30">
        <f>IF(LEFT(RBC_Personal_Accounts[[#This Row],[If Balance is]],1)&lt;&gt;"$",0,VALUE(LEFT(RBC_Personal_Accounts[[#This Row],[If Balance is]],FIND(" ",RBC_Personal_Accounts[[#This Row],[If Balance is]]))))</f>
        <v>1000</v>
      </c>
      <c r="H76">
        <v>94</v>
      </c>
    </row>
    <row r="77" spans="1:9" x14ac:dyDescent="0.35">
      <c r="B77" s="30" t="s">
        <v>435</v>
      </c>
      <c r="C77" s="30" t="s">
        <v>438</v>
      </c>
      <c r="E77" s="30">
        <f>IF(LEFT(RBC_Personal_Accounts[[#This Row],[If Balance is]],1)&lt;&gt;"$",0,VALUE(LEFT(RBC_Personal_Accounts[[#This Row],[If Balance is]],FIND(" ",RBC_Personal_Accounts[[#This Row],[If Balance is]]))))</f>
        <v>3000</v>
      </c>
      <c r="H77">
        <v>93</v>
      </c>
    </row>
    <row r="78" spans="1:9" x14ac:dyDescent="0.35">
      <c r="B78" s="30" t="s">
        <v>439</v>
      </c>
      <c r="C78" s="30" t="s">
        <v>438</v>
      </c>
      <c r="E78" s="30">
        <f>IF(LEFT(RBC_Personal_Accounts[[#This Row],[If Balance is]],1)&lt;&gt;"$",0,VALUE(LEFT(RBC_Personal_Accounts[[#This Row],[If Balance is]],FIND(" ",RBC_Personal_Accounts[[#This Row],[If Balance is]]))))</f>
        <v>5000</v>
      </c>
      <c r="H78">
        <v>92</v>
      </c>
    </row>
    <row r="79" spans="1:9" x14ac:dyDescent="0.35">
      <c r="A79" t="s">
        <v>266</v>
      </c>
      <c r="B79" s="30" t="s">
        <v>432</v>
      </c>
      <c r="C79" s="30" t="s">
        <v>440</v>
      </c>
      <c r="E79" s="30">
        <f>IF(LEFT(RBC_Personal_Accounts[[#This Row],[If Balance is]],1)&lt;&gt;"$",0,VALUE(LEFT(RBC_Personal_Accounts[[#This Row],[If Balance is]],FIND(" ",RBC_Personal_Accounts[[#This Row],[If Balance is]]))))</f>
        <v>0</v>
      </c>
      <c r="H79">
        <v>91</v>
      </c>
      <c r="I79" t="s">
        <v>267</v>
      </c>
    </row>
    <row r="80" spans="1:9" x14ac:dyDescent="0.35">
      <c r="B80" s="30" t="s">
        <v>434</v>
      </c>
      <c r="C80" s="30" t="s">
        <v>441</v>
      </c>
      <c r="E80" s="30">
        <f>IF(LEFT(RBC_Personal_Accounts[[#This Row],[If Balance is]],1)&lt;&gt;"$",0,VALUE(LEFT(RBC_Personal_Accounts[[#This Row],[If Balance is]],FIND(" ",RBC_Personal_Accounts[[#This Row],[If Balance is]]))))</f>
        <v>1000</v>
      </c>
      <c r="H80">
        <v>90</v>
      </c>
    </row>
    <row r="81" spans="1:9" x14ac:dyDescent="0.35">
      <c r="B81" s="30" t="s">
        <v>435</v>
      </c>
      <c r="C81" s="30" t="s">
        <v>442</v>
      </c>
      <c r="E81" s="30">
        <f>IF(LEFT(RBC_Personal_Accounts[[#This Row],[If Balance is]],1)&lt;&gt;"$",0,VALUE(LEFT(RBC_Personal_Accounts[[#This Row],[If Balance is]],FIND(" ",RBC_Personal_Accounts[[#This Row],[If Balance is]]))))</f>
        <v>3000</v>
      </c>
      <c r="H81">
        <v>89</v>
      </c>
    </row>
    <row r="82" spans="1:9" x14ac:dyDescent="0.35">
      <c r="B82" s="30" t="s">
        <v>439</v>
      </c>
      <c r="C82" s="30" t="s">
        <v>442</v>
      </c>
      <c r="E82" s="30">
        <f>IF(LEFT(RBC_Personal_Accounts[[#This Row],[If Balance is]],1)&lt;&gt;"$",0,VALUE(LEFT(RBC_Personal_Accounts[[#This Row],[If Balance is]],FIND(" ",RBC_Personal_Accounts[[#This Row],[If Balance is]]))))</f>
        <v>5000</v>
      </c>
      <c r="H82">
        <v>88</v>
      </c>
    </row>
    <row r="83" spans="1:9" x14ac:dyDescent="0.35">
      <c r="A83" t="s">
        <v>265</v>
      </c>
      <c r="B83" s="30" t="s">
        <v>443</v>
      </c>
      <c r="C83" s="30" t="s">
        <v>433</v>
      </c>
      <c r="E83" s="30">
        <f>IF(LEFT(RBC_Personal_Accounts[[#This Row],[If Balance is]],1)&lt;&gt;"$",0,VALUE(LEFT(RBC_Personal_Accounts[[#This Row],[If Balance is]],FIND(" ",RBC_Personal_Accounts[[#This Row],[If Balance is]]))))</f>
        <v>0</v>
      </c>
      <c r="H83">
        <v>87</v>
      </c>
      <c r="I83" t="s">
        <v>266</v>
      </c>
    </row>
    <row r="84" spans="1:9" x14ac:dyDescent="0.35">
      <c r="B84" s="30" t="s">
        <v>444</v>
      </c>
      <c r="C84" s="30" t="s">
        <v>436</v>
      </c>
      <c r="E84" s="30">
        <f>IF(LEFT(RBC_Personal_Accounts[[#This Row],[If Balance is]],1)&lt;&gt;"$",0,VALUE(LEFT(RBC_Personal_Accounts[[#This Row],[If Balance is]],FIND(" ",RBC_Personal_Accounts[[#This Row],[If Balance is]]))))</f>
        <v>5000</v>
      </c>
      <c r="H84">
        <v>86</v>
      </c>
    </row>
    <row r="85" spans="1:9" x14ac:dyDescent="0.35">
      <c r="B85" s="30" t="s">
        <v>445</v>
      </c>
      <c r="C85" s="30" t="s">
        <v>440</v>
      </c>
      <c r="E85" s="30">
        <f>IF(LEFT(RBC_Personal_Accounts[[#This Row],[If Balance is]],1)&lt;&gt;"$",0,VALUE(LEFT(RBC_Personal_Accounts[[#This Row],[If Balance is]],FIND(" ",RBC_Personal_Accounts[[#This Row],[If Balance is]]))))</f>
        <v>10000</v>
      </c>
      <c r="H85">
        <v>85</v>
      </c>
    </row>
    <row r="86" spans="1:9" x14ac:dyDescent="0.35">
      <c r="B86" s="30" t="s">
        <v>58</v>
      </c>
      <c r="C86" s="30" t="s">
        <v>441</v>
      </c>
      <c r="E86" s="30">
        <f>IF(LEFT(RBC_Personal_Accounts[[#This Row],[If Balance is]],1)&lt;&gt;"$",0,VALUE(LEFT(RBC_Personal_Accounts[[#This Row],[If Balance is]],FIND(" ",RBC_Personal_Accounts[[#This Row],[If Balance is]]))))</f>
        <v>25000</v>
      </c>
      <c r="H86">
        <v>84</v>
      </c>
    </row>
    <row r="87" spans="1:9" x14ac:dyDescent="0.35">
      <c r="B87" s="30" t="s">
        <v>57</v>
      </c>
      <c r="C87" s="30" t="s">
        <v>442</v>
      </c>
      <c r="E87" s="30">
        <f>IF(LEFT(RBC_Personal_Accounts[[#This Row],[If Balance is]],1)&lt;&gt;"$",0,VALUE(LEFT(RBC_Personal_Accounts[[#This Row],[If Balance is]],FIND(" ",RBC_Personal_Accounts[[#This Row],[If Balance is]]))))</f>
        <v>60000</v>
      </c>
      <c r="H87">
        <v>83</v>
      </c>
    </row>
    <row r="88" spans="1:9" x14ac:dyDescent="0.35">
      <c r="B88" s="30" t="s">
        <v>446</v>
      </c>
      <c r="C88" s="30" t="s">
        <v>442</v>
      </c>
      <c r="E88" s="30">
        <f>IF(LEFT(RBC_Personal_Accounts[[#This Row],[If Balance is]],1)&lt;&gt;"$",0,VALUE(LEFT(RBC_Personal_Accounts[[#This Row],[If Balance is]],FIND(" ",RBC_Personal_Accounts[[#This Row],[If Balance is]]))))</f>
        <v>100000</v>
      </c>
      <c r="H88">
        <v>82</v>
      </c>
    </row>
    <row r="89" spans="1:9" x14ac:dyDescent="0.35">
      <c r="B89" s="30" t="s">
        <v>447</v>
      </c>
      <c r="C89" s="30" t="s">
        <v>442</v>
      </c>
      <c r="E89" s="30">
        <f>IF(LEFT(RBC_Personal_Accounts[[#This Row],[If Balance is]],1)&lt;&gt;"$",0,VALUE(LEFT(RBC_Personal_Accounts[[#This Row],[If Balance is]],FIND(" ",RBC_Personal_Accounts[[#This Row],[If Balance is]]))))</f>
        <v>150000</v>
      </c>
      <c r="H89">
        <v>81</v>
      </c>
    </row>
    <row r="90" spans="1:9" x14ac:dyDescent="0.35">
      <c r="B90" s="30" t="s">
        <v>448</v>
      </c>
      <c r="C90" s="30" t="s">
        <v>442</v>
      </c>
      <c r="E90" s="30">
        <f>IF(LEFT(RBC_Personal_Accounts[[#This Row],[If Balance is]],1)&lt;&gt;"$",0,VALUE(LEFT(RBC_Personal_Accounts[[#This Row],[If Balance is]],FIND(" ",RBC_Personal_Accounts[[#This Row],[If Balance is]]))))</f>
        <v>250000</v>
      </c>
      <c r="H90">
        <v>80</v>
      </c>
    </row>
    <row r="91" spans="1:9" x14ac:dyDescent="0.35">
      <c r="A91" t="s">
        <v>264</v>
      </c>
      <c r="B91" s="30" t="s">
        <v>461</v>
      </c>
      <c r="C91" s="30" t="s">
        <v>433</v>
      </c>
      <c r="E91" s="30">
        <f>IF(LEFT(RBC_Personal_Accounts[[#This Row],[If Balance is]],1)&lt;&gt;"$",0,VALUE(LEFT(RBC_Personal_Accounts[[#This Row],[If Balance is]],FIND(" ",RBC_Personal_Accounts[[#This Row],[If Balance is]]))))</f>
        <v>0</v>
      </c>
      <c r="H91">
        <v>79</v>
      </c>
      <c r="I91" t="s">
        <v>265</v>
      </c>
    </row>
    <row r="92" spans="1:9" x14ac:dyDescent="0.35">
      <c r="B92" s="30" t="s">
        <v>435</v>
      </c>
      <c r="C92" s="30" t="s">
        <v>433</v>
      </c>
      <c r="E92" s="30">
        <f>IF(LEFT(RBC_Personal_Accounts[[#This Row],[If Balance is]],1)&lt;&gt;"$",0,VALUE(LEFT(RBC_Personal_Accounts[[#This Row],[If Balance is]],FIND(" ",RBC_Personal_Accounts[[#This Row],[If Balance is]]))))</f>
        <v>3000</v>
      </c>
      <c r="H92">
        <v>78</v>
      </c>
    </row>
    <row r="93" spans="1:9" x14ac:dyDescent="0.35">
      <c r="B93" s="30" t="s">
        <v>444</v>
      </c>
      <c r="C93" s="30" t="s">
        <v>436</v>
      </c>
      <c r="E93" s="30">
        <f>IF(LEFT(RBC_Personal_Accounts[[#This Row],[If Balance is]],1)&lt;&gt;"$",0,VALUE(LEFT(RBC_Personal_Accounts[[#This Row],[If Balance is]],FIND(" ",RBC_Personal_Accounts[[#This Row],[If Balance is]]))))</f>
        <v>5000</v>
      </c>
      <c r="H93">
        <v>77</v>
      </c>
    </row>
    <row r="94" spans="1:9" x14ac:dyDescent="0.35">
      <c r="B94" s="30" t="s">
        <v>445</v>
      </c>
      <c r="C94" s="30" t="s">
        <v>440</v>
      </c>
      <c r="E94" s="30">
        <f>IF(LEFT(RBC_Personal_Accounts[[#This Row],[If Balance is]],1)&lt;&gt;"$",0,VALUE(LEFT(RBC_Personal_Accounts[[#This Row],[If Balance is]],FIND(" ",RBC_Personal_Accounts[[#This Row],[If Balance is]]))))</f>
        <v>10000</v>
      </c>
      <c r="H94">
        <v>76</v>
      </c>
    </row>
    <row r="95" spans="1:9" x14ac:dyDescent="0.35">
      <c r="B95" s="30" t="s">
        <v>58</v>
      </c>
      <c r="C95" s="30" t="s">
        <v>441</v>
      </c>
      <c r="E95" s="30">
        <f>IF(LEFT(RBC_Personal_Accounts[[#This Row],[If Balance is]],1)&lt;&gt;"$",0,VALUE(LEFT(RBC_Personal_Accounts[[#This Row],[If Balance is]],FIND(" ",RBC_Personal_Accounts[[#This Row],[If Balance is]]))))</f>
        <v>25000</v>
      </c>
      <c r="H95">
        <v>75</v>
      </c>
    </row>
    <row r="96" spans="1:9" x14ac:dyDescent="0.35">
      <c r="B96" s="30" t="s">
        <v>57</v>
      </c>
      <c r="C96" s="30" t="s">
        <v>462</v>
      </c>
      <c r="E96" s="30">
        <f>IF(LEFT(RBC_Personal_Accounts[[#This Row],[If Balance is]],1)&lt;&gt;"$",0,VALUE(LEFT(RBC_Personal_Accounts[[#This Row],[If Balance is]],FIND(" ",RBC_Personal_Accounts[[#This Row],[If Balance is]]))))</f>
        <v>60000</v>
      </c>
      <c r="H96">
        <v>74</v>
      </c>
    </row>
    <row r="97" spans="1:9" x14ac:dyDescent="0.35">
      <c r="B97" s="30" t="s">
        <v>219</v>
      </c>
      <c r="C97" s="30" t="s">
        <v>463</v>
      </c>
      <c r="E97" s="30">
        <f>IF(LEFT(RBC_Personal_Accounts[[#This Row],[If Balance is]],1)&lt;&gt;"$",0,VALUE(LEFT(RBC_Personal_Accounts[[#This Row],[If Balance is]],FIND(" ",RBC_Personal_Accounts[[#This Row],[If Balance is]]))))</f>
        <v>100000</v>
      </c>
      <c r="H97">
        <v>73</v>
      </c>
    </row>
    <row r="98" spans="1:9" x14ac:dyDescent="0.35">
      <c r="A98" t="s">
        <v>263</v>
      </c>
      <c r="B98" s="30" t="s">
        <v>432</v>
      </c>
      <c r="C98" s="30" t="s">
        <v>433</v>
      </c>
      <c r="E98" s="30">
        <f>IF(LEFT(RBC_Personal_Accounts[[#This Row],[If Balance is]],1)&lt;&gt;"$",0,VALUE(LEFT(RBC_Personal_Accounts[[#This Row],[If Balance is]],FIND(" ",RBC_Personal_Accounts[[#This Row],[If Balance is]]))))</f>
        <v>0</v>
      </c>
      <c r="H98">
        <v>72</v>
      </c>
      <c r="I98" t="s">
        <v>264</v>
      </c>
    </row>
    <row r="99" spans="1:9" x14ac:dyDescent="0.35">
      <c r="B99" s="30" t="s">
        <v>434</v>
      </c>
      <c r="C99" s="30" t="s">
        <v>433</v>
      </c>
      <c r="E99" s="30">
        <f>IF(LEFT(RBC_Personal_Accounts[[#This Row],[If Balance is]],1)&lt;&gt;"$",0,VALUE(LEFT(RBC_Personal_Accounts[[#This Row],[If Balance is]],FIND(" ",RBC_Personal_Accounts[[#This Row],[If Balance is]]))))</f>
        <v>1000</v>
      </c>
      <c r="H99">
        <v>71</v>
      </c>
    </row>
    <row r="100" spans="1:9" x14ac:dyDescent="0.35">
      <c r="B100" s="30" t="s">
        <v>435</v>
      </c>
      <c r="C100" s="30" t="s">
        <v>433</v>
      </c>
      <c r="E100" s="30">
        <f>IF(LEFT(RBC_Personal_Accounts[[#This Row],[If Balance is]],1)&lt;&gt;"$",0,VALUE(LEFT(RBC_Personal_Accounts[[#This Row],[If Balance is]],FIND(" ",RBC_Personal_Accounts[[#This Row],[If Balance is]]))))</f>
        <v>3000</v>
      </c>
      <c r="H100">
        <v>70</v>
      </c>
    </row>
    <row r="101" spans="1:9" x14ac:dyDescent="0.35">
      <c r="B101" s="30" t="s">
        <v>379</v>
      </c>
      <c r="C101" s="30" t="s">
        <v>436</v>
      </c>
      <c r="E101" s="30">
        <f>IF(LEFT(RBC_Personal_Accounts[[#This Row],[If Balance is]],1)&lt;&gt;"$",0,VALUE(LEFT(RBC_Personal_Accounts[[#This Row],[If Balance is]],FIND(" ",RBC_Personal_Accounts[[#This Row],[If Balance is]]))))</f>
        <v>5000</v>
      </c>
      <c r="H101">
        <v>69</v>
      </c>
    </row>
    <row r="102" spans="1:9" x14ac:dyDescent="0.35">
      <c r="B102" s="30" t="s">
        <v>58</v>
      </c>
      <c r="C102" s="30" t="s">
        <v>436</v>
      </c>
      <c r="E102" s="30">
        <f>IF(LEFT(RBC_Personal_Accounts[[#This Row],[If Balance is]],1)&lt;&gt;"$",0,VALUE(LEFT(RBC_Personal_Accounts[[#This Row],[If Balance is]],FIND(" ",RBC_Personal_Accounts[[#This Row],[If Balance is]]))))</f>
        <v>25000</v>
      </c>
      <c r="H102">
        <v>68</v>
      </c>
    </row>
    <row r="103" spans="1:9" x14ac:dyDescent="0.35">
      <c r="B103" s="30" t="s">
        <v>437</v>
      </c>
      <c r="C103" s="30" t="s">
        <v>438</v>
      </c>
      <c r="E103" s="30">
        <f>IF(LEFT(RBC_Personal_Accounts[[#This Row],[If Balance is]],1)&lt;&gt;"$",0,VALUE(LEFT(RBC_Personal_Accounts[[#This Row],[If Balance is]],FIND(" ",RBC_Personal_Accounts[[#This Row],[If Balance is]]))))</f>
        <v>60000</v>
      </c>
      <c r="H103">
        <v>67</v>
      </c>
    </row>
    <row r="104" spans="1:9" x14ac:dyDescent="0.35">
      <c r="A104" t="s">
        <v>262</v>
      </c>
      <c r="B104" s="30" t="s">
        <v>443</v>
      </c>
      <c r="C104" s="30" t="s">
        <v>433</v>
      </c>
      <c r="E104" s="30">
        <f>IF(LEFT(RBC_Personal_Accounts[[#This Row],[If Balance is]],1)&lt;&gt;"$",0,VALUE(LEFT(RBC_Personal_Accounts[[#This Row],[If Balance is]],FIND(" ",RBC_Personal_Accounts[[#This Row],[If Balance is]]))))</f>
        <v>0</v>
      </c>
      <c r="H104">
        <v>66</v>
      </c>
      <c r="I104" t="s">
        <v>263</v>
      </c>
    </row>
    <row r="105" spans="1:9" x14ac:dyDescent="0.35">
      <c r="B105" s="30" t="s">
        <v>444</v>
      </c>
      <c r="C105" s="30" t="s">
        <v>436</v>
      </c>
      <c r="E105" s="30">
        <f>IF(LEFT(RBC_Personal_Accounts[[#This Row],[If Balance is]],1)&lt;&gt;"$",0,VALUE(LEFT(RBC_Personal_Accounts[[#This Row],[If Balance is]],FIND(" ",RBC_Personal_Accounts[[#This Row],[If Balance is]]))))</f>
        <v>5000</v>
      </c>
      <c r="H105">
        <v>65</v>
      </c>
    </row>
    <row r="106" spans="1:9" x14ac:dyDescent="0.35">
      <c r="B106" s="30" t="s">
        <v>445</v>
      </c>
      <c r="C106" s="30" t="s">
        <v>440</v>
      </c>
      <c r="E106" s="30">
        <f>IF(LEFT(RBC_Personal_Accounts[[#This Row],[If Balance is]],1)&lt;&gt;"$",0,VALUE(LEFT(RBC_Personal_Accounts[[#This Row],[If Balance is]],FIND(" ",RBC_Personal_Accounts[[#This Row],[If Balance is]]))))</f>
        <v>10000</v>
      </c>
      <c r="H106">
        <v>64</v>
      </c>
    </row>
    <row r="107" spans="1:9" x14ac:dyDescent="0.35">
      <c r="B107" s="30" t="s">
        <v>58</v>
      </c>
      <c r="C107" s="30" t="s">
        <v>441</v>
      </c>
      <c r="E107" s="30">
        <f>IF(LEFT(RBC_Personal_Accounts[[#This Row],[If Balance is]],1)&lt;&gt;"$",0,VALUE(LEFT(RBC_Personal_Accounts[[#This Row],[If Balance is]],FIND(" ",RBC_Personal_Accounts[[#This Row],[If Balance is]]))))</f>
        <v>25000</v>
      </c>
      <c r="H107">
        <v>63</v>
      </c>
    </row>
    <row r="108" spans="1:9" x14ac:dyDescent="0.35">
      <c r="B108" s="30" t="s">
        <v>57</v>
      </c>
      <c r="C108" s="30" t="s">
        <v>442</v>
      </c>
      <c r="E108" s="30">
        <f>IF(LEFT(RBC_Personal_Accounts[[#This Row],[If Balance is]],1)&lt;&gt;"$",0,VALUE(LEFT(RBC_Personal_Accounts[[#This Row],[If Balance is]],FIND(" ",RBC_Personal_Accounts[[#This Row],[If Balance is]]))))</f>
        <v>60000</v>
      </c>
      <c r="H108">
        <v>62</v>
      </c>
    </row>
    <row r="109" spans="1:9" x14ac:dyDescent="0.35">
      <c r="B109" s="30" t="s">
        <v>446</v>
      </c>
      <c r="C109" s="30" t="s">
        <v>442</v>
      </c>
      <c r="E109" s="30">
        <f>IF(LEFT(RBC_Personal_Accounts[[#This Row],[If Balance is]],1)&lt;&gt;"$",0,VALUE(LEFT(RBC_Personal_Accounts[[#This Row],[If Balance is]],FIND(" ",RBC_Personal_Accounts[[#This Row],[If Balance is]]))))</f>
        <v>100000</v>
      </c>
      <c r="H109">
        <v>61</v>
      </c>
    </row>
    <row r="110" spans="1:9" x14ac:dyDescent="0.35">
      <c r="B110" s="30" t="s">
        <v>447</v>
      </c>
      <c r="C110" s="30" t="s">
        <v>442</v>
      </c>
      <c r="E110" s="30">
        <f>IF(LEFT(RBC_Personal_Accounts[[#This Row],[If Balance is]],1)&lt;&gt;"$",0,VALUE(LEFT(RBC_Personal_Accounts[[#This Row],[If Balance is]],FIND(" ",RBC_Personal_Accounts[[#This Row],[If Balance is]]))))</f>
        <v>150000</v>
      </c>
      <c r="H110">
        <v>60</v>
      </c>
    </row>
    <row r="111" spans="1:9" x14ac:dyDescent="0.35">
      <c r="B111" s="30" t="s">
        <v>448</v>
      </c>
      <c r="C111" s="30" t="s">
        <v>442</v>
      </c>
      <c r="E111" s="30">
        <f>IF(LEFT(RBC_Personal_Accounts[[#This Row],[If Balance is]],1)&lt;&gt;"$",0,VALUE(LEFT(RBC_Personal_Accounts[[#This Row],[If Balance is]],FIND(" ",RBC_Personal_Accounts[[#This Row],[If Balance is]]))))</f>
        <v>250000</v>
      </c>
      <c r="H111">
        <v>59</v>
      </c>
    </row>
    <row r="112" spans="1:9" x14ac:dyDescent="0.35">
      <c r="A112" t="s">
        <v>261</v>
      </c>
      <c r="B112" s="30" t="s">
        <v>432</v>
      </c>
      <c r="C112" s="30" t="s">
        <v>440</v>
      </c>
      <c r="E112" s="30">
        <f>IF(LEFT(RBC_Personal_Accounts[[#This Row],[If Balance is]],1)&lt;&gt;"$",0,VALUE(LEFT(RBC_Personal_Accounts[[#This Row],[If Balance is]],FIND(" ",RBC_Personal_Accounts[[#This Row],[If Balance is]]))))</f>
        <v>0</v>
      </c>
      <c r="H112">
        <v>58</v>
      </c>
      <c r="I112" t="s">
        <v>262</v>
      </c>
    </row>
    <row r="113" spans="1:9" x14ac:dyDescent="0.35">
      <c r="B113" s="30" t="s">
        <v>434</v>
      </c>
      <c r="C113" s="30" t="s">
        <v>441</v>
      </c>
      <c r="E113" s="30">
        <f>IF(LEFT(RBC_Personal_Accounts[[#This Row],[If Balance is]],1)&lt;&gt;"$",0,VALUE(LEFT(RBC_Personal_Accounts[[#This Row],[If Balance is]],FIND(" ",RBC_Personal_Accounts[[#This Row],[If Balance is]]))))</f>
        <v>1000</v>
      </c>
      <c r="H113">
        <v>57</v>
      </c>
    </row>
    <row r="114" spans="1:9" x14ac:dyDescent="0.35">
      <c r="B114" s="30" t="s">
        <v>435</v>
      </c>
      <c r="C114" s="30" t="s">
        <v>442</v>
      </c>
      <c r="E114" s="30">
        <f>IF(LEFT(RBC_Personal_Accounts[[#This Row],[If Balance is]],1)&lt;&gt;"$",0,VALUE(LEFT(RBC_Personal_Accounts[[#This Row],[If Balance is]],FIND(" ",RBC_Personal_Accounts[[#This Row],[If Balance is]]))))</f>
        <v>3000</v>
      </c>
      <c r="H114">
        <v>56</v>
      </c>
    </row>
    <row r="115" spans="1:9" x14ac:dyDescent="0.35">
      <c r="B115" s="30" t="s">
        <v>439</v>
      </c>
      <c r="C115" s="30" t="s">
        <v>442</v>
      </c>
      <c r="E115" s="30">
        <f>IF(LEFT(RBC_Personal_Accounts[[#This Row],[If Balance is]],1)&lt;&gt;"$",0,VALUE(LEFT(RBC_Personal_Accounts[[#This Row],[If Balance is]],FIND(" ",RBC_Personal_Accounts[[#This Row],[If Balance is]]))))</f>
        <v>5000</v>
      </c>
      <c r="H115">
        <v>55</v>
      </c>
    </row>
    <row r="116" spans="1:9" x14ac:dyDescent="0.35">
      <c r="A116" t="s">
        <v>260</v>
      </c>
      <c r="B116" s="30" t="s">
        <v>459</v>
      </c>
      <c r="C116" s="30" t="s">
        <v>433</v>
      </c>
      <c r="E116" s="30">
        <f>IF(LEFT(RBC_Personal_Accounts[[#This Row],[If Balance is]],1)&lt;&gt;"$",0,VALUE(LEFT(RBC_Personal_Accounts[[#This Row],[If Balance is]],FIND(" ",RBC_Personal_Accounts[[#This Row],[If Balance is]]))))</f>
        <v>0</v>
      </c>
      <c r="H116">
        <v>54</v>
      </c>
      <c r="I116" t="s">
        <v>261</v>
      </c>
    </row>
    <row r="117" spans="1:9" x14ac:dyDescent="0.35">
      <c r="B117" s="30" t="s">
        <v>460</v>
      </c>
      <c r="C117" s="30" t="s">
        <v>433</v>
      </c>
      <c r="E117" s="30">
        <f>IF(LEFT(RBC_Personal_Accounts[[#This Row],[If Balance is]],1)&lt;&gt;"$",0,VALUE(LEFT(RBC_Personal_Accounts[[#This Row],[If Balance is]],FIND(" ",RBC_Personal_Accounts[[#This Row],[If Balance is]]))))</f>
        <v>500</v>
      </c>
      <c r="H117">
        <v>53</v>
      </c>
    </row>
    <row r="118" spans="1:9" x14ac:dyDescent="0.35">
      <c r="B118" s="30" t="s">
        <v>434</v>
      </c>
      <c r="C118" s="30" t="s">
        <v>433</v>
      </c>
      <c r="E118" s="30">
        <f>IF(LEFT(RBC_Personal_Accounts[[#This Row],[If Balance is]],1)&lt;&gt;"$",0,VALUE(LEFT(RBC_Personal_Accounts[[#This Row],[If Balance is]],FIND(" ",RBC_Personal_Accounts[[#This Row],[If Balance is]]))))</f>
        <v>1000</v>
      </c>
      <c r="H118">
        <v>52</v>
      </c>
    </row>
    <row r="119" spans="1:9" x14ac:dyDescent="0.35">
      <c r="B119" s="30" t="s">
        <v>435</v>
      </c>
      <c r="C119" s="30" t="s">
        <v>436</v>
      </c>
      <c r="E119" s="30">
        <f>IF(LEFT(RBC_Personal_Accounts[[#This Row],[If Balance is]],1)&lt;&gt;"$",0,VALUE(LEFT(RBC_Personal_Accounts[[#This Row],[If Balance is]],FIND(" ",RBC_Personal_Accounts[[#This Row],[If Balance is]]))))</f>
        <v>3000</v>
      </c>
      <c r="H119">
        <v>51</v>
      </c>
    </row>
    <row r="120" spans="1:9" x14ac:dyDescent="0.35">
      <c r="B120" s="30" t="s">
        <v>439</v>
      </c>
      <c r="C120" s="30" t="s">
        <v>436</v>
      </c>
      <c r="E120" s="30">
        <f>IF(LEFT(RBC_Personal_Accounts[[#This Row],[If Balance is]],1)&lt;&gt;"$",0,VALUE(LEFT(RBC_Personal_Accounts[[#This Row],[If Balance is]],FIND(" ",RBC_Personal_Accounts[[#This Row],[If Balance is]]))))</f>
        <v>5000</v>
      </c>
      <c r="H120">
        <v>50</v>
      </c>
    </row>
    <row r="121" spans="1:9" x14ac:dyDescent="0.35">
      <c r="A121" t="s">
        <v>259</v>
      </c>
      <c r="B121" s="30" t="s">
        <v>449</v>
      </c>
      <c r="C121" s="30" t="s">
        <v>433</v>
      </c>
      <c r="E121" s="30">
        <f>IF(LEFT(RBC_Personal_Accounts[[#This Row],[If Balance is]],1)&lt;&gt;"$",0,VALUE(LEFT(RBC_Personal_Accounts[[#This Row],[If Balance is]],FIND(" ",RBC_Personal_Accounts[[#This Row],[If Balance is]]))))</f>
        <v>0</v>
      </c>
      <c r="H121">
        <v>49</v>
      </c>
      <c r="I121" t="s">
        <v>260</v>
      </c>
    </row>
    <row r="122" spans="1:9" x14ac:dyDescent="0.35">
      <c r="B122" s="30" t="s">
        <v>450</v>
      </c>
      <c r="C122" s="30" t="s">
        <v>433</v>
      </c>
      <c r="E122" s="30">
        <f>IF(LEFT(RBC_Personal_Accounts[[#This Row],[If Balance is]],1)&lt;&gt;"$",0,VALUE(LEFT(RBC_Personal_Accounts[[#This Row],[If Balance is]],FIND(" ",RBC_Personal_Accounts[[#This Row],[If Balance is]]))))</f>
        <v>1000</v>
      </c>
      <c r="H122">
        <v>48</v>
      </c>
    </row>
    <row r="123" spans="1:9" x14ac:dyDescent="0.35">
      <c r="B123" s="30" t="s">
        <v>451</v>
      </c>
      <c r="C123" s="30" t="s">
        <v>433</v>
      </c>
      <c r="E123" s="30">
        <f>IF(LEFT(RBC_Personal_Accounts[[#This Row],[If Balance is]],1)&lt;&gt;"$",0,VALUE(LEFT(RBC_Personal_Accounts[[#This Row],[If Balance is]],FIND(" ",RBC_Personal_Accounts[[#This Row],[If Balance is]]))))</f>
        <v>3000</v>
      </c>
      <c r="H123">
        <v>47</v>
      </c>
    </row>
    <row r="124" spans="1:9" x14ac:dyDescent="0.35">
      <c r="B124" s="30" t="s">
        <v>452</v>
      </c>
      <c r="C124" s="30" t="s">
        <v>436</v>
      </c>
      <c r="E124" s="30">
        <f>IF(LEFT(RBC_Personal_Accounts[[#This Row],[If Balance is]],1)&lt;&gt;"$",0,VALUE(LEFT(RBC_Personal_Accounts[[#This Row],[If Balance is]],FIND(" ",RBC_Personal_Accounts[[#This Row],[If Balance is]]))))</f>
        <v>5000</v>
      </c>
      <c r="H124">
        <v>46</v>
      </c>
    </row>
    <row r="125" spans="1:9" x14ac:dyDescent="0.35">
      <c r="B125" s="30" t="s">
        <v>453</v>
      </c>
      <c r="C125" s="30" t="s">
        <v>440</v>
      </c>
      <c r="E125" s="30">
        <f>IF(LEFT(RBC_Personal_Accounts[[#This Row],[If Balance is]],1)&lt;&gt;"$",0,VALUE(LEFT(RBC_Personal_Accounts[[#This Row],[If Balance is]],FIND(" ",RBC_Personal_Accounts[[#This Row],[If Balance is]]))))</f>
        <v>10000</v>
      </c>
      <c r="H125">
        <v>45</v>
      </c>
    </row>
    <row r="126" spans="1:9" x14ac:dyDescent="0.35">
      <c r="B126" s="30" t="s">
        <v>454</v>
      </c>
      <c r="C126" s="30" t="s">
        <v>441</v>
      </c>
      <c r="E126" s="30">
        <f>IF(LEFT(RBC_Personal_Accounts[[#This Row],[If Balance is]],1)&lt;&gt;"$",0,VALUE(LEFT(RBC_Personal_Accounts[[#This Row],[If Balance is]],FIND(" ",RBC_Personal_Accounts[[#This Row],[If Balance is]]))))</f>
        <v>25000</v>
      </c>
      <c r="H126">
        <v>44</v>
      </c>
    </row>
    <row r="127" spans="1:9" x14ac:dyDescent="0.35">
      <c r="B127" s="30" t="s">
        <v>455</v>
      </c>
      <c r="C127" s="30" t="s">
        <v>463</v>
      </c>
      <c r="E127" s="30">
        <f>IF(LEFT(RBC_Personal_Accounts[[#This Row],[If Balance is]],1)&lt;&gt;"$",0,VALUE(LEFT(RBC_Personal_Accounts[[#This Row],[If Balance is]],FIND(" ",RBC_Personal_Accounts[[#This Row],[If Balance is]]))))</f>
        <v>60000</v>
      </c>
      <c r="H127">
        <v>43</v>
      </c>
    </row>
    <row r="128" spans="1:9" x14ac:dyDescent="0.35">
      <c r="B128" s="30" t="s">
        <v>457</v>
      </c>
      <c r="C128" s="30" t="s">
        <v>463</v>
      </c>
      <c r="E128" s="30">
        <f>IF(LEFT(RBC_Personal_Accounts[[#This Row],[If Balance is]],1)&lt;&gt;"$",0,VALUE(LEFT(RBC_Personal_Accounts[[#This Row],[If Balance is]],FIND(" ",RBC_Personal_Accounts[[#This Row],[If Balance is]]))))</f>
        <v>100000</v>
      </c>
      <c r="H128">
        <v>42</v>
      </c>
    </row>
    <row r="129" spans="1:9" x14ac:dyDescent="0.35">
      <c r="B129" s="30" t="s">
        <v>458</v>
      </c>
      <c r="C129" s="30" t="s">
        <v>463</v>
      </c>
      <c r="E129" s="30">
        <f>IF(LEFT(RBC_Personal_Accounts[[#This Row],[If Balance is]],1)&lt;&gt;"$",0,VALUE(LEFT(RBC_Personal_Accounts[[#This Row],[If Balance is]],FIND(" ",RBC_Personal_Accounts[[#This Row],[If Balance is]]))))</f>
        <v>150000</v>
      </c>
      <c r="H129">
        <v>41</v>
      </c>
    </row>
    <row r="130" spans="1:9" x14ac:dyDescent="0.35">
      <c r="B130" s="30" t="s">
        <v>464</v>
      </c>
      <c r="C130" s="30" t="s">
        <v>463</v>
      </c>
      <c r="E130" s="30">
        <f>IF(LEFT(RBC_Personal_Accounts[[#This Row],[If Balance is]],1)&lt;&gt;"$",0,VALUE(LEFT(RBC_Personal_Accounts[[#This Row],[If Balance is]],FIND(" ",RBC_Personal_Accounts[[#This Row],[If Balance is]]))))</f>
        <v>250000</v>
      </c>
      <c r="H130">
        <v>40</v>
      </c>
    </row>
    <row r="131" spans="1:9" x14ac:dyDescent="0.35">
      <c r="B131" s="30" t="s">
        <v>465</v>
      </c>
      <c r="C131" s="30" t="s">
        <v>463</v>
      </c>
      <c r="E131" s="30">
        <f>IF(LEFT(RBC_Personal_Accounts[[#This Row],[If Balance is]],1)&lt;&gt;"$",0,VALUE(LEFT(RBC_Personal_Accounts[[#This Row],[If Balance is]],FIND(" ",RBC_Personal_Accounts[[#This Row],[If Balance is]]))))</f>
        <v>500000</v>
      </c>
      <c r="H131">
        <v>39</v>
      </c>
    </row>
    <row r="132" spans="1:9" x14ac:dyDescent="0.35">
      <c r="B132" s="30" t="s">
        <v>466</v>
      </c>
      <c r="C132" s="30" t="s">
        <v>463</v>
      </c>
      <c r="E132" s="30">
        <f>IF(LEFT(RBC_Personal_Accounts[[#This Row],[If Balance is]],1)&lt;&gt;"$",0,VALUE(LEFT(RBC_Personal_Accounts[[#This Row],[If Balance is]],FIND(" ",RBC_Personal_Accounts[[#This Row],[If Balance is]]))))</f>
        <v>1000000</v>
      </c>
      <c r="H132">
        <v>38</v>
      </c>
    </row>
    <row r="133" spans="1:9" x14ac:dyDescent="0.35">
      <c r="A133" t="s">
        <v>258</v>
      </c>
      <c r="B133" s="30" t="s">
        <v>467</v>
      </c>
      <c r="C133" s="30" t="s">
        <v>433</v>
      </c>
      <c r="E133" s="30">
        <f>IF(LEFT(RBC_Personal_Accounts[[#This Row],[If Balance is]],1)&lt;&gt;"$",0,VALUE(LEFT(RBC_Personal_Accounts[[#This Row],[If Balance is]],FIND(" ",RBC_Personal_Accounts[[#This Row],[If Balance is]]))))</f>
        <v>0</v>
      </c>
      <c r="H133">
        <v>37</v>
      </c>
      <c r="I133" t="s">
        <v>259</v>
      </c>
    </row>
    <row r="134" spans="1:9" x14ac:dyDescent="0.35">
      <c r="A134" t="s">
        <v>257</v>
      </c>
      <c r="B134" s="30" t="s">
        <v>467</v>
      </c>
      <c r="C134" s="30" t="s">
        <v>468</v>
      </c>
      <c r="E134" s="30">
        <f>IF(LEFT(RBC_Personal_Accounts[[#This Row],[If Balance is]],1)&lt;&gt;"$",0,VALUE(LEFT(RBC_Personal_Accounts[[#This Row],[If Balance is]],FIND(" ",RBC_Personal_Accounts[[#This Row],[If Balance is]]))))</f>
        <v>0</v>
      </c>
      <c r="H134">
        <v>36</v>
      </c>
      <c r="I134" t="s">
        <v>258</v>
      </c>
    </row>
    <row r="135" spans="1:9" x14ac:dyDescent="0.35">
      <c r="A135" t="s">
        <v>256</v>
      </c>
      <c r="B135" s="30" t="s">
        <v>467</v>
      </c>
      <c r="C135" s="30" t="s">
        <v>433</v>
      </c>
      <c r="E135" s="30">
        <f>IF(LEFT(RBC_Personal_Accounts[[#This Row],[If Balance is]],1)&lt;&gt;"$",0,VALUE(LEFT(RBC_Personal_Accounts[[#This Row],[If Balance is]],FIND(" ",RBC_Personal_Accounts[[#This Row],[If Balance is]]))))</f>
        <v>0</v>
      </c>
      <c r="H135">
        <v>35</v>
      </c>
      <c r="I135" t="s">
        <v>257</v>
      </c>
    </row>
    <row r="136" spans="1:9" x14ac:dyDescent="0.35">
      <c r="A136" t="s">
        <v>255</v>
      </c>
      <c r="B136" s="30" t="s">
        <v>443</v>
      </c>
      <c r="C136" s="30" t="s">
        <v>433</v>
      </c>
      <c r="E136" s="30">
        <f>IF(LEFT(RBC_Personal_Accounts[[#This Row],[If Balance is]],1)&lt;&gt;"$",0,VALUE(LEFT(RBC_Personal_Accounts[[#This Row],[If Balance is]],FIND(" ",RBC_Personal_Accounts[[#This Row],[If Balance is]]))))</f>
        <v>0</v>
      </c>
      <c r="H136">
        <v>34</v>
      </c>
      <c r="I136" t="s">
        <v>256</v>
      </c>
    </row>
    <row r="137" spans="1:9" x14ac:dyDescent="0.35">
      <c r="B137" s="30" t="s">
        <v>444</v>
      </c>
      <c r="C137" s="30" t="s">
        <v>436</v>
      </c>
      <c r="E137" s="30">
        <f>IF(LEFT(RBC_Personal_Accounts[[#This Row],[If Balance is]],1)&lt;&gt;"$",0,VALUE(LEFT(RBC_Personal_Accounts[[#This Row],[If Balance is]],FIND(" ",RBC_Personal_Accounts[[#This Row],[If Balance is]]))))</f>
        <v>5000</v>
      </c>
      <c r="H137">
        <v>33</v>
      </c>
    </row>
    <row r="138" spans="1:9" x14ac:dyDescent="0.35">
      <c r="B138" s="30" t="s">
        <v>445</v>
      </c>
      <c r="C138" s="30" t="s">
        <v>440</v>
      </c>
      <c r="E138" s="30">
        <f>IF(LEFT(RBC_Personal_Accounts[[#This Row],[If Balance is]],1)&lt;&gt;"$",0,VALUE(LEFT(RBC_Personal_Accounts[[#This Row],[If Balance is]],FIND(" ",RBC_Personal_Accounts[[#This Row],[If Balance is]]))))</f>
        <v>10000</v>
      </c>
      <c r="H138">
        <v>32</v>
      </c>
    </row>
    <row r="139" spans="1:9" x14ac:dyDescent="0.35">
      <c r="B139" s="30" t="s">
        <v>58</v>
      </c>
      <c r="C139" s="30" t="s">
        <v>441</v>
      </c>
      <c r="E139" s="30">
        <f>IF(LEFT(RBC_Personal_Accounts[[#This Row],[If Balance is]],1)&lt;&gt;"$",0,VALUE(LEFT(RBC_Personal_Accounts[[#This Row],[If Balance is]],FIND(" ",RBC_Personal_Accounts[[#This Row],[If Balance is]]))))</f>
        <v>25000</v>
      </c>
      <c r="H139">
        <v>31</v>
      </c>
    </row>
    <row r="140" spans="1:9" x14ac:dyDescent="0.35">
      <c r="B140" s="30" t="s">
        <v>57</v>
      </c>
      <c r="C140" s="30" t="s">
        <v>442</v>
      </c>
      <c r="E140" s="30">
        <f>IF(LEFT(RBC_Personal_Accounts[[#This Row],[If Balance is]],1)&lt;&gt;"$",0,VALUE(LEFT(RBC_Personal_Accounts[[#This Row],[If Balance is]],FIND(" ",RBC_Personal_Accounts[[#This Row],[If Balance is]]))))</f>
        <v>60000</v>
      </c>
      <c r="H140">
        <v>30</v>
      </c>
    </row>
    <row r="141" spans="1:9" x14ac:dyDescent="0.35">
      <c r="B141" s="30" t="s">
        <v>446</v>
      </c>
      <c r="C141" s="30" t="s">
        <v>442</v>
      </c>
      <c r="E141" s="30">
        <f>IF(LEFT(RBC_Personal_Accounts[[#This Row],[If Balance is]],1)&lt;&gt;"$",0,VALUE(LEFT(RBC_Personal_Accounts[[#This Row],[If Balance is]],FIND(" ",RBC_Personal_Accounts[[#This Row],[If Balance is]]))))</f>
        <v>100000</v>
      </c>
      <c r="H141">
        <v>29</v>
      </c>
    </row>
    <row r="142" spans="1:9" x14ac:dyDescent="0.35">
      <c r="B142" s="30" t="s">
        <v>447</v>
      </c>
      <c r="C142" s="30" t="s">
        <v>442</v>
      </c>
      <c r="E142" s="30">
        <f>IF(LEFT(RBC_Personal_Accounts[[#This Row],[If Balance is]],1)&lt;&gt;"$",0,VALUE(LEFT(RBC_Personal_Accounts[[#This Row],[If Balance is]],FIND(" ",RBC_Personal_Accounts[[#This Row],[If Balance is]]))))</f>
        <v>150000</v>
      </c>
      <c r="H142">
        <v>28</v>
      </c>
    </row>
    <row r="143" spans="1:9" x14ac:dyDescent="0.35">
      <c r="B143" s="30" t="s">
        <v>448</v>
      </c>
      <c r="C143" s="30" t="s">
        <v>442</v>
      </c>
      <c r="E143" s="30">
        <f>IF(LEFT(RBC_Personal_Accounts[[#This Row],[If Balance is]],1)&lt;&gt;"$",0,VALUE(LEFT(RBC_Personal_Accounts[[#This Row],[If Balance is]],FIND(" ",RBC_Personal_Accounts[[#This Row],[If Balance is]]))))</f>
        <v>250000</v>
      </c>
      <c r="H143">
        <v>27</v>
      </c>
    </row>
    <row r="144" spans="1:9" x14ac:dyDescent="0.35">
      <c r="A144" t="s">
        <v>254</v>
      </c>
      <c r="B144" s="30" t="s">
        <v>432</v>
      </c>
      <c r="C144" s="30" t="s">
        <v>440</v>
      </c>
      <c r="E144" s="30">
        <f>IF(LEFT(RBC_Personal_Accounts[[#This Row],[If Balance is]],1)&lt;&gt;"$",0,VALUE(LEFT(RBC_Personal_Accounts[[#This Row],[If Balance is]],FIND(" ",RBC_Personal_Accounts[[#This Row],[If Balance is]]))))</f>
        <v>0</v>
      </c>
      <c r="H144">
        <v>26</v>
      </c>
      <c r="I144" t="s">
        <v>255</v>
      </c>
    </row>
    <row r="145" spans="1:9" x14ac:dyDescent="0.35">
      <c r="B145" s="30" t="s">
        <v>434</v>
      </c>
      <c r="C145" s="30" t="s">
        <v>441</v>
      </c>
      <c r="E145" s="30">
        <f>IF(LEFT(RBC_Personal_Accounts[[#This Row],[If Balance is]],1)&lt;&gt;"$",0,VALUE(LEFT(RBC_Personal_Accounts[[#This Row],[If Balance is]],FIND(" ",RBC_Personal_Accounts[[#This Row],[If Balance is]]))))</f>
        <v>1000</v>
      </c>
      <c r="H145">
        <v>25</v>
      </c>
    </row>
    <row r="146" spans="1:9" x14ac:dyDescent="0.35">
      <c r="B146" s="30" t="s">
        <v>435</v>
      </c>
      <c r="C146" s="30" t="s">
        <v>442</v>
      </c>
      <c r="E146" s="30">
        <f>IF(LEFT(RBC_Personal_Accounts[[#This Row],[If Balance is]],1)&lt;&gt;"$",0,VALUE(LEFT(RBC_Personal_Accounts[[#This Row],[If Balance is]],FIND(" ",RBC_Personal_Accounts[[#This Row],[If Balance is]]))))</f>
        <v>3000</v>
      </c>
      <c r="H146">
        <v>24</v>
      </c>
    </row>
    <row r="147" spans="1:9" x14ac:dyDescent="0.35">
      <c r="B147" s="30" t="s">
        <v>439</v>
      </c>
      <c r="C147" s="30" t="s">
        <v>442</v>
      </c>
      <c r="E147" s="30">
        <f>IF(LEFT(RBC_Personal_Accounts[[#This Row],[If Balance is]],1)&lt;&gt;"$",0,VALUE(LEFT(RBC_Personal_Accounts[[#This Row],[If Balance is]],FIND(" ",RBC_Personal_Accounts[[#This Row],[If Balance is]]))))</f>
        <v>5000</v>
      </c>
      <c r="H147">
        <v>23</v>
      </c>
    </row>
    <row r="148" spans="1:9" x14ac:dyDescent="0.35">
      <c r="A148" t="s">
        <v>253</v>
      </c>
      <c r="B148" s="30" t="s">
        <v>467</v>
      </c>
      <c r="C148" s="30" t="s">
        <v>433</v>
      </c>
      <c r="E148" s="30">
        <f>IF(LEFT(RBC_Personal_Accounts[[#This Row],[If Balance is]],1)&lt;&gt;"$",0,VALUE(LEFT(RBC_Personal_Accounts[[#This Row],[If Balance is]],FIND(" ",RBC_Personal_Accounts[[#This Row],[If Balance is]]))))</f>
        <v>0</v>
      </c>
      <c r="H148">
        <v>22</v>
      </c>
      <c r="I148" t="s">
        <v>254</v>
      </c>
    </row>
    <row r="149" spans="1:9" x14ac:dyDescent="0.35">
      <c r="A149" t="s">
        <v>252</v>
      </c>
      <c r="B149" s="30" t="s">
        <v>467</v>
      </c>
      <c r="C149" s="30" t="s">
        <v>433</v>
      </c>
      <c r="E149" s="30">
        <f>IF(LEFT(RBC_Personal_Accounts[[#This Row],[If Balance is]],1)&lt;&gt;"$",0,VALUE(LEFT(RBC_Personal_Accounts[[#This Row],[If Balance is]],FIND(" ",RBC_Personal_Accounts[[#This Row],[If Balance is]]))))</f>
        <v>0</v>
      </c>
      <c r="H149">
        <v>21</v>
      </c>
      <c r="I149" t="s">
        <v>253</v>
      </c>
    </row>
    <row r="150" spans="1:9" x14ac:dyDescent="0.35">
      <c r="A150" t="s">
        <v>251</v>
      </c>
      <c r="B150" s="30" t="s">
        <v>467</v>
      </c>
      <c r="C150" s="30" t="s">
        <v>433</v>
      </c>
      <c r="E150" s="30">
        <f>IF(LEFT(RBC_Personal_Accounts[[#This Row],[If Balance is]],1)&lt;&gt;"$",0,VALUE(LEFT(RBC_Personal_Accounts[[#This Row],[If Balance is]],FIND(" ",RBC_Personal_Accounts[[#This Row],[If Balance is]]))))</f>
        <v>0</v>
      </c>
      <c r="H150">
        <v>20</v>
      </c>
      <c r="I150" t="s">
        <v>252</v>
      </c>
    </row>
    <row r="151" spans="1:9" x14ac:dyDescent="0.35">
      <c r="A151" t="s">
        <v>250</v>
      </c>
      <c r="B151" s="30" t="s">
        <v>432</v>
      </c>
      <c r="C151" s="30" t="s">
        <v>441</v>
      </c>
      <c r="E151" s="30">
        <f>IF(LEFT(RBC_Personal_Accounts[[#This Row],[If Balance is]],1)&lt;&gt;"$",0,VALUE(LEFT(RBC_Personal_Accounts[[#This Row],[If Balance is]],FIND(" ",RBC_Personal_Accounts[[#This Row],[If Balance is]]))))</f>
        <v>0</v>
      </c>
      <c r="H151">
        <v>19</v>
      </c>
      <c r="I151" t="s">
        <v>251</v>
      </c>
    </row>
    <row r="152" spans="1:9" x14ac:dyDescent="0.35">
      <c r="B152" s="30" t="s">
        <v>434</v>
      </c>
      <c r="C152" s="30" t="s">
        <v>441</v>
      </c>
      <c r="E152" s="30">
        <f>IF(LEFT(RBC_Personal_Accounts[[#This Row],[If Balance is]],1)&lt;&gt;"$",0,VALUE(LEFT(RBC_Personal_Accounts[[#This Row],[If Balance is]],FIND(" ",RBC_Personal_Accounts[[#This Row],[If Balance is]]))))</f>
        <v>1000</v>
      </c>
      <c r="H152">
        <v>18</v>
      </c>
    </row>
    <row r="153" spans="1:9" x14ac:dyDescent="0.35">
      <c r="B153" s="30" t="s">
        <v>435</v>
      </c>
      <c r="C153" s="30" t="s">
        <v>442</v>
      </c>
      <c r="E153" s="30">
        <f>IF(LEFT(RBC_Personal_Accounts[[#This Row],[If Balance is]],1)&lt;&gt;"$",0,VALUE(LEFT(RBC_Personal_Accounts[[#This Row],[If Balance is]],FIND(" ",RBC_Personal_Accounts[[#This Row],[If Balance is]]))))</f>
        <v>3000</v>
      </c>
      <c r="H153">
        <v>17</v>
      </c>
    </row>
    <row r="154" spans="1:9" x14ac:dyDescent="0.35">
      <c r="B154" s="30" t="s">
        <v>439</v>
      </c>
      <c r="C154" s="30" t="s">
        <v>442</v>
      </c>
      <c r="E154" s="30">
        <f>IF(LEFT(RBC_Personal_Accounts[[#This Row],[If Balance is]],1)&lt;&gt;"$",0,VALUE(LEFT(RBC_Personal_Accounts[[#This Row],[If Balance is]],FIND(" ",RBC_Personal_Accounts[[#This Row],[If Balance is]]))))</f>
        <v>5000</v>
      </c>
      <c r="H154">
        <v>16</v>
      </c>
    </row>
    <row r="155" spans="1:9" x14ac:dyDescent="0.35">
      <c r="A155" t="s">
        <v>249</v>
      </c>
      <c r="B155" s="30" t="s">
        <v>467</v>
      </c>
      <c r="C155" s="30" t="s">
        <v>468</v>
      </c>
      <c r="E155" s="30">
        <f>IF(LEFT(RBC_Personal_Accounts[[#This Row],[If Balance is]],1)&lt;&gt;"$",0,VALUE(LEFT(RBC_Personal_Accounts[[#This Row],[If Balance is]],FIND(" ",RBC_Personal_Accounts[[#This Row],[If Balance is]]))))</f>
        <v>0</v>
      </c>
      <c r="H155">
        <v>15</v>
      </c>
      <c r="I155" t="s">
        <v>250</v>
      </c>
    </row>
    <row r="156" spans="1:9" x14ac:dyDescent="0.35">
      <c r="A156" t="s">
        <v>248</v>
      </c>
      <c r="B156" s="30" t="s">
        <v>432</v>
      </c>
      <c r="C156" s="30" t="s">
        <v>440</v>
      </c>
      <c r="E156" s="30">
        <f>IF(LEFT(RBC_Personal_Accounts[[#This Row],[If Balance is]],1)&lt;&gt;"$",0,VALUE(LEFT(RBC_Personal_Accounts[[#This Row],[If Balance is]],FIND(" ",RBC_Personal_Accounts[[#This Row],[If Balance is]]))))</f>
        <v>0</v>
      </c>
      <c r="H156">
        <v>14</v>
      </c>
      <c r="I156" t="s">
        <v>249</v>
      </c>
    </row>
    <row r="157" spans="1:9" x14ac:dyDescent="0.35">
      <c r="B157" s="30" t="s">
        <v>434</v>
      </c>
      <c r="C157" s="30" t="s">
        <v>441</v>
      </c>
      <c r="E157" s="30">
        <f>IF(LEFT(RBC_Personal_Accounts[[#This Row],[If Balance is]],1)&lt;&gt;"$",0,VALUE(LEFT(RBC_Personal_Accounts[[#This Row],[If Balance is]],FIND(" ",RBC_Personal_Accounts[[#This Row],[If Balance is]]))))</f>
        <v>1000</v>
      </c>
      <c r="H157">
        <v>13</v>
      </c>
    </row>
    <row r="158" spans="1:9" x14ac:dyDescent="0.35">
      <c r="B158" s="30" t="s">
        <v>435</v>
      </c>
      <c r="C158" s="30" t="s">
        <v>442</v>
      </c>
      <c r="E158" s="30">
        <f>IF(LEFT(RBC_Personal_Accounts[[#This Row],[If Balance is]],1)&lt;&gt;"$",0,VALUE(LEFT(RBC_Personal_Accounts[[#This Row],[If Balance is]],FIND(" ",RBC_Personal_Accounts[[#This Row],[If Balance is]]))))</f>
        <v>3000</v>
      </c>
      <c r="H158">
        <v>12</v>
      </c>
    </row>
    <row r="159" spans="1:9" x14ac:dyDescent="0.35">
      <c r="B159" s="30" t="s">
        <v>439</v>
      </c>
      <c r="C159" s="30" t="s">
        <v>442</v>
      </c>
      <c r="E159" s="30">
        <f>IF(LEFT(RBC_Personal_Accounts[[#This Row],[If Balance is]],1)&lt;&gt;"$",0,VALUE(LEFT(RBC_Personal_Accounts[[#This Row],[If Balance is]],FIND(" ",RBC_Personal_Accounts[[#This Row],[If Balance is]]))))</f>
        <v>5000</v>
      </c>
      <c r="H159">
        <v>11</v>
      </c>
    </row>
    <row r="160" spans="1:9" x14ac:dyDescent="0.35">
      <c r="A160" t="s">
        <v>247</v>
      </c>
      <c r="B160" s="30" t="s">
        <v>443</v>
      </c>
      <c r="C160" s="30" t="s">
        <v>433</v>
      </c>
      <c r="E160" s="30">
        <f>IF(LEFT(RBC_Personal_Accounts[[#This Row],[If Balance is]],1)&lt;&gt;"$",0,VALUE(LEFT(RBC_Personal_Accounts[[#This Row],[If Balance is]],FIND(" ",RBC_Personal_Accounts[[#This Row],[If Balance is]]))))</f>
        <v>0</v>
      </c>
      <c r="H160">
        <v>10</v>
      </c>
      <c r="I160" t="s">
        <v>248</v>
      </c>
    </row>
    <row r="161" spans="1:9" x14ac:dyDescent="0.35">
      <c r="B161" s="30" t="s">
        <v>444</v>
      </c>
      <c r="C161" s="30" t="s">
        <v>436</v>
      </c>
      <c r="E161" s="30">
        <f>IF(LEFT(RBC_Personal_Accounts[[#This Row],[If Balance is]],1)&lt;&gt;"$",0,VALUE(LEFT(RBC_Personal_Accounts[[#This Row],[If Balance is]],FIND(" ",RBC_Personal_Accounts[[#This Row],[If Balance is]]))))</f>
        <v>5000</v>
      </c>
      <c r="H161">
        <v>9</v>
      </c>
    </row>
    <row r="162" spans="1:9" x14ac:dyDescent="0.35">
      <c r="B162" s="30" t="s">
        <v>445</v>
      </c>
      <c r="C162" s="30" t="s">
        <v>440</v>
      </c>
      <c r="E162" s="30">
        <f>IF(LEFT(RBC_Personal_Accounts[[#This Row],[If Balance is]],1)&lt;&gt;"$",0,VALUE(LEFT(RBC_Personal_Accounts[[#This Row],[If Balance is]],FIND(" ",RBC_Personal_Accounts[[#This Row],[If Balance is]]))))</f>
        <v>10000</v>
      </c>
      <c r="H162">
        <v>8</v>
      </c>
    </row>
    <row r="163" spans="1:9" x14ac:dyDescent="0.35">
      <c r="B163" s="30" t="s">
        <v>58</v>
      </c>
      <c r="C163" s="30" t="s">
        <v>441</v>
      </c>
      <c r="E163" s="30">
        <f>IF(LEFT(RBC_Personal_Accounts[[#This Row],[If Balance is]],1)&lt;&gt;"$",0,VALUE(LEFT(RBC_Personal_Accounts[[#This Row],[If Balance is]],FIND(" ",RBC_Personal_Accounts[[#This Row],[If Balance is]]))))</f>
        <v>25000</v>
      </c>
      <c r="H163">
        <v>7</v>
      </c>
    </row>
    <row r="164" spans="1:9" x14ac:dyDescent="0.35">
      <c r="B164" s="30" t="s">
        <v>57</v>
      </c>
      <c r="C164" s="30" t="s">
        <v>442</v>
      </c>
      <c r="E164" s="30">
        <f>IF(LEFT(RBC_Personal_Accounts[[#This Row],[If Balance is]],1)&lt;&gt;"$",0,VALUE(LEFT(RBC_Personal_Accounts[[#This Row],[If Balance is]],FIND(" ",RBC_Personal_Accounts[[#This Row],[If Balance is]]))))</f>
        <v>60000</v>
      </c>
      <c r="H164">
        <v>6</v>
      </c>
    </row>
    <row r="165" spans="1:9" x14ac:dyDescent="0.35">
      <c r="B165" s="30" t="s">
        <v>446</v>
      </c>
      <c r="C165" s="30" t="s">
        <v>442</v>
      </c>
      <c r="E165" s="30">
        <f>IF(LEFT(RBC_Personal_Accounts[[#This Row],[If Balance is]],1)&lt;&gt;"$",0,VALUE(LEFT(RBC_Personal_Accounts[[#This Row],[If Balance is]],FIND(" ",RBC_Personal_Accounts[[#This Row],[If Balance is]]))))</f>
        <v>100000</v>
      </c>
      <c r="H165">
        <v>5</v>
      </c>
    </row>
    <row r="166" spans="1:9" x14ac:dyDescent="0.35">
      <c r="B166" s="30" t="s">
        <v>447</v>
      </c>
      <c r="C166" s="30" t="s">
        <v>442</v>
      </c>
      <c r="E166" s="30">
        <f>IF(LEFT(RBC_Personal_Accounts[[#This Row],[If Balance is]],1)&lt;&gt;"$",0,VALUE(LEFT(RBC_Personal_Accounts[[#This Row],[If Balance is]],FIND(" ",RBC_Personal_Accounts[[#This Row],[If Balance is]]))))</f>
        <v>150000</v>
      </c>
      <c r="H166">
        <v>4</v>
      </c>
    </row>
    <row r="167" spans="1:9" x14ac:dyDescent="0.35">
      <c r="B167" s="30" t="s">
        <v>448</v>
      </c>
      <c r="C167" s="30" t="s">
        <v>442</v>
      </c>
      <c r="E167" s="30">
        <f>IF(LEFT(RBC_Personal_Accounts[[#This Row],[If Balance is]],1)&lt;&gt;"$",0,VALUE(LEFT(RBC_Personal_Accounts[[#This Row],[If Balance is]],FIND(" ",RBC_Personal_Accounts[[#This Row],[If Balance is]]))))</f>
        <v>250000</v>
      </c>
      <c r="H167">
        <v>3</v>
      </c>
    </row>
    <row r="168" spans="1:9" x14ac:dyDescent="0.35">
      <c r="A168" t="s">
        <v>50</v>
      </c>
      <c r="B168" s="30" t="s">
        <v>467</v>
      </c>
      <c r="C168" s="30" t="s">
        <v>468</v>
      </c>
      <c r="E168" s="30">
        <f>IF(LEFT(RBC_Personal_Accounts[[#This Row],[If Balance is]],1)&lt;&gt;"$",0,VALUE(LEFT(RBC_Personal_Accounts[[#This Row],[If Balance is]],FIND(" ",RBC_Personal_Accounts[[#This Row],[If Balance is]]))))</f>
        <v>0</v>
      </c>
      <c r="H168">
        <v>2</v>
      </c>
      <c r="I168" t="s">
        <v>247</v>
      </c>
    </row>
    <row r="169" spans="1:9" x14ac:dyDescent="0.35">
      <c r="E169" s="30"/>
      <c r="H169">
        <v>1</v>
      </c>
      <c r="I169" t="s">
        <v>50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0AD-1C8C-4DC3-850F-7FC1DE304E58}">
  <sheetPr codeName="Sheet16"/>
  <dimension ref="A1:D95"/>
  <sheetViews>
    <sheetView workbookViewId="0">
      <selection activeCell="C6" sqref="C6"/>
    </sheetView>
  </sheetViews>
  <sheetFormatPr defaultRowHeight="14.5" x14ac:dyDescent="0.35"/>
  <cols>
    <col min="1" max="1" width="56.7265625" bestFit="1" customWidth="1"/>
    <col min="2" max="2" width="33.81640625" bestFit="1" customWidth="1"/>
    <col min="3" max="3" width="14" style="30" bestFit="1" customWidth="1"/>
    <col min="4" max="4" width="14.7265625" bestFit="1" customWidth="1"/>
  </cols>
  <sheetData>
    <row r="1" spans="1:4" x14ac:dyDescent="0.35">
      <c r="A1" t="s">
        <v>353</v>
      </c>
      <c r="B1" t="s">
        <v>290</v>
      </c>
      <c r="C1" t="s">
        <v>55</v>
      </c>
    </row>
    <row r="2" spans="1:4" x14ac:dyDescent="0.35">
      <c r="B2" s="15" t="s">
        <v>413</v>
      </c>
      <c r="C2" s="30">
        <v>2E-3</v>
      </c>
    </row>
    <row r="3" spans="1:4" x14ac:dyDescent="0.35">
      <c r="B3" s="15" t="s">
        <v>340</v>
      </c>
      <c r="C3" s="30">
        <v>0</v>
      </c>
    </row>
    <row r="4" spans="1:4" x14ac:dyDescent="0.35">
      <c r="B4" s="15" t="s">
        <v>414</v>
      </c>
      <c r="C4" s="30">
        <v>0.15</v>
      </c>
    </row>
    <row r="5" spans="1:4" x14ac:dyDescent="0.35">
      <c r="A5" t="s">
        <v>354</v>
      </c>
      <c r="B5" s="15" t="s">
        <v>24</v>
      </c>
      <c r="C5" s="30">
        <v>2E-3</v>
      </c>
      <c r="D5" s="30"/>
    </row>
    <row r="6" spans="1:4" x14ac:dyDescent="0.35">
      <c r="B6" s="15" t="s">
        <v>348</v>
      </c>
      <c r="C6" s="30">
        <v>4.4999999999999997E-3</v>
      </c>
    </row>
    <row r="7" spans="1:4" x14ac:dyDescent="0.35">
      <c r="B7" s="15" t="s">
        <v>349</v>
      </c>
      <c r="C7" s="30">
        <v>2E-3</v>
      </c>
    </row>
    <row r="8" spans="1:4" x14ac:dyDescent="0.35">
      <c r="B8" s="15" t="s">
        <v>350</v>
      </c>
      <c r="C8" s="30">
        <v>2E-3</v>
      </c>
    </row>
    <row r="9" spans="1:4" s="30" customFormat="1" x14ac:dyDescent="0.35">
      <c r="B9" s="61" t="s">
        <v>351</v>
      </c>
      <c r="C9" s="30">
        <v>2E-3</v>
      </c>
    </row>
    <row r="10" spans="1:4" s="30" customFormat="1" x14ac:dyDescent="0.35">
      <c r="B10" s="61" t="s">
        <v>311</v>
      </c>
      <c r="C10" s="30">
        <v>2E-3</v>
      </c>
    </row>
    <row r="11" spans="1:4" s="30" customFormat="1" x14ac:dyDescent="0.35">
      <c r="B11" s="61" t="s">
        <v>352</v>
      </c>
      <c r="C11" s="30">
        <v>2E-3</v>
      </c>
    </row>
    <row r="12" spans="1:4" s="30" customFormat="1" x14ac:dyDescent="0.35">
      <c r="B12" s="61"/>
    </row>
    <row r="13" spans="1:4" s="30" customFormat="1" x14ac:dyDescent="0.35"/>
    <row r="14" spans="1:4" s="30" customFormat="1" x14ac:dyDescent="0.35">
      <c r="B14"/>
      <c r="C14" s="27"/>
    </row>
    <row r="15" spans="1:4" s="30" customFormat="1" x14ac:dyDescent="0.35">
      <c r="B15" t="s">
        <v>341</v>
      </c>
      <c r="C15" t="s">
        <v>384</v>
      </c>
    </row>
    <row r="16" spans="1:4" s="30" customFormat="1" x14ac:dyDescent="0.35">
      <c r="A16" s="45" t="s">
        <v>327</v>
      </c>
      <c r="B16" s="30">
        <v>1.5E-3</v>
      </c>
      <c r="C16" s="30">
        <v>2.5000000000000001E-3</v>
      </c>
    </row>
    <row r="17" spans="1:4" s="30" customFormat="1" x14ac:dyDescent="0.35"/>
    <row r="18" spans="1:4" s="30" customFormat="1" x14ac:dyDescent="0.35">
      <c r="B18"/>
    </row>
    <row r="19" spans="1:4" x14ac:dyDescent="0.35">
      <c r="A19" t="s">
        <v>111</v>
      </c>
    </row>
    <row r="20" spans="1:4" s="30" customFormat="1" x14ac:dyDescent="0.35">
      <c r="B20"/>
      <c r="D20"/>
    </row>
    <row r="21" spans="1:4" x14ac:dyDescent="0.35">
      <c r="A21" s="30" t="s">
        <v>46</v>
      </c>
    </row>
    <row r="22" spans="1:4" x14ac:dyDescent="0.35">
      <c r="A22" s="30"/>
    </row>
    <row r="23" spans="1:4" x14ac:dyDescent="0.35">
      <c r="A23" s="30"/>
    </row>
    <row r="25" spans="1:4" x14ac:dyDescent="0.35">
      <c r="A25" t="s">
        <v>112</v>
      </c>
    </row>
    <row r="31" spans="1:4" x14ac:dyDescent="0.35">
      <c r="A31" t="s">
        <v>113</v>
      </c>
    </row>
    <row r="37" spans="1:1" x14ac:dyDescent="0.35">
      <c r="A37" t="s">
        <v>114</v>
      </c>
    </row>
    <row r="43" spans="1:1" x14ac:dyDescent="0.35">
      <c r="A43" t="s">
        <v>115</v>
      </c>
    </row>
    <row r="57" spans="1:1" x14ac:dyDescent="0.35">
      <c r="A57" t="s">
        <v>116</v>
      </c>
    </row>
    <row r="70" spans="1:1" x14ac:dyDescent="0.35">
      <c r="A70" t="s">
        <v>117</v>
      </c>
    </row>
    <row r="80" spans="1:1" x14ac:dyDescent="0.35">
      <c r="A80" t="s">
        <v>118</v>
      </c>
    </row>
    <row r="83" spans="1:1" x14ac:dyDescent="0.35">
      <c r="A83" t="s">
        <v>119</v>
      </c>
    </row>
    <row r="85" spans="1:1" x14ac:dyDescent="0.35">
      <c r="A85" t="s">
        <v>120</v>
      </c>
    </row>
    <row r="87" spans="1:1" x14ac:dyDescent="0.35">
      <c r="A87" t="s">
        <v>121</v>
      </c>
    </row>
    <row r="95" spans="1:1" x14ac:dyDescent="0.35">
      <c r="A95" s="2"/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1E488-A533-46E9-9E95-49B2C3E8508D}">
  <sheetPr codeName="Sheet14"/>
  <dimension ref="A1:D56"/>
  <sheetViews>
    <sheetView workbookViewId="0"/>
  </sheetViews>
  <sheetFormatPr defaultRowHeight="14.5" x14ac:dyDescent="0.35"/>
  <cols>
    <col min="1" max="1" width="23.7265625" bestFit="1" customWidth="1"/>
    <col min="2" max="2" width="23.08984375" bestFit="1" customWidth="1"/>
    <col min="3" max="3" width="24.81640625" bestFit="1" customWidth="1"/>
    <col min="4" max="4" width="27" bestFit="1" customWidth="1"/>
    <col min="5" max="6" width="81.1796875" bestFit="1" customWidth="1"/>
  </cols>
  <sheetData>
    <row r="1" spans="1:4" s="1" customFormat="1" x14ac:dyDescent="0.35">
      <c r="A1" s="1" t="s">
        <v>72</v>
      </c>
    </row>
    <row r="2" spans="1:4" x14ac:dyDescent="0.35">
      <c r="B2" t="s">
        <v>73</v>
      </c>
      <c r="C2" t="s">
        <v>74</v>
      </c>
      <c r="D2" t="s">
        <v>75</v>
      </c>
    </row>
    <row r="3" spans="1:4" x14ac:dyDescent="0.35">
      <c r="A3" t="s">
        <v>76</v>
      </c>
      <c r="B3" t="s">
        <v>426</v>
      </c>
      <c r="C3" t="s">
        <v>427</v>
      </c>
    </row>
    <row r="4" spans="1:4" x14ac:dyDescent="0.35">
      <c r="B4" t="s">
        <v>77</v>
      </c>
      <c r="C4" t="s">
        <v>77</v>
      </c>
    </row>
    <row r="5" spans="1:4" x14ac:dyDescent="0.35">
      <c r="B5" t="s">
        <v>78</v>
      </c>
      <c r="C5" t="s">
        <v>78</v>
      </c>
    </row>
    <row r="6" spans="1:4" x14ac:dyDescent="0.35">
      <c r="A6" t="s">
        <v>79</v>
      </c>
      <c r="B6" t="s">
        <v>412</v>
      </c>
      <c r="C6" t="s">
        <v>412</v>
      </c>
    </row>
    <row r="7" spans="1:4" x14ac:dyDescent="0.35">
      <c r="B7" t="s">
        <v>77</v>
      </c>
      <c r="C7" t="s">
        <v>77</v>
      </c>
    </row>
    <row r="8" spans="1:4" x14ac:dyDescent="0.35">
      <c r="B8" t="s">
        <v>78</v>
      </c>
      <c r="C8" t="s">
        <v>78</v>
      </c>
    </row>
    <row r="11" spans="1:4" s="1" customFormat="1" x14ac:dyDescent="0.35">
      <c r="A11" s="1" t="s">
        <v>80</v>
      </c>
    </row>
    <row r="12" spans="1:4" x14ac:dyDescent="0.35">
      <c r="B12" t="s">
        <v>299</v>
      </c>
    </row>
    <row r="19" spans="1:2" s="1" customFormat="1" x14ac:dyDescent="0.35">
      <c r="A19" s="1" t="s">
        <v>51</v>
      </c>
    </row>
    <row r="20" spans="1:2" x14ac:dyDescent="0.35">
      <c r="B20" t="s">
        <v>299</v>
      </c>
    </row>
    <row r="35" spans="1:2" s="1" customFormat="1" x14ac:dyDescent="0.35">
      <c r="A35" s="1" t="s">
        <v>81</v>
      </c>
    </row>
    <row r="37" spans="1:2" x14ac:dyDescent="0.35">
      <c r="A37" t="s">
        <v>82</v>
      </c>
      <c r="B37" t="s">
        <v>299</v>
      </c>
    </row>
    <row r="44" spans="1:2" s="1" customFormat="1" x14ac:dyDescent="0.35">
      <c r="A44" s="1" t="s">
        <v>83</v>
      </c>
    </row>
    <row r="45" spans="1:2" x14ac:dyDescent="0.35">
      <c r="A45" t="s">
        <v>84</v>
      </c>
      <c r="B45" t="s">
        <v>299</v>
      </c>
    </row>
    <row r="48" spans="1:2" x14ac:dyDescent="0.35">
      <c r="A48" t="s">
        <v>85</v>
      </c>
      <c r="B48" t="s">
        <v>299</v>
      </c>
    </row>
    <row r="55" spans="1:2" s="1" customFormat="1" x14ac:dyDescent="0.35">
      <c r="A55" s="1" t="s">
        <v>86</v>
      </c>
    </row>
    <row r="56" spans="1:2" x14ac:dyDescent="0.35">
      <c r="B56" t="s">
        <v>299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53BD9-53DC-44FE-B29D-A4120EF4DE82}">
  <sheetPr codeName="Sheet6"/>
  <dimension ref="A1:C2"/>
  <sheetViews>
    <sheetView workbookViewId="0">
      <selection activeCell="Q21" sqref="Q21"/>
    </sheetView>
  </sheetViews>
  <sheetFormatPr defaultRowHeight="14.5" x14ac:dyDescent="0.35"/>
  <cols>
    <col min="1" max="1" width="16.453125" style="30" bestFit="1" customWidth="1"/>
    <col min="2" max="2" width="7.6328125" bestFit="1" customWidth="1"/>
    <col min="3" max="3" width="13.26953125" style="30" bestFit="1" customWidth="1"/>
    <col min="4" max="4" width="11.08984375" customWidth="1"/>
    <col min="5" max="5" width="6.7265625" bestFit="1" customWidth="1"/>
  </cols>
  <sheetData>
    <row r="1" spans="1:3" x14ac:dyDescent="0.35">
      <c r="A1" s="30" t="s">
        <v>469</v>
      </c>
      <c r="C1" t="s">
        <v>470</v>
      </c>
    </row>
    <row r="2" spans="1:3" x14ac:dyDescent="0.35">
      <c r="C2" s="15">
        <v>8.9999999999999993E-3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40194-4AB0-4ED4-BCDB-889AE2CD1E02}">
  <dimension ref="A1:E3"/>
  <sheetViews>
    <sheetView workbookViewId="0">
      <selection activeCell="A3" sqref="A3"/>
    </sheetView>
  </sheetViews>
  <sheetFormatPr defaultRowHeight="14.5" x14ac:dyDescent="0.35"/>
  <cols>
    <col min="1" max="1" width="25.1796875" bestFit="1" customWidth="1"/>
    <col min="2" max="2" width="37.36328125" bestFit="1" customWidth="1"/>
    <col min="4" max="4" width="11.81640625" bestFit="1" customWidth="1"/>
  </cols>
  <sheetData>
    <row r="1" spans="1:5" x14ac:dyDescent="0.35">
      <c r="A1" t="s">
        <v>475</v>
      </c>
      <c r="B1" t="s">
        <v>476</v>
      </c>
      <c r="D1" s="27" t="s">
        <v>236</v>
      </c>
    </row>
    <row r="2" spans="1:5" x14ac:dyDescent="0.35">
      <c r="A2" s="15" t="s">
        <v>477</v>
      </c>
      <c r="B2" s="30">
        <v>1.6500000000000001E-2</v>
      </c>
      <c r="D2" s="30">
        <v>0</v>
      </c>
    </row>
    <row r="3" spans="1:5" x14ac:dyDescent="0.35">
      <c r="A3" s="15" t="s">
        <v>478</v>
      </c>
      <c r="B3" s="30">
        <v>6.4999999999999997E-3</v>
      </c>
      <c r="D3" s="69">
        <v>500000.01</v>
      </c>
      <c r="E3" s="30"/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0BAA-1B75-4F30-BC66-CE0E0E285018}">
  <dimension ref="A1:B2"/>
  <sheetViews>
    <sheetView workbookViewId="0">
      <selection activeCell="G15" sqref="G15"/>
    </sheetView>
  </sheetViews>
  <sheetFormatPr defaultRowHeight="14.5" x14ac:dyDescent="0.35"/>
  <cols>
    <col min="1" max="1" width="28.453125" style="30" customWidth="1"/>
    <col min="2" max="2" width="23.26953125" customWidth="1"/>
    <col min="3" max="3" width="8" bestFit="1" customWidth="1"/>
    <col min="4" max="4" width="6.7265625" bestFit="1" customWidth="1"/>
  </cols>
  <sheetData>
    <row r="1" spans="1:2" x14ac:dyDescent="0.35">
      <c r="B1" t="s">
        <v>55</v>
      </c>
    </row>
    <row r="2" spans="1:2" x14ac:dyDescent="0.35">
      <c r="A2" s="30" t="s">
        <v>484</v>
      </c>
      <c r="B2">
        <v>1.4E-2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FDA45-987F-4F06-86DB-002C7DB53F25}">
  <dimension ref="A1:E7"/>
  <sheetViews>
    <sheetView workbookViewId="0">
      <selection activeCell="E17" sqref="E17"/>
    </sheetView>
  </sheetViews>
  <sheetFormatPr defaultRowHeight="14.5" x14ac:dyDescent="0.35"/>
  <cols>
    <col min="1" max="1" width="27.90625" customWidth="1"/>
    <col min="2" max="2" width="20.26953125" style="30" bestFit="1" customWidth="1"/>
    <col min="3" max="3" width="14" style="30" bestFit="1" customWidth="1"/>
    <col min="4" max="4" width="20.26953125" bestFit="1" customWidth="1"/>
    <col min="5" max="5" width="11.54296875" customWidth="1"/>
  </cols>
  <sheetData>
    <row r="1" spans="1:5" x14ac:dyDescent="0.35">
      <c r="B1" t="s">
        <v>141</v>
      </c>
      <c r="C1" t="s">
        <v>55</v>
      </c>
      <c r="E1" s="27" t="s">
        <v>236</v>
      </c>
    </row>
    <row r="2" spans="1:5" x14ac:dyDescent="0.35">
      <c r="A2" t="s">
        <v>487</v>
      </c>
      <c r="B2" s="15" t="s">
        <v>489</v>
      </c>
      <c r="C2">
        <v>1.2500000000000001E-2</v>
      </c>
      <c r="E2" s="30">
        <v>0</v>
      </c>
    </row>
    <row r="3" spans="1:5" x14ac:dyDescent="0.35">
      <c r="B3" s="15" t="s">
        <v>490</v>
      </c>
      <c r="C3">
        <v>5.0000000000000001E-3</v>
      </c>
      <c r="E3" s="72">
        <v>5000000.01</v>
      </c>
    </row>
    <row r="6" spans="1:5" x14ac:dyDescent="0.35">
      <c r="B6" s="48" t="s">
        <v>141</v>
      </c>
      <c r="C6" t="s">
        <v>55</v>
      </c>
    </row>
    <row r="7" spans="1:5" x14ac:dyDescent="0.35">
      <c r="A7" s="30" t="s">
        <v>488</v>
      </c>
      <c r="B7" s="73" t="s">
        <v>491</v>
      </c>
      <c r="C7">
        <v>1.7500000000000002E-2</v>
      </c>
      <c r="E7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1F8BB24253EE468C1AE04534ADADE2" ma:contentTypeVersion="12" ma:contentTypeDescription="Create a new document." ma:contentTypeScope="" ma:versionID="1e0e6e7db34f26377e222728e045ae2e">
  <xsd:schema xmlns:xsd="http://www.w3.org/2001/XMLSchema" xmlns:xs="http://www.w3.org/2001/XMLSchema" xmlns:p="http://schemas.microsoft.com/office/2006/metadata/properties" xmlns:ns3="6b4b5f48-d95b-409b-a2fd-62158cab08cc" xmlns:ns4="77a46e2a-71fc-4523-a169-ad2580d287f7" targetNamespace="http://schemas.microsoft.com/office/2006/metadata/properties" ma:root="true" ma:fieldsID="009bfb6bd313bd542acc230c11d13a99" ns3:_="" ns4:_="">
    <xsd:import namespace="6b4b5f48-d95b-409b-a2fd-62158cab08cc"/>
    <xsd:import namespace="77a46e2a-71fc-4523-a169-ad2580d287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b5f48-d95b-409b-a2fd-62158cab08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a46e2a-71fc-4523-a169-ad2580d287f7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7AFEEE2C-E446-459A-8495-D1B6CAF912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4b5f48-d95b-409b-a2fd-62158cab08cc"/>
    <ds:schemaRef ds:uri="77a46e2a-71fc-4523-a169-ad2580d287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845BE5C-9FF2-4399-BCDE-2EB5FB3D194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51123BF-A223-404C-8453-3DF6976AC9A0}">
  <ds:schemaRefs>
    <ds:schemaRef ds:uri="http://schemas.microsoft.com/office/2006/documentManagement/types"/>
    <ds:schemaRef ds:uri="http://schemas.openxmlformats.org/package/2006/metadata/core-properties"/>
    <ds:schemaRef ds:uri="6b4b5f48-d95b-409b-a2fd-62158cab08cc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terms/"/>
    <ds:schemaRef ds:uri="77a46e2a-71fc-4523-a169-ad2580d287f7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D0F1078E-237A-485A-B67A-78DE889605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Menu</vt:lpstr>
      <vt:lpstr>Retail_Report</vt:lpstr>
      <vt:lpstr>US$_Report</vt:lpstr>
      <vt:lpstr>Broker_Report</vt:lpstr>
      <vt:lpstr>CIBC</vt:lpstr>
      <vt:lpstr>BMO</vt:lpstr>
      <vt:lpstr>BNS</vt:lpstr>
      <vt:lpstr>Simplii</vt:lpstr>
      <vt:lpstr>NBC</vt:lpstr>
      <vt:lpstr>HSBC</vt:lpstr>
      <vt:lpstr>B2B</vt:lpstr>
      <vt:lpstr>Meridian</vt:lpstr>
      <vt:lpstr>Altamira</vt:lpstr>
      <vt:lpstr>HomeTrust</vt:lpstr>
      <vt:lpstr>EQ</vt:lpstr>
      <vt:lpstr>CT</vt:lpstr>
      <vt:lpstr>TD</vt:lpstr>
      <vt:lpstr>RBC</vt:lpstr>
      <vt:lpstr>Manulife</vt:lpstr>
      <vt:lpstr>ICICI</vt:lpstr>
      <vt:lpstr>Wealthsimple</vt:lpstr>
      <vt:lpstr>LBC Digital</vt:lpstr>
      <vt:lpstr>MotusBank</vt:lpstr>
      <vt:lpstr>Motive Financial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Rudrabhatla, Anila</dc:creator>
  <cp:keywords/>
  <dc:description/>
  <cp:lastModifiedBy>Artemyeva, Tatiana</cp:lastModifiedBy>
  <cp:revision/>
  <cp:lastPrinted>2019-07-02T14:04:23Z</cp:lastPrinted>
  <dcterms:created xsi:type="dcterms:W3CDTF">2015-06-05T18:17:20Z</dcterms:created>
  <dcterms:modified xsi:type="dcterms:W3CDTF">2020-09-11T19:14:27Z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0x0101003A1F8BB24253EE468C1AE04534ADADE2</vt:lpwstr>
  </property>
</Properties>
</file>