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H:\Rate Scanner\Testing Zone\"/>
    </mc:Choice>
  </mc:AlternateContent>
  <xr:revisionPtr revIDLastSave="0" documentId="13_ncr:1_{01AB63FA-2F4F-4864-8D40-E4E0D1A7F703}" xr6:coauthVersionLast="41" xr6:coauthVersionMax="41" xr10:uidLastSave="{00000000-0000-0000-0000-000000000000}"/>
  <bookViews>
    <workbookView xWindow="28680" yWindow="-120" windowWidth="29040" windowHeight="15840" tabRatio="931" activeTab="1" xr2:uid="{00000000-000D-0000-FFFF-FFFF00000000}"/>
  </bookViews>
  <sheets>
    <sheet name="Menu" sheetId="29" r:id="rId1"/>
    <sheet name="Retail_Report" sheetId="24" r:id="rId2"/>
    <sheet name="US$_Report" sheetId="25" r:id="rId3"/>
    <sheet name="Broker_Report" sheetId="26" r:id="rId4"/>
    <sheet name="Dev Change Log" sheetId="38" r:id="rId5"/>
    <sheet name="CIBC" sheetId="30" r:id="rId6"/>
    <sheet name="BMO" sheetId="27" r:id="rId7"/>
    <sheet name="BNS" sheetId="60" r:id="rId8"/>
    <sheet name="Simplii" sheetId="20" r:id="rId9"/>
    <sheet name="NBC" sheetId="22" r:id="rId10"/>
    <sheet name="HSBC" sheetId="32" r:id="rId11"/>
    <sheet name="B2B" sheetId="28" r:id="rId12"/>
    <sheet name="Meridian" sheetId="33" r:id="rId13"/>
    <sheet name="Altamira" sheetId="37" r:id="rId14"/>
    <sheet name="HomeTrust" sheetId="59" r:id="rId15"/>
    <sheet name="EQ" sheetId="39" r:id="rId16"/>
    <sheet name="ICICI" sheetId="21" r:id="rId17"/>
    <sheet name="CT" sheetId="5" r:id="rId18"/>
    <sheet name="TD" sheetId="12" r:id="rId19"/>
    <sheet name="RBC" sheetId="41" r:id="rId20"/>
    <sheet name="Manulife" sheetId="23" r:id="rId21"/>
  </sheets>
  <functionGroups builtInGroupCount="19"/>
  <definedNames>
    <definedName name="ExternalData_1" localSheetId="13" hidden="1">Altamira!$A$1:$F$12</definedName>
    <definedName name="ExternalData_1" localSheetId="11" hidden="1">B2B!$B$1:$E$8</definedName>
    <definedName name="ExternalData_1" localSheetId="7" hidden="1">BNS!$B$1:$E$36</definedName>
    <definedName name="ExternalData_1" localSheetId="17" hidden="1">CT!$A$1:$B$2</definedName>
    <definedName name="ExternalData_1" localSheetId="14" hidden="1">HomeTrust!$A$1:$B$13</definedName>
    <definedName name="ExternalData_1" localSheetId="10" hidden="1">HSBC!$B$1:$C$5</definedName>
    <definedName name="ExternalData_1" localSheetId="16" hidden="1">ICICI!$B$2:$D$9</definedName>
    <definedName name="ExternalData_1" localSheetId="12" hidden="1">Meridian!$A$1:$C$5</definedName>
    <definedName name="ExternalData_1" localSheetId="9" hidden="1">NBC!$B$1:$C$28</definedName>
    <definedName name="ExternalData_1" localSheetId="8" hidden="1">Simplii!$B$10:$C$11</definedName>
    <definedName name="ExternalData_1" localSheetId="18" hidden="1">TD!$B$2:$C$26</definedName>
    <definedName name="ExternalData_12" localSheetId="19" hidden="1">RBC!$B$1:$D$7</definedName>
    <definedName name="ExternalData_12" localSheetId="18" hidden="1">TD!$G$39:$K$44</definedName>
    <definedName name="ExternalData_13" localSheetId="19" hidden="1">RBC!$B$12:$C$168</definedName>
    <definedName name="ExternalData_14" localSheetId="18" hidden="1">TD!$B$29:$C$37</definedName>
    <definedName name="ExternalData_16" localSheetId="5" hidden="1">CIBC!$B$24:$B$25</definedName>
    <definedName name="ExternalData_17" localSheetId="5" hidden="1">CIBC!$B$20:$C$22</definedName>
    <definedName name="ExternalData_2" localSheetId="5" hidden="1">CIBC!$B$1:$C$13</definedName>
    <definedName name="ExternalData_2" localSheetId="10" hidden="1">HSBC!$B$9:$G$13</definedName>
    <definedName name="ExternalData_6" localSheetId="20" hidden="1">Manulife!$B$17:$C$18</definedName>
    <definedName name="ExternalData_7" localSheetId="7" hidden="1">BNS!$B$39:$D$41</definedName>
    <definedName name="ExternalData_7" localSheetId="20" hidden="1">Manulife!$B$1:$C$13</definedName>
    <definedName name="Query___BMO___SBA_SSA_PRSA" localSheetId="6" hidden="1">BMO!$B$1:$C$14</definedName>
    <definedName name="Query___Column1" localSheetId="15" hidden="1">EQ!#REF!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5" i="26" l="1"/>
  <c r="K16" i="26"/>
  <c r="K17" i="26"/>
  <c r="K18" i="26"/>
  <c r="K19" i="26"/>
  <c r="K20" i="26"/>
  <c r="K21" i="26"/>
  <c r="K11" i="26"/>
  <c r="K12" i="26"/>
  <c r="K13" i="26"/>
  <c r="K14" i="26"/>
  <c r="O12" i="25"/>
  <c r="O13" i="25"/>
  <c r="O14" i="25"/>
  <c r="O15" i="25"/>
  <c r="O16" i="25"/>
  <c r="O17" i="25"/>
  <c r="O18" i="25"/>
  <c r="O19" i="25"/>
  <c r="O20" i="25"/>
  <c r="O21" i="25"/>
  <c r="O11" i="25"/>
  <c r="J14" i="25" l="1"/>
  <c r="J15" i="25"/>
  <c r="J16" i="25"/>
  <c r="J17" i="25"/>
  <c r="J18" i="25"/>
  <c r="J19" i="25"/>
  <c r="J20" i="25"/>
  <c r="J21" i="25"/>
  <c r="J13" i="25"/>
  <c r="J12" i="25"/>
  <c r="J11" i="25"/>
  <c r="L13" i="25"/>
  <c r="L14" i="25"/>
  <c r="L15" i="25"/>
  <c r="L16" i="25"/>
  <c r="L17" i="25"/>
  <c r="L18" i="25"/>
  <c r="L19" i="25"/>
  <c r="L20" i="25"/>
  <c r="L21" i="25"/>
  <c r="L12" i="25"/>
  <c r="H11" i="26" l="1"/>
  <c r="H12" i="26"/>
  <c r="H14" i="26"/>
  <c r="H15" i="26"/>
  <c r="H16" i="26"/>
  <c r="H17" i="26"/>
  <c r="H18" i="26"/>
  <c r="H19" i="26"/>
  <c r="H20" i="26"/>
  <c r="H21" i="26"/>
  <c r="H13" i="26"/>
  <c r="C12" i="25" l="1"/>
  <c r="C13" i="25"/>
  <c r="C14" i="25"/>
  <c r="C15" i="25"/>
  <c r="C16" i="25"/>
  <c r="C17" i="25"/>
  <c r="C18" i="25"/>
  <c r="C19" i="25"/>
  <c r="C20" i="25"/>
  <c r="C21" i="25"/>
  <c r="C11" i="25"/>
  <c r="C12" i="26"/>
  <c r="R12" i="24" l="1"/>
  <c r="R13" i="24"/>
  <c r="R14" i="24"/>
  <c r="R15" i="24"/>
  <c r="R16" i="24"/>
  <c r="R17" i="24"/>
  <c r="R18" i="24"/>
  <c r="R19" i="24"/>
  <c r="R20" i="24"/>
  <c r="R21" i="24"/>
  <c r="R11" i="24"/>
  <c r="Y12" i="24"/>
  <c r="Y13" i="24"/>
  <c r="Y14" i="24"/>
  <c r="Y15" i="24"/>
  <c r="Y16" i="24"/>
  <c r="Y17" i="24"/>
  <c r="Y18" i="24"/>
  <c r="Y19" i="24"/>
  <c r="Y20" i="24"/>
  <c r="Y21" i="24"/>
  <c r="Y1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E20" i="25" l="1"/>
  <c r="H20" i="25"/>
  <c r="M20" i="25"/>
  <c r="Q20" i="25"/>
  <c r="R20" i="25"/>
  <c r="E12" i="25"/>
  <c r="H12" i="25"/>
  <c r="M12" i="25"/>
  <c r="Q12" i="25"/>
  <c r="R12" i="25"/>
  <c r="H19" i="25"/>
  <c r="H18" i="25"/>
  <c r="H17" i="25"/>
  <c r="H16" i="25"/>
  <c r="H15" i="25"/>
  <c r="H14" i="25"/>
  <c r="H13" i="25"/>
  <c r="N12" i="26" l="1"/>
  <c r="L12" i="26"/>
  <c r="J12" i="26"/>
  <c r="I12" i="26"/>
  <c r="G12" i="26"/>
  <c r="F12" i="26"/>
  <c r="E12" i="26"/>
  <c r="D12" i="26"/>
  <c r="B12" i="26"/>
  <c r="B20" i="26"/>
  <c r="C20" i="26"/>
  <c r="D20" i="26"/>
  <c r="E20" i="26"/>
  <c r="F20" i="26"/>
  <c r="G20" i="26"/>
  <c r="I20" i="26"/>
  <c r="J20" i="26"/>
  <c r="L20" i="26"/>
  <c r="N20" i="26"/>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E32" i="12"/>
  <c r="E34" i="12"/>
  <c r="E35" i="12"/>
  <c r="E11" i="25"/>
  <c r="E9" i="27"/>
  <c r="E10" i="27"/>
  <c r="M11" i="25"/>
  <c r="Q11" i="25"/>
  <c r="R11" i="25"/>
  <c r="M14" i="25"/>
  <c r="Q14" i="25"/>
  <c r="R14" i="25"/>
  <c r="E14"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E22" i="12"/>
  <c r="E23" i="12"/>
  <c r="E25" i="12"/>
  <c r="E26" i="12"/>
  <c r="E5" i="12"/>
  <c r="E6" i="12"/>
  <c r="E7" i="12"/>
  <c r="E8" i="12"/>
  <c r="E9" i="12"/>
  <c r="E2" i="27"/>
  <c r="E2" i="30"/>
  <c r="E3" i="30"/>
  <c r="E4" i="30"/>
  <c r="E5" i="30"/>
  <c r="E6" i="30"/>
  <c r="D15" i="24" s="1"/>
  <c r="E7" i="30"/>
  <c r="G15" i="24" l="1"/>
  <c r="E18" i="24"/>
  <c r="D21" i="24"/>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quot;Altamira Rates&quot;;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quot;B2B Rates&quot;;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quot;BMO Savings Accounts&quot;;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quot;CIBC Renaissance HISA&quot;;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quot;CIBC Savings Accounts&quot;;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quot;CIBC Wood Gundy HISA CTC&quot;;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quot;CT HISA&quot;;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quot;EQ Bank Savings Plus Account&quo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quot;Home Trust Company&quot;;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quot;HSBC CAD Savings&quot;;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quot;HSBC Foreign Savings&quot;;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quot;ICICI_Savings Accounts&quot;;Extended Properties=&quot;&quot;" command="SELECT * FROM [ICICI_Savings Accounts]"/>
  </connection>
  <connection id="20" xr16:uid="{3C4BDE5A-F1B1-44FB-A633-85B7A8BDD186}" keepAlive="1" name="Query - Manulife All-In and Advantage" description="Connection to the 'Manulife All-In and Advantage' query in the workbook." type="5" refreshedVersion="6" saveData="1">
    <dbPr connection="Provider=Microsoft.Mashup.OleDb.1;Data Source=$Workbook$;Location=&quot;Manulife All-In and Advantage&quot;;Extended Properties=&quot;&quot;" command="SELECT * FROM [Manulife All-In and Advantage]"/>
  </connection>
  <connection id="21" xr16:uid="{103E6EFC-F0B9-4914-9AC2-496CC34C60AE}" keepAlive="1" name="Query - Manulife ISA" description="Connection to the 'Manulife ISA' query in the workbook." type="5" refreshedVersion="6" saveData="1">
    <dbPr connection="Provider=Microsoft.Mashup.OleDb.1;Data Source=$Workbook$;Location=&quot;Manulife ISA&quot;;Extended Properties=&quot;&quot;" command="SELECT * FROM [Manulife ISA]"/>
  </connection>
  <connection id="22"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quot;Meridian Rates&quot;;Extended Properties=&quot;&quot;" command="SELECT * FROM [Meridian Rates]"/>
  </connection>
  <connection id="23"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4"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5"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quot;RBC Investment Savings Account&quot;;Extended Properties=&quot;&quot;" command="SELECT * FROM [RBC Investment Savings Account]"/>
  </connection>
  <connection id="26"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quot;RBC Personal Accounts&quot;;Extended Properties=&quot;&quot;" command="SELECT * FROM [RBC Personal Accounts]"/>
  </connection>
  <connection id="27"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28"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quot;Simplii HISA&quot;;Extended Properties=&quot;&quot;" command="SELECT * FROM [Simplii HISA]"/>
  </connection>
  <connection id="29"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quot;TD Investment Savings Account&quot;;Extended Properties=&quot;&quot;" command="SELECT * FROM [TD Investment Savings Account]"/>
  </connection>
  <connection id="30"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quot;TD Savings Accounts&quot;;Extended Properties=&quot;&quot;" command="SELECT * FROM [TD Savings Accounts]"/>
  </connection>
  <connection id="31"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2"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quot;TD US Daily Interest&quot;;Extended Properties=&quot;&quot;" command="SELECT * FROM [TD US Daily Interest]"/>
  </connection>
</connections>
</file>

<file path=xl/sharedStrings.xml><?xml version="1.0" encoding="utf-8"?>
<sst xmlns="http://schemas.openxmlformats.org/spreadsheetml/2006/main" count="1068" uniqueCount="514">
  <si>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</si>
  <si>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</si>
  <si>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</si>
  <si>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</si>
  <si>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</si>
  <si>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</si>
  <si>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</si>
  <si>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</si>
  <si>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</si>
  <si>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</si>
  <si>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</si>
  <si>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</si>
  <si>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</si>
  <si>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</si>
  <si>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</si>
  <si>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</si>
  <si>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</si>
  <si>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</si>
  <si>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</si>
  <si>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</si>
  <si>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</si>
  <si>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</si>
  <si>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</si>
  <si>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</si>
  <si>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</si>
  <si>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</si>
  <si>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</si>
  <si>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</si>
  <si>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</si>
  <si>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</si>
  <si>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</si>
  <si>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</si>
  <si>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</si>
  <si>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</si>
  <si>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</si>
  <si>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</si>
  <si>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</si>
  <si>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</si>
  <si>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</si>
  <si>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</si>
  <si>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</si>
  <si>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</si>
  <si>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</si>
  <si>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</si>
  <si>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</si>
  <si>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</si>
  <si>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</si>
  <si>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</si>
  <si>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</si>
  <si>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</si>
  <si>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</si>
  <si>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</si>
  <si>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</si>
  <si>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</si>
  <si>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</si>
  <si>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</si>
  <si>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</si>
  <si>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</si>
  <si>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</si>
  <si>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</si>
  <si>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</si>
  <si>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</si>
  <si>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</si>
  <si>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</si>
  <si>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</si>
  <si>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</si>
  <si>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</si>
  <si>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</si>
  <si>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</si>
  <si>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</si>
  <si>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</si>
  <si>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</si>
  <si>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</si>
  <si>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</si>
  <si>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</si>
  <si>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</si>
  <si>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</si>
  <si>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</si>
  <si>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</si>
  <si>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</si>
  <si>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</si>
  <si>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</si>
  <si>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</si>
  <si>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</si>
  <si>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</si>
  <si>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</si>
  <si>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</si>
  <si>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</si>
  <si>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</si>
  <si>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</si>
  <si>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</si>
  <si>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</si>
  <si>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</si>
  <si>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</si>
  <si>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</si>
  <si>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</si>
  <si>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</si>
  <si>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</si>
  <si>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</si>
  <si>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</si>
  <si>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</si>
  <si>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</si>
  <si>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</si>
  <si>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</si>
  <si>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</si>
  <si>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</si>
  <si>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</si>
  <si>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</si>
  <si>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</si>
  <si>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</si>
  <si>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</si>
  <si>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</si>
  <si>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</si>
  <si>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</si>
  <si>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</si>
  <si>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</si>
  <si>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</si>
  <si>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</si>
  <si>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</si>
  <si>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</si>
  <si>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</si>
  <si>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</si>
  <si>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</si>
  <si>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</si>
  <si>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</si>
  <si>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</si>
  <si>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</si>
  <si>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</si>
  <si>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</si>
  <si>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</si>
  <si>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</si>
  <si>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</si>
  <si>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</si>
  <si>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</si>
  <si>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</si>
  <si>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</si>
  <si>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</si>
  <si>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</si>
  <si>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</si>
  <si>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</si>
  <si>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</si>
  <si>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</si>
  <si>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</si>
  <si>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</si>
  <si>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</si>
  <si>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</si>
  <si>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</si>
  <si>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</si>
  <si>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</si>
  <si>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</si>
  <si>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</si>
  <si>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</si>
  <si>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</si>
  <si>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</si>
  <si>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</si>
  <si>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</si>
  <si>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</si>
  <si>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</si>
  <si>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</si>
  <si>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</si>
  <si>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</si>
  <si>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</si>
  <si>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</si>
  <si>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</si>
  <si>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</si>
  <si>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</si>
  <si>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</si>
  <si>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</si>
  <si>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</si>
  <si>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</si>
  <si>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</si>
  <si>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</si>
  <si>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</si>
  <si>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</si>
  <si>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</si>
  <si>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</si>
  <si>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</si>
  <si>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</si>
  <si>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</si>
  <si>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</si>
  <si>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</si>
  <si>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</si>
  <si>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</si>
  <si>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</si>
  <si>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</si>
  <si>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</si>
  <si>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</si>
  <si>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</si>
  <si>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</si>
  <si>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</si>
  <si>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</si>
  <si>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</si>
  <si>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</si>
  <si>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</si>
  <si>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</si>
  <si>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</si>
  <si>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</si>
  <si>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</si>
  <si>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</si>
  <si>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</si>
  <si>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</si>
  <si>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</si>
  <si>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</si>
  <si>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</si>
  <si>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</si>
  <si>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</si>
  <si>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</si>
  <si>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</si>
  <si>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</si>
  <si>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</si>
  <si>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</si>
  <si>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</si>
  <si>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</si>
  <si>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</si>
  <si>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</si>
  <si>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</si>
  <si>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</si>
  <si>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</si>
  <si>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</si>
  <si>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</si>
  <si>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</si>
  <si>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</si>
  <si>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</si>
  <si>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</si>
  <si>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</si>
  <si>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</si>
  <si>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</si>
  <si>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</si>
  <si>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</si>
  <si>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</si>
  <si>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</si>
  <si>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</si>
  <si>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</si>
  <si>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</si>
  <si>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</si>
  <si>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</si>
  <si>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</si>
  <si>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</si>
  <si>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</si>
  <si>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</si>
  <si>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</si>
  <si>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</si>
  <si>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</si>
  <si>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</si>
  <si>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</si>
  <si>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</si>
  <si>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</si>
  <si>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</si>
  <si>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</si>
  <si>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</si>
  <si>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</si>
  <si>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</si>
  <si>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</si>
  <si>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</si>
  <si>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</si>
  <si>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</si>
  <si>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</si>
  <si>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</si>
  <si>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</si>
  <si>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</si>
  <si>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</si>
  <si>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</si>
  <si>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</si>
  <si>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</si>
  <si>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</si>
  <si>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</si>
  <si>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</si>
  <si>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</si>
  <si>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</si>
  <si>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</si>
  <si>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</si>
  <si>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</si>
  <si>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</si>
  <si>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</si>
  <si>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</si>
  <si>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</si>
  <si>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</si>
  <si>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</si>
  <si>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</si>
  <si>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</si>
  <si>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</si>
  <si>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</si>
  <si>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</si>
  <si>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</si>
  <si>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</si>
  <si>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</si>
  <si>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</si>
  <si>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</si>
  <si>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</si>
  <si>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</si>
  <si>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</si>
  <si>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</si>
  <si>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</si>
  <si>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</si>
  <si>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</si>
  <si>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</si>
  <si>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</si>
  <si>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</si>
  <si>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</si>
  <si>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</si>
  <si>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</si>
  <si>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</si>
  <si>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</si>
  <si>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</si>
  <si>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</si>
  <si>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</si>
  <si>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</si>
  <si>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</si>
  <si>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</si>
  <si>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</si>
  <si>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</si>
  <si>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</si>
  <si>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</si>
  <si>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</si>
  <si>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</si>
  <si>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</si>
  <si>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</si>
  <si>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</si>
  <si>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</si>
  <si>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</si>
  <si>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</si>
  <si>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</si>
  <si>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</si>
  <si>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</si>
  <si>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</si>
  <si>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</si>
  <si>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</si>
  <si>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</si>
  <si>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</si>
  <si>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</si>
  <si>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</si>
  <si>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</si>
  <si>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</si>
  <si>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</si>
  <si>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</si>
  <si>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</si>
  <si>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</si>
  <si>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</si>
  <si>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</si>
  <si>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</si>
  <si>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</si>
  <si>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</si>
  <si>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</si>
  <si>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</si>
  <si>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</si>
  <si>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</si>
  <si>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</si>
  <si>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</si>
  <si>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</si>
  <si>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</si>
  <si>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</si>
  <si>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</si>
  <si>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</si>
  <si>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</si>
  <si>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</si>
  <si>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</si>
  <si>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</si>
  <si>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</si>
  <si>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</si>
  <si>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</si>
  <si>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</si>
  <si>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</si>
  <si>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</si>
  <si>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</si>
  <si>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</si>
  <si>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</si>
  <si>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</si>
  <si>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</si>
  <si>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</si>
  <si>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</si>
  <si>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</si>
  <si>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</si>
  <si>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</si>
  <si>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</si>
  <si>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</si>
  <si>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</si>
  <si>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$250,000.00 to $1,000,000.00</t>
  </si>
  <si>
    <t>$1,000,000.01 and over</t>
  </si>
  <si>
    <t>$0 to $9,999.99</t>
  </si>
  <si>
    <t>$10,000.00 to $49,999.99</t>
  </si>
  <si>
    <t>$100,000.00 to $249,999.99</t>
  </si>
  <si>
    <t>High Interest Savings Account (CTC)</t>
  </si>
  <si>
    <t>Everyday Banking Account</t>
  </si>
  <si>
    <t>Secured overdraft</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</si>
  <si>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</si>
  <si>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</si>
  <si>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</si>
  <si>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</si>
  <si>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</si>
  <si>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</si>
  <si>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</si>
  <si>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</si>
  <si>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</si>
  <si>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</si>
  <si>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</si>
  <si>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</si>
  <si>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</si>
  <si>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</si>
  <si>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</si>
  <si>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</si>
  <si>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Business Advantage Account</t>
  </si>
  <si>
    <t>Tax-Free Advantage Account</t>
  </si>
  <si>
    <t>Registered Advantage Account</t>
  </si>
  <si>
    <t>Retirement Income Advantage Account</t>
  </si>
  <si>
    <t>US$ Business Advantage Account</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</si>
  <si>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</si>
  <si>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</si>
  <si>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</si>
  <si>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</si>
  <si>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</si>
  <si>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</si>
  <si>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</si>
  <si>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</si>
  <si>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</si>
  <si>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</si>
  <si>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</si>
  <si>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</si>
  <si>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</si>
  <si>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</si>
  <si>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</si>
  <si>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</si>
  <si>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</si>
  <si>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</si>
  <si>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</si>
  <si>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</si>
  <si>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</si>
  <si>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</si>
  <si>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</si>
  <si>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</si>
  <si>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</si>
  <si>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</si>
  <si>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</si>
  <si>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</si>
  <si>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</si>
  <si>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</si>
  <si>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</si>
  <si>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</si>
  <si>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</si>
  <si>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</si>
  <si>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</si>
  <si>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</si>
  <si>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</si>
  <si>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</si>
  <si>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</si>
  <si>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</si>
  <si>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</si>
  <si>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</si>
  <si>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</si>
  <si>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</si>
  <si>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</si>
  <si>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</si>
  <si>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</si>
  <si>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</si>
  <si>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</si>
  <si>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</si>
  <si>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</si>
  <si>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</si>
  <si>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</si>
  <si>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</si>
  <si>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</si>
  <si>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</si>
  <si>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</si>
  <si>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</si>
  <si>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</si>
  <si>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</si>
  <si>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</si>
  <si>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</si>
  <si>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</si>
  <si>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</si>
  <si>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</si>
  <si>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</si>
  <si>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</si>
  <si>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High Interest Savings Account (HISA)2</t>
  </si>
  <si>
    <t>Business High Interest Savings Account (Business HISA)2 (no longer available for sale)</t>
  </si>
  <si>
    <t>Daily balance</t>
  </si>
  <si>
    <t>Annual rate</t>
  </si>
  <si>
    <t>1.15%</t>
  </si>
  <si>
    <t>0.60% p.a.</t>
  </si>
  <si>
    <t>0.90%</t>
  </si>
  <si>
    <t>Text</t>
  </si>
  <si>
    <t>Current Canadian Interest Rate</t>
  </si>
  <si>
    <t>Current U.S. Interest Rate</t>
  </si>
  <si>
    <t>ISA US</t>
  </si>
  <si>
    <t>Borderless Plan 4,5</t>
  </si>
  <si>
    <t>Attempts</t>
  </si>
  <si>
    <t>CIBC_Savings_Accounts</t>
  </si>
  <si>
    <t>Success</t>
  </si>
  <si>
    <t>CIBC_Wood_Gundy_HISA_CTC</t>
  </si>
  <si>
    <t>CIBC_Renaissance_HISA</t>
  </si>
  <si>
    <t>BMO_Savings_Accounts</t>
  </si>
  <si>
    <t>BNS_Savings_Accounts</t>
  </si>
  <si>
    <t>BNS_Cash_Optimizer_Investment</t>
  </si>
  <si>
    <t>Simplii_HISA</t>
  </si>
  <si>
    <t>NBC_Bank_Accounts</t>
  </si>
  <si>
    <t>HSBC_CAD_Savings</t>
  </si>
  <si>
    <t>HSBC_Foreign_Savings</t>
  </si>
  <si>
    <t>B2B_Rates</t>
  </si>
  <si>
    <t>Meridian_Rates</t>
  </si>
  <si>
    <t>Altamira_Rates</t>
  </si>
  <si>
    <t>Home_Trust_Company</t>
  </si>
  <si>
    <t>EQ_Bank_Savings_Plus_Account</t>
  </si>
  <si>
    <t>Error</t>
  </si>
  <si>
    <t>Application-defined or object-defined error</t>
  </si>
  <si>
    <t>ICICI_Savings_Accounts</t>
  </si>
  <si>
    <t>CT_HISA</t>
  </si>
  <si>
    <t>TD_Savings_Accounts</t>
  </si>
  <si>
    <t>TD_Investment_Savings_Account</t>
  </si>
  <si>
    <t>TD_US_Daily_Interest</t>
  </si>
  <si>
    <t>RBC_Investment_Savings_Account</t>
  </si>
  <si>
    <t>RBC_Personal_Accounts</t>
  </si>
  <si>
    <t>Manulife_ISA</t>
  </si>
  <si>
    <t>Tax-Free Advantage Account: additional promotional rate</t>
  </si>
  <si>
    <t>Registered Advantage Account: additional promotional rate</t>
  </si>
  <si>
    <t>Manulife_All_In_and_Advantage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</si>
</sst>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
    <numFmt numFmtId="165" formatCode="0.0"/>
  </numFmts>
  <fonts count="16"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4">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indexed="1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n">
        <color theme="9" tint="0.39997558519241921"/>
      </left>
      <right style="thin">
        <color theme="9" tint="0.39997558519241921"/>
      </right>
      <top style="thin">
        <color theme="9" tint="0.39997558519241921"/>
      </top>
      <bottom/>
      <diagonal/>
    </border>
  </borders>
  <cellStyleXfs count="1">
    <xf numFmtId="0" fontId="0" fillId="0" borderId="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3"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6" xfId="0" applyFont="1" applyFill="1" applyBorder="1"/>
    <xf numFmtId="0" fontId="3" fillId="4" borderId="7" xfId="0" applyFont="1" applyFill="1" applyBorder="1" applyAlignment="1">
      <alignment horizontal="center"/>
    </xf>
    <xf numFmtId="0" fontId="3" fillId="5" borderId="8"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8" xfId="0" applyFont="1" applyFill="1" applyBorder="1" applyAlignment="1">
      <alignment horizontal="center"/>
    </xf>
    <xf numFmtId="0" fontId="14" fillId="0" borderId="1" xfId="0" applyFont="1" applyFill="1" applyBorder="1" applyAlignment="1">
      <alignment horizontal="center"/>
    </xf>
    <xf numFmtId="0" fontId="15" fillId="11" borderId="9" xfId="0" applyFont="1" applyFill="1" applyBorder="1"/>
    <xf numFmtId="0" fontId="15" fillId="11" borderId="10" xfId="0" applyFont="1" applyFill="1" applyBorder="1"/>
    <xf numFmtId="0" fontId="15" fillId="11" borderId="11" xfId="0" applyFont="1" applyFill="1" applyBorder="1"/>
    <xf numFmtId="0" fontId="7" fillId="0" borderId="0" xfId="0" applyFont="1" applyFill="1" applyBorder="1"/>
    <xf numFmtId="0" fontId="4" fillId="0" borderId="0" xfId="0" applyFont="1" applyAlignment="1"/>
    <xf numFmtId="0" fontId="0" fillId="12" borderId="9" xfId="0" applyNumberFormat="1" applyFont="1" applyFill="1" applyBorder="1"/>
    <xf numFmtId="0" fontId="0" fillId="0" borderId="9" xfId="0" applyNumberFormat="1" applyFont="1" applyBorder="1"/>
    <xf numFmtId="0" fontId="0" fillId="12" borderId="11" xfId="0" applyFont="1" applyFill="1" applyBorder="1"/>
    <xf numFmtId="0" fontId="0" fillId="12" borderId="10" xfId="0" applyFont="1" applyFill="1" applyBorder="1"/>
    <xf numFmtId="0" fontId="0" fillId="0" borderId="11" xfId="0" applyFont="1" applyBorder="1"/>
    <xf numFmtId="0" fontId="0" fillId="0" borderId="10" xfId="0" applyFont="1" applyBorder="1"/>
    <xf numFmtId="0" fontId="3" fillId="4" borderId="5"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17" fontId="3" fillId="0" borderId="1" xfId="0" applyNumberFormat="1" applyFont="1" applyFill="1" applyBorder="1" applyAlignment="1">
      <alignment horizontal="center"/>
    </xf>
    <xf numFmtId="0" fontId="14" fillId="0" borderId="1" xfId="0" applyNumberFormat="1" applyFont="1" applyFill="1" applyBorder="1" applyAlignment="1">
      <alignment horizontal="center"/>
    </xf>
    <xf numFmtId="165" fontId="3" fillId="0" borderId="1" xfId="0" applyNumberFormat="1" applyFont="1" applyFill="1" applyBorder="1" applyAlignment="1">
      <alignment horizontal="center"/>
    </xf>
    <xf numFmtId="0" fontId="0" fillId="12" borderId="12" xfId="0" applyFont="1" applyFill="1" applyBorder="1"/>
    <xf numFmtId="0" fontId="3" fillId="13" borderId="1" xfId="0" applyFont="1" applyFill="1" applyBorder="1" applyAlignment="1">
      <alignment horizontal="center"/>
    </xf>
    <xf numFmtId="0" fontId="15" fillId="11" borderId="13" xfId="0" applyFont="1" applyFill="1" applyBorder="1"/>
    <xf numFmtId="0" fontId="10" fillId="7" borderId="1"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1">
    <cellStyle name="Normal" xfId="0" builtinId="0"/>
  </cellStyles>
  <dxfs count="3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7" backgroundRefresh="0" connectionId="6" xr16:uid="{B9BBFE19-D2E8-47E0-BD6B-C645985C0FD4}" autoFormatId="16" applyNumberFormats="0" applyBorderFormats="0" applyFontFormats="0" applyPatternFormats="0" applyAlignmentFormats="0" applyWidthHeightFormats="0">
  <queryTableRefresh nextId="3">
    <queryTableFields count="2">
      <queryTableField id="1" name="Column1.2" tableColumnId="1"/>
      <queryTableField id="2" name="Column1.1"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8" xr16:uid="{09ACF703-F04A-48B1-A42A-6CEA36049340}" autoFormatId="16" applyNumberFormats="0" applyBorderFormats="0" applyFontFormats="0" applyPatternFormats="0" applyAlignmentFormats="0" applyWidthHeightFormats="0">
  <queryTableRefresh nextId="7">
    <queryTableFields count="2">
      <queryTableField id="5" name="Daily balance" tableColumnId="1"/>
      <queryTableField id="6" name="Annual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3"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2"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9"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2"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5"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6"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1" xr16:uid="{4C918AFD-B38C-481B-8C22-1A51AAB41F7F}" autoFormatId="16" applyNumberFormats="0" applyBorderFormats="0" applyFontFormats="0" applyPatternFormats="0" applyAlignmentFormats="0" applyWidthHeightFormats="0">
  <queryTableRefresh nextId="3">
    <queryTableFields count="2">
      <queryTableField id="1" name="ISA CAD" tableColumnId="1"/>
      <queryTableField id="2" name="ISA US"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20" xr16:uid="{B550F3B3-CF25-4083-BD3C-EAE12558686D}"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5" dataDxfId="34">
  <autoFilter ref="A3:D7" xr:uid="{3B004F2E-6CE8-48E1-A8CC-1DA6CD38B36C}"/>
  <tableColumns count="4">
    <tableColumn id="1" xr3:uid="{19A4ADB4-65C8-405B-8D69-E238ABA928F0}" name="Date" dataDxfId="33"/>
    <tableColumn id="2" xr3:uid="{F6FEA65B-FF28-42C9-8CC9-61F4CED1B86F}" name="Summary of changes" dataDxfId="32"/>
    <tableColumn id="3" xr3:uid="{B7F57500-225B-47B0-ACC8-DA347AD03334}" name="Change Author" dataDxfId="31"/>
    <tableColumn id="4" xr3:uid="{F323205A-8543-43A5-8E3B-3D09061A12DB}" name="Author AD ID" dataDxfId="30"/>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29"/>
    <tableColumn id="2" xr3:uid="{DD1044A9-F59B-46D0-8718-6C3BDE63183C}" uniqueName="2" name="Data.Rate" queryTableFieldId="2" dataDxfId="2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04C794C-716E-4A0F-B05B-9D9B96C899BE}" name="CIBC_Renaissance_HISA" displayName="CIBC_Renaissance_HISA" ref="B20:C22" tableType="queryTable" totalsRowShown="0">
  <autoFilter ref="B20:C22" xr:uid="{8FB60003-9C5B-46DE-90F5-5E11B8C63B76}"/>
  <tableColumns count="2">
    <tableColumn id="1" xr3:uid="{85EE1907-A15D-4DA7-8BF6-CE6C141B1D4E}" uniqueName="1" name="Column1.2" queryTableFieldId="1" dataDxfId="27"/>
    <tableColumn id="2" xr3:uid="{2C6F2C6A-A954-4F40-B945-6537C370870D}" uniqueName="2" name="Column1.1"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6"/>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5"/>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4"/>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E440D06E-096E-4EA7-95A4-200C322DC462}" uniqueName="1" name="Daily balance" queryTableFieldId="5" dataDxfId="23"/>
    <tableColumn id="2" xr3:uid="{714C4322-EB37-4699-81DC-87355188E4CF}" uniqueName="2" name="Annual rate" queryTableFieldId="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0"/>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2"/>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1"/>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0"/>
    <tableColumn id="2" xr3:uid="{D2046F38-483B-420D-B944-6BCD7B2B4D92}" uniqueName="2" name="Column2" queryTableFieldId="10" dataDxfId="19"/>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8"/>
    <tableColumn id="3" xr3:uid="{D2622B16-D1C8-4760-8BD0-953D9FAFA8F1}" uniqueName="3" name="Get Started" queryTableFieldId="3" dataDxfId="1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6"/>
    <tableColumn id="2" xr3:uid="{E833CA69-9186-43DA-874F-48DEFE4DA80F}" uniqueName="2" name="Column2" queryTableFieldId="2" dataDxfId="15"/>
    <tableColumn id="3" xr3:uid="{B093F79F-8E4B-49FF-A371-4731884C2E1B}" uniqueName="3" name="Column3" queryTableFieldId="3" dataDxfId="14"/>
    <tableColumn id="4" xr3:uid="{785FF59B-0966-4865-9D07-9033DADA44AF}" uniqueName="4" name="Column4" queryTableFieldId="4" dataDxfId="13"/>
    <tableColumn id="5" xr3:uid="{C61AE777-3A15-4C02-9B1F-136299A5FAC7}" uniqueName="5" name="Column5" queryTableFieldId="5" dataDxfId="12"/>
    <tableColumn id="6" xr3:uid="{FC09C788-CCE1-4C6F-81DC-01AAACC99B7F}" uniqueName="6" name="Column6" queryTableFieldId="6" dataDxfId="1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0"/>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9"/>
    <tableColumn id="2" xr3:uid="{A70E9728-B118-48A1-BC57-D92BEEC7A685}" uniqueName="2" name="Annual Rates" queryTableFieldId="2"/>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8"/>
    <tableColumn id="2" xr3:uid="{90994A7C-F3A1-4107-BCED-1502CEAAD65A}" uniqueName="2" name="Interest Rate" queryTableFieldId="4"/>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G39:K44" tableType="queryTable" totalsRowShown="0">
  <autoFilter ref="G39:K44" xr:uid="{444F1D8B-39D1-4A95-A72C-3A111B214915}"/>
  <tableColumns count="5">
    <tableColumn id="1" xr3:uid="{CA448CAE-AEDE-4476-A37A-80F3676BE0D5}" uniqueName="1" name="Account Name" queryTableFieldId="1" dataDxfId="7"/>
    <tableColumn id="2" xr3:uid="{5B7C4811-4C53-41A6-96BF-5389107C4D47}" uniqueName="2" name="Currency" queryTableFieldId="2" dataDxfId="6"/>
    <tableColumn id="3" xr3:uid="{734665F7-5DB2-40AD-BD3B-98FD29CBE168}" uniqueName="3" name="Minimum1" queryTableFieldId="3"/>
    <tableColumn id="4" xr3:uid="{BDB4B9A1-7155-498E-B2E8-661728BDEEFB}" uniqueName="4" name="Maximum" queryTableFieldId="4" dataDxfId="5"/>
    <tableColumn id="5" xr3:uid="{EAF93AB2-FE49-4E47-8DDA-D993804F05B9}" uniqueName="5" name="Current Rate2" queryTableFieldId="5"/>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7" tableType="queryTable" totalsRowShown="0">
  <autoFilter ref="B29:C37" xr:uid="{5E068F57-93ED-40A0-B8FD-3421433791DD}"/>
  <tableColumns count="2">
    <tableColumn id="3" xr3:uid="{B204F1AA-EC43-48CF-A194-CEA554FDF21D}" uniqueName="3" name="Account Balance" queryTableFieldId="3" dataDxfId="4"/>
    <tableColumn id="4" xr3:uid="{5AABEE2E-2BF3-4006-B415-E5BEAE632E5A}" uniqueName="4" name="Interest Rate" queryTableFieldId="4" dataDxfId="3"/>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2"/>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5838AFC-119E-416B-82B8-9C8EBFE9875C}" name="Manulife_ISA" displayName="Manulife_ISA" ref="B17:C18" tableType="queryTable" totalsRowShown="0">
  <autoFilter ref="B17:C18" xr:uid="{034D99D0-BD37-4504-B62C-C4ACB0E260AD}"/>
  <tableColumns count="2">
    <tableColumn id="1" xr3:uid="{6769D926-95A9-49ED-8D6F-DF57DEEBCE1E}" uniqueName="1" name="ISA CAD" queryTableFieldId="1"/>
    <tableColumn id="2" xr3:uid="{01EEF9A2-D168-47EC-8D69-73E4DCFE448D}" uniqueName="2" name="ISA US"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71AC3AB-6BFB-4DA4-A4FF-E2CBA4C2693E}" name="Manulife_All_In_and_Advantage" displayName="Manulife_All_In_and_Advantage" ref="B1:C13" tableType="queryTable" totalsRowShown="0">
  <autoFilter ref="B1:C13" xr:uid="{A81B82EF-0AEE-4173-AC4B-A65F1E3ED0E7}"/>
  <tableColumns count="2">
    <tableColumn id="1" xr3:uid="{3F4153A1-508D-4E55-8477-7B66BFBB6C2D}" uniqueName="1" name="Account" queryTableFieldId="1" dataDxfId="1"/>
    <tableColumn id="2" xr3:uid="{39330B22-9AF0-4946-B615-BEE7ED29DAB7}" uniqueName="2" name="Interest Rate" queryTableField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J28"/>
  <sheetViews>
    <sheetView zoomScaleNormal="100" workbookViewId="0"/>
  </sheetViews>
  <sheetFormatPr defaultRowHeight="15" outlineLevelCol="1" x14ac:dyDescent="0.25"/>
  <cols>
    <col min="1" max="1" width="9.140625" style="19"/>
    <col min="2" max="2" width="80.7109375" style="19" customWidth="1"/>
    <col min="3" max="3" width="9.140625" style="19"/>
    <col min="4" max="4" width="6.140625" style="19" customWidth="1"/>
    <col min="5" max="5" width="8.28515625" style="37" bestFit="1" customWidth="1" outlineLevel="1"/>
    <col min="6" max="6" width="36.28515625" style="19" customWidth="1" outlineLevel="1"/>
    <col min="7" max="7" width="7.7109375" style="19" bestFit="1" customWidth="1" outlineLevel="1"/>
    <col min="8" max="8" width="14.7109375" style="19" bestFit="1" customWidth="1" outlineLevel="1"/>
    <col min="9" max="9" width="74" style="19" customWidth="1" outlineLevel="1"/>
    <col min="10" max="10" width="9.28515625" style="19" bestFit="1" customWidth="1"/>
    <col min="11" max="16384" width="9.140625" style="19"/>
  </cols>
  <sheetData>
    <row r="3" spans="2:10" ht="28.5" x14ac:dyDescent="0.25">
      <c r="B3" s="20" t="s">
        <v>267</v>
      </c>
      <c r="E3" s="81" t="s">
        <v>261</v>
      </c>
      <c r="F3" s="81"/>
      <c r="G3" s="81"/>
      <c r="H3" s="81"/>
      <c r="I3" s="81"/>
      <c r="J3" s="81"/>
    </row>
    <row r="4" spans="2:10" x14ac:dyDescent="0.25">
      <c r="B4" s="21"/>
      <c r="E4" s="21" t="s">
        <v>262</v>
      </c>
      <c r="F4" s="21" t="s">
        <v>263</v>
      </c>
      <c r="G4" s="21" t="s">
        <v>264</v>
      </c>
      <c r="H4" s="21" t="s">
        <v>325</v>
      </c>
      <c r="I4" s="21" t="s">
        <v>265</v>
      </c>
      <c r="J4" s="21" t="s">
        <v>484</v>
      </c>
    </row>
    <row r="5" spans="2:10" x14ac:dyDescent="0.25">
      <c r="B5" s="31" t="s">
        <v>177</v>
      </c>
      <c r="E5" s="37">
        <v>0</v>
      </c>
      <c r="F5" s="19" t="s">
        <v>485</v>
      </c>
      <c r="G5" s="19" t="s">
        <v>486</v>
      </c>
      <c r="H5" s="19">
        <v>7</v>
      </c>
      <c r="J5" s="19">
        <v>1</v>
      </c>
    </row>
    <row r="6" spans="2:10" x14ac:dyDescent="0.25">
      <c r="B6" s="32"/>
      <c r="E6" s="37">
        <v>1</v>
      </c>
      <c r="F6" s="19" t="s">
        <v>487</v>
      </c>
      <c r="G6" s="19" t="s">
        <v>486</v>
      </c>
      <c r="H6" s="19">
        <v>1</v>
      </c>
      <c r="J6" s="19">
        <v>1</v>
      </c>
    </row>
    <row r="7" spans="2:10" x14ac:dyDescent="0.25">
      <c r="B7" s="33"/>
      <c r="E7" s="37">
        <v>2</v>
      </c>
      <c r="F7" s="19" t="s">
        <v>488</v>
      </c>
      <c r="G7" s="19" t="s">
        <v>486</v>
      </c>
      <c r="H7" s="19">
        <v>0</v>
      </c>
      <c r="J7" s="19">
        <v>1</v>
      </c>
    </row>
    <row r="8" spans="2:10" x14ac:dyDescent="0.25">
      <c r="B8" s="34"/>
      <c r="E8" s="37">
        <v>3</v>
      </c>
      <c r="F8" s="19" t="s">
        <v>489</v>
      </c>
      <c r="G8" s="19" t="s">
        <v>486</v>
      </c>
      <c r="H8" s="19">
        <v>13</v>
      </c>
      <c r="J8" s="19">
        <v>1</v>
      </c>
    </row>
    <row r="9" spans="2:10" x14ac:dyDescent="0.25">
      <c r="B9" s="35"/>
      <c r="E9" s="37">
        <v>4</v>
      </c>
      <c r="F9" s="19" t="s">
        <v>490</v>
      </c>
      <c r="G9" s="19" t="s">
        <v>486</v>
      </c>
      <c r="H9" s="19">
        <v>29</v>
      </c>
      <c r="J9" s="19">
        <v>1</v>
      </c>
    </row>
    <row r="10" spans="2:10" x14ac:dyDescent="0.25">
      <c r="B10" s="31" t="s">
        <v>178</v>
      </c>
      <c r="E10" s="37">
        <v>5</v>
      </c>
      <c r="F10" s="19" t="s">
        <v>491</v>
      </c>
      <c r="G10" s="19" t="s">
        <v>486</v>
      </c>
      <c r="H10" s="19">
        <v>46</v>
      </c>
      <c r="J10" s="19">
        <v>1</v>
      </c>
    </row>
    <row r="11" spans="2:10" x14ac:dyDescent="0.25">
      <c r="B11" s="32"/>
      <c r="E11" s="37">
        <v>6</v>
      </c>
      <c r="F11" s="19" t="s">
        <v>492</v>
      </c>
      <c r="G11" s="19" t="s">
        <v>486</v>
      </c>
      <c r="H11" s="19">
        <v>5</v>
      </c>
      <c r="J11" s="19">
        <v>1</v>
      </c>
    </row>
    <row r="12" spans="2:10" x14ac:dyDescent="0.25">
      <c r="B12" s="33"/>
      <c r="E12" s="37">
        <v>7</v>
      </c>
      <c r="F12" s="19" t="s">
        <v>493</v>
      </c>
      <c r="G12" s="19" t="s">
        <v>486</v>
      </c>
      <c r="H12" s="19">
        <v>7</v>
      </c>
      <c r="J12" s="19">
        <v>1</v>
      </c>
    </row>
    <row r="13" spans="2:10" x14ac:dyDescent="0.25">
      <c r="B13" s="33"/>
      <c r="E13" s="37">
        <v>8</v>
      </c>
      <c r="F13" s="19" t="s">
        <v>494</v>
      </c>
      <c r="G13" s="19" t="s">
        <v>486</v>
      </c>
      <c r="H13" s="19">
        <v>2</v>
      </c>
      <c r="J13" s="19">
        <v>1</v>
      </c>
    </row>
    <row r="14" spans="2:10" x14ac:dyDescent="0.25">
      <c r="B14" s="33"/>
      <c r="E14" s="37">
        <v>9</v>
      </c>
      <c r="F14" s="19" t="s">
        <v>495</v>
      </c>
      <c r="G14" s="19" t="s">
        <v>486</v>
      </c>
      <c r="H14" s="19">
        <v>1</v>
      </c>
      <c r="J14" s="19">
        <v>1</v>
      </c>
    </row>
    <row r="15" spans="2:10" x14ac:dyDescent="0.25">
      <c r="B15" s="33"/>
      <c r="E15" s="37">
        <v>10</v>
      </c>
      <c r="F15" s="19" t="s">
        <v>496</v>
      </c>
      <c r="G15" s="19" t="s">
        <v>486</v>
      </c>
      <c r="H15" s="19">
        <v>3</v>
      </c>
      <c r="J15" s="19">
        <v>1</v>
      </c>
    </row>
    <row r="16" spans="2:10" x14ac:dyDescent="0.25">
      <c r="B16" s="33"/>
      <c r="E16" s="37">
        <v>11</v>
      </c>
      <c r="F16" s="19" t="s">
        <v>497</v>
      </c>
      <c r="G16" s="19" t="s">
        <v>486</v>
      </c>
      <c r="H16" s="19">
        <v>5</v>
      </c>
      <c r="J16" s="19">
        <v>1</v>
      </c>
    </row>
    <row r="17" spans="2:10" x14ac:dyDescent="0.25">
      <c r="B17" s="35"/>
      <c r="E17" s="37">
        <v>12</v>
      </c>
      <c r="F17" s="19" t="s">
        <v>498</v>
      </c>
      <c r="G17" s="19" t="s">
        <v>486</v>
      </c>
      <c r="H17" s="19">
        <v>7</v>
      </c>
      <c r="J17" s="19">
        <v>1</v>
      </c>
    </row>
    <row r="18" spans="2:10" x14ac:dyDescent="0.25">
      <c r="B18" s="31" t="s">
        <v>179</v>
      </c>
      <c r="E18" s="37">
        <v>13</v>
      </c>
      <c r="F18" s="19" t="s">
        <v>499</v>
      </c>
      <c r="G18" s="19" t="s">
        <v>486</v>
      </c>
      <c r="H18" s="19">
        <v>9</v>
      </c>
      <c r="J18" s="19">
        <v>1</v>
      </c>
    </row>
    <row r="19" spans="2:10" x14ac:dyDescent="0.25">
      <c r="B19" s="32"/>
      <c r="E19" s="37">
        <v>14</v>
      </c>
      <c r="F19" s="19" t="s">
        <v>500</v>
      </c>
      <c r="G19" s="19" t="s">
        <v>501</v>
      </c>
      <c r="H19" s="19">
        <v>0</v>
      </c>
      <c r="I19" s="19" t="s">
        <v>502</v>
      </c>
      <c r="J19" s="19">
        <v>3</v>
      </c>
    </row>
    <row r="20" spans="2:10" x14ac:dyDescent="0.25">
      <c r="B20" s="33"/>
      <c r="E20" s="37">
        <v>15</v>
      </c>
      <c r="F20" s="19" t="s">
        <v>503</v>
      </c>
      <c r="G20" s="19" t="s">
        <v>486</v>
      </c>
      <c r="H20" s="19">
        <v>12</v>
      </c>
      <c r="J20" s="19">
        <v>1</v>
      </c>
    </row>
    <row r="21" spans="2:10" x14ac:dyDescent="0.25">
      <c r="B21" s="33"/>
      <c r="E21" s="37">
        <v>16</v>
      </c>
      <c r="F21" s="19" t="s">
        <v>504</v>
      </c>
      <c r="G21" s="19" t="s">
        <v>486</v>
      </c>
      <c r="H21" s="19">
        <v>100</v>
      </c>
      <c r="J21" s="19">
        <v>1</v>
      </c>
    </row>
    <row r="22" spans="2:10" x14ac:dyDescent="0.25">
      <c r="B22" s="33"/>
      <c r="E22" s="37">
        <v>17</v>
      </c>
      <c r="F22" s="19" t="s">
        <v>505</v>
      </c>
      <c r="G22" s="19" t="s">
        <v>486</v>
      </c>
      <c r="H22" s="19">
        <v>57</v>
      </c>
      <c r="J22" s="19">
        <v>1</v>
      </c>
    </row>
    <row r="23" spans="2:10" x14ac:dyDescent="0.25">
      <c r="B23" s="34"/>
      <c r="E23" s="37">
        <v>18</v>
      </c>
      <c r="F23" s="19" t="s">
        <v>506</v>
      </c>
      <c r="G23" s="19" t="s">
        <v>486</v>
      </c>
      <c r="H23" s="19">
        <v>5</v>
      </c>
      <c r="J23" s="19">
        <v>1</v>
      </c>
    </row>
    <row r="24" spans="2:10" x14ac:dyDescent="0.25">
      <c r="B24" s="36"/>
      <c r="E24" s="37">
        <v>19</v>
      </c>
      <c r="F24" s="19" t="s">
        <v>507</v>
      </c>
      <c r="G24" s="19" t="s">
        <v>486</v>
      </c>
      <c r="H24" s="19">
        <v>29</v>
      </c>
      <c r="J24" s="19">
        <v>1</v>
      </c>
    </row>
    <row r="25" spans="2:10" x14ac:dyDescent="0.25">
      <c r="E25" s="37">
        <v>20</v>
      </c>
      <c r="F25" s="19" t="s">
        <v>508</v>
      </c>
      <c r="G25" s="19" t="s">
        <v>486</v>
      </c>
      <c r="H25" s="19">
        <v>4</v>
      </c>
      <c r="J25" s="19">
        <v>1</v>
      </c>
    </row>
    <row r="26" spans="2:10" x14ac:dyDescent="0.25">
      <c r="E26" s="37">
        <v>21</v>
      </c>
      <c r="F26" s="19" t="s">
        <v>509</v>
      </c>
      <c r="G26" s="19" t="s">
        <v>486</v>
      </c>
      <c r="H26" s="19">
        <v>4</v>
      </c>
      <c r="J26" s="19">
        <v>1</v>
      </c>
    </row>
    <row r="27" spans="2:10" x14ac:dyDescent="0.25">
      <c r="E27" s="37">
        <v>22</v>
      </c>
      <c r="F27" s="19" t="s">
        <v>510</v>
      </c>
      <c r="G27" s="19" t="s">
        <v>486</v>
      </c>
      <c r="H27" s="19">
        <v>1</v>
      </c>
      <c r="J27" s="19">
        <v>1</v>
      </c>
    </row>
    <row r="28" spans="2:10" x14ac:dyDescent="0.25">
      <c r="E28" s="37">
        <v>23</v>
      </c>
      <c r="F28" s="19" t="s">
        <v>513</v>
      </c>
      <c r="G28" s="19" t="s">
        <v>486</v>
      </c>
      <c r="H28" s="19">
        <v>7</v>
      </c>
      <c r="J28" s="19">
        <v>1</v>
      </c>
    </row>
  </sheetData>
  <mergeCells count="1">
    <mergeCell ref="E3:J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abSelected="1" zoomScale="85" zoomScaleNormal="85" workbookViewId="0"/>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6"/>
      <c r="B1" s="46"/>
      <c r="C1" s="46"/>
      <c r="D1" s="46"/>
      <c r="E1" s="46"/>
      <c r="F1" s="46"/>
      <c r="G1" s="46"/>
      <c r="H1" s="46"/>
      <c r="I1" s="46"/>
      <c r="J1" s="46"/>
      <c r="K1" s="46"/>
      <c r="L1" s="46"/>
      <c r="M1" s="46"/>
      <c r="N1" s="46"/>
      <c r="O1" s="46"/>
      <c r="P1" s="46"/>
      <c r="Q1" s="46"/>
      <c r="R1" s="46"/>
      <c r="S1" s="46"/>
      <c r="T1" s="46"/>
      <c r="U1" s="46"/>
      <c r="V1" s="46"/>
      <c r="W1" s="3"/>
      <c r="X1" s="3"/>
      <c r="Y1" s="3"/>
      <c r="Z1" s="3"/>
      <c r="AA1" s="3"/>
      <c r="AB1" s="3"/>
    </row>
    <row r="2" spans="1:28" ht="25.5" x14ac:dyDescent="0.35">
      <c r="A2" s="3"/>
      <c r="B2" s="72" t="s">
        <v>429</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5" t="s">
        <v>412</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7"/>
      <c r="B9" s="48" t="s">
        <v>0</v>
      </c>
      <c r="C9" s="48" t="s">
        <v>0</v>
      </c>
      <c r="D9" s="48" t="s">
        <v>0</v>
      </c>
      <c r="E9" s="48" t="s">
        <v>1</v>
      </c>
      <c r="F9" s="48" t="s">
        <v>1</v>
      </c>
      <c r="G9" s="48" t="s">
        <v>1</v>
      </c>
      <c r="H9" s="48" t="s">
        <v>2</v>
      </c>
      <c r="I9" s="48" t="s">
        <v>2</v>
      </c>
      <c r="J9" s="48" t="s">
        <v>3</v>
      </c>
      <c r="K9" s="48" t="s">
        <v>4</v>
      </c>
      <c r="L9" s="48" t="s">
        <v>4</v>
      </c>
      <c r="M9" s="48" t="s">
        <v>4</v>
      </c>
      <c r="N9" s="48" t="s">
        <v>5</v>
      </c>
      <c r="O9" s="48" t="s">
        <v>5</v>
      </c>
      <c r="P9" s="48" t="s">
        <v>5</v>
      </c>
      <c r="Q9" s="48" t="s">
        <v>279</v>
      </c>
      <c r="R9" s="48" t="s">
        <v>6</v>
      </c>
      <c r="S9" s="48" t="s">
        <v>337</v>
      </c>
      <c r="T9" s="48" t="s">
        <v>7</v>
      </c>
      <c r="U9" s="48" t="s">
        <v>8</v>
      </c>
      <c r="V9" s="48" t="s">
        <v>9</v>
      </c>
      <c r="W9" s="48" t="s">
        <v>10</v>
      </c>
      <c r="X9" s="48" t="s">
        <v>13</v>
      </c>
      <c r="Y9" s="49" t="s">
        <v>14</v>
      </c>
    </row>
    <row r="10" spans="1:28" ht="51.75" x14ac:dyDescent="0.25">
      <c r="A10" s="50"/>
      <c r="B10" s="51" t="s">
        <v>15</v>
      </c>
      <c r="C10" s="51" t="s">
        <v>16</v>
      </c>
      <c r="D10" s="51" t="s">
        <v>17</v>
      </c>
      <c r="E10" s="51" t="s">
        <v>18</v>
      </c>
      <c r="F10" s="51" t="s">
        <v>19</v>
      </c>
      <c r="G10" s="51" t="s">
        <v>20</v>
      </c>
      <c r="H10" s="51" t="s">
        <v>415</v>
      </c>
      <c r="I10" s="51" t="s">
        <v>328</v>
      </c>
      <c r="J10" s="52" t="s">
        <v>417</v>
      </c>
      <c r="K10" s="51" t="s">
        <v>329</v>
      </c>
      <c r="L10" s="51" t="s">
        <v>330</v>
      </c>
      <c r="M10" s="51" t="s">
        <v>21</v>
      </c>
      <c r="N10" s="51" t="s">
        <v>331</v>
      </c>
      <c r="O10" s="51" t="s">
        <v>332</v>
      </c>
      <c r="P10" s="51" t="s">
        <v>22</v>
      </c>
      <c r="Q10" s="51" t="s">
        <v>333</v>
      </c>
      <c r="R10" s="51" t="s">
        <v>19</v>
      </c>
      <c r="S10" s="51" t="s">
        <v>334</v>
      </c>
      <c r="T10" s="51" t="s">
        <v>23</v>
      </c>
      <c r="U10" s="51" t="s">
        <v>24</v>
      </c>
      <c r="V10" s="51" t="s">
        <v>416</v>
      </c>
      <c r="W10" s="51" t="s">
        <v>25</v>
      </c>
      <c r="X10" s="51" t="s">
        <v>27</v>
      </c>
      <c r="Y10" s="52" t="s">
        <v>28</v>
      </c>
    </row>
    <row r="11" spans="1:28" x14ac:dyDescent="0.25">
      <c r="A11" s="44" t="s">
        <v>351</v>
      </c>
      <c r="B11" s="44">
        <f>INDEX(CIBC!$B$2:$E$3,MATCH(VALUE(LEFT(A11,FIND(" ",A11)-1)),CIBC!$E$2:$E$3,1),2)*100</f>
        <v>1</v>
      </c>
      <c r="C11" s="43">
        <f>INDEX(CIBC!$B$4:$E$5,MATCH(VALUE(LEFT(A11,FIND(" ",A11)-1)),CIBC!$E$4:$E$5,1),2)*100</f>
        <v>0.1</v>
      </c>
      <c r="D11" s="43">
        <f>INDEX(CIBC!$B$6:$E$6,MATCH(VALUE(LEFT(A11,FIND(" ",A11)-1)),CIBC!$E$6:$E$6,1),2)*100</f>
        <v>0.05</v>
      </c>
      <c r="E11" s="43">
        <f>INDEX(TD!$B$4:$E$9,MATCH(VALUE(LEFT(A11,FIND(" ",A11)-1)),TD!$E$4:$E$9,1),2)*100</f>
        <v>0.05</v>
      </c>
      <c r="F11" s="42">
        <f>INDEX(TD!$B$11:$E$16,MATCH(VALUE(LEFT(A11,FIND(" ",A11)-1)),TD!$E$11:$E$16,1),2)*100</f>
        <v>0.3</v>
      </c>
      <c r="G11" s="44">
        <f>INDEX(TD!$B$18:$E$23,MATCH(VALUE(LEFT(A11,FIND(" ",A11)-1)),TD!$E$18:$E$23,1),2)*100</f>
        <v>1</v>
      </c>
      <c r="H11" s="42">
        <f>INDEX(BMO!$B$2:$E$4,MATCH(VALUE(LEFT(A11,FIND(" ",A11)-1)),BMO!$E$2:$E$4,1),2)*100</f>
        <v>0.2</v>
      </c>
      <c r="I11" s="44">
        <f>INDEX(BMO!$B$5:$E$6,MATCH(VALUE(LEFT(A11,FIND(" ",A11)-1)),BMO!$E$5:$E$6,1),2)*100</f>
        <v>0.8</v>
      </c>
      <c r="J11" s="42">
        <f>INDEX(BMO!$B$7:$E$8,MATCH(VALUE(LEFT(A11,FIND(" ",A11)-1)),BMO!$E$7:$E$8,1),2)*100</f>
        <v>0.05</v>
      </c>
      <c r="K11" s="44" t="str">
        <f>(BNS!$D$36)*100 &amp; " + " &amp; (BNS!$E$35)*100 &amp; ", "&amp; (BNS!$E$34)*100 &amp; ", "&amp; (BNS!$E$33)*100 &amp; ", "&amp; (BNS!$E$32)*100</f>
        <v>1 + 0.5, 0.6, 0.8, 1</v>
      </c>
      <c r="L11" s="44">
        <f>INDEX(BNS!$B$28:$G$29,MATCH(VALUE(LEFT(A11,FIND(" ",A11)-1)),BNS!$G$28:$G$29,1),2)*100</f>
        <v>0.05</v>
      </c>
      <c r="M11" s="44">
        <f>INDEX(BNS!$B$25:$G$27,MATCH(VALUE(LEFT(A11,FIND(" ",A11)-1)),BNS!$G$25:$G$27,1),2)*100</f>
        <v>1.0999999999999999</v>
      </c>
      <c r="N11" s="44" t="str">
        <f>INDEX(RBC!$A$168:$E$168,MATCH(VALUE(LEFT(A11,FIND(" ",A11)-1)),RBC!$E$168:$E$168,1),3)</f>
        <v>1.000</v>
      </c>
      <c r="O11" s="44" t="str">
        <f>INDEX(RBC!$A$160:$E$167,MATCH(VALUE(LEFT(A11,FIND(" ",A11)-1)),RBC!$E$160:$E$167,1),3)</f>
        <v>0.150 P</v>
      </c>
      <c r="P11" s="44" t="str">
        <f>INDEX(RBC!$A$156:$E$159,MATCH(VALUE(LEFT(A11,FIND(" ",A11)-1)),RBC!$E$156:$E$159,1),3)</f>
        <v>0.010 P</v>
      </c>
      <c r="Q11" s="59">
        <v>1.1000000000000001</v>
      </c>
      <c r="R11" s="44">
        <f>(Simplii!$C$11)*100</f>
        <v>1.0999999999999999</v>
      </c>
      <c r="S11" s="43">
        <f>LEFT((ICICI!$B$3),5)*100</f>
        <v>1.6</v>
      </c>
      <c r="T11" s="43">
        <f>(NBC!$C$28)*100</f>
        <v>1</v>
      </c>
      <c r="U11" s="44">
        <f>(Manulife!$C$6)*100</f>
        <v>1.2</v>
      </c>
      <c r="V11" s="42">
        <f>INDEX(HSBC!$B$2:$I$5,MATCH(VALUE(LEFT(A11,FIND(" ",A11)-1)),HSBC!$I$2:$I$5,1),2)*100</f>
        <v>1.05</v>
      </c>
      <c r="W11" s="42">
        <f>(CT!$B$2)*100</f>
        <v>1.5</v>
      </c>
      <c r="X11" s="44">
        <f>(Meridian!$A$2)*100</f>
        <v>1.3</v>
      </c>
      <c r="Y11" s="8">
        <f>(EQ!$B$2)*100</f>
        <v>2.2999999999999998</v>
      </c>
    </row>
    <row r="12" spans="1:28" x14ac:dyDescent="0.25">
      <c r="A12" s="42" t="s">
        <v>352</v>
      </c>
      <c r="B12" s="42">
        <f>INDEX(CIBC!$B$2:$E$3,MATCH(VALUE(LEFT(A12,FIND(" ",A12)-1)),CIBC!$E$2:$E$3,1),2)*100</f>
        <v>1</v>
      </c>
      <c r="C12" s="43">
        <f>INDEX(CIBC!$B$4:$E$5,MATCH(VALUE(LEFT(A12,FIND(" ",A12)-1)),CIBC!$E$4:$E$5,1),2)*100</f>
        <v>0.1</v>
      </c>
      <c r="D12" s="43">
        <f>INDEX(CIBC!$B$6:$E$6,MATCH(VALUE(LEFT(A12,FIND(" ",A12)-1)),CIBC!$E$6:$E$6,1),2)*100</f>
        <v>0.05</v>
      </c>
      <c r="E12" s="43">
        <f>INDEX(TD!$B$4:$E$9,MATCH(VALUE(LEFT(A12,FIND(" ",A12)-1)),TD!$E$4:$E$9,1),2)*100</f>
        <v>0.05</v>
      </c>
      <c r="F12" s="42">
        <f>INDEX(TD!$B$11:$E$16,MATCH(VALUE(LEFT(A12,FIND(" ",A12)-1)),TD!$E$11:$E$16,1),2)*100</f>
        <v>0.3</v>
      </c>
      <c r="G12" s="42">
        <f>INDEX(TD!$B$18:$E$23,MATCH(VALUE(LEFT(A12,FIND(" ",A12)-1)),TD!$E$18:$E$23,1),2)*100</f>
        <v>1</v>
      </c>
      <c r="H12" s="42">
        <f>INDEX(BMO!$B$2:$E$4,MATCH(VALUE(LEFT(A12,FIND(" ",A12)-1)),BMO!$E$2:$E$4,1),2)*100</f>
        <v>1.6</v>
      </c>
      <c r="I12" s="44">
        <f>INDEX(BMO!$B$5:$E$6,MATCH(VALUE(LEFT(A12,FIND(" ",A12)-1)),BMO!$E$5:$E$6,1),2)*100</f>
        <v>0.8</v>
      </c>
      <c r="J12" s="42">
        <f>INDEX(BMO!$B$7:$E$8,MATCH(VALUE(LEFT(A12,FIND(" ",A12)-1)),BMO!$E$7:$E$8,1),2)*100</f>
        <v>0.05</v>
      </c>
      <c r="K12" s="44" t="str">
        <f>(BNS!$D$36)*100 &amp; " + " &amp; (BNS!$E$35)*100 &amp; ", "&amp; (BNS!$E$34)*100 &amp; ", "&amp; (BNS!$E$33)*100 &amp; ", "&amp; (BNS!$E$32)*100</f>
        <v>1 + 0.5, 0.6, 0.8, 1</v>
      </c>
      <c r="L12" s="44">
        <f>INDEX(BNS!$B$28:$G$29,MATCH(VALUE(LEFT(A12,FIND(" ",A12)-1)),BNS!$G$28:$G$29,1),2)*100</f>
        <v>0.05</v>
      </c>
      <c r="M12" s="44">
        <f>INDEX(BNS!$B$25:$G$27,MATCH(VALUE(LEFT(A12,FIND(" ",A12)-1)),BNS!$G$25:$G$27,1),2)*100</f>
        <v>1</v>
      </c>
      <c r="N12" s="44" t="str">
        <f>INDEX(RBC!$A$168:$E$168,MATCH(VALUE(LEFT(A12,FIND(" ",A12)-1)),RBC!$E$168:$E$168,1),3)</f>
        <v>1.000</v>
      </c>
      <c r="O12" s="44" t="str">
        <f>INDEX(RBC!$A$160:$E$167,MATCH(VALUE(LEFT(A12,FIND(" ",A12)-1)),RBC!$E$160:$E$167,1),3)</f>
        <v>0.150 P</v>
      </c>
      <c r="P12" s="44" t="str">
        <f>INDEX(RBC!$A$156:$E$159,MATCH(VALUE(LEFT(A12,FIND(" ",A12)-1)),RBC!$E$156:$E$159,1),3)</f>
        <v>0.010 P</v>
      </c>
      <c r="Q12" s="59">
        <f>$Q$11</f>
        <v>1.1000000000000001</v>
      </c>
      <c r="R12" s="44">
        <f>(Simplii!$C$11)*100</f>
        <v>1.0999999999999999</v>
      </c>
      <c r="S12" s="43">
        <f>LEFT((ICICI!$B$3),5)*100</f>
        <v>1.6</v>
      </c>
      <c r="T12" s="43">
        <f>(NBC!$C$28)*100</f>
        <v>1</v>
      </c>
      <c r="U12" s="44">
        <f>(Manulife!$C$6)*100</f>
        <v>1.2</v>
      </c>
      <c r="V12" s="42">
        <f>INDEX(HSBC!$B$2:$I$5,MATCH(VALUE(LEFT(A12,FIND(" ",A12)-1)),HSBC!$I$2:$I$5,1),2)*100</f>
        <v>1.05</v>
      </c>
      <c r="W12" s="42">
        <f>(CT!$B$2)*100</f>
        <v>1.5</v>
      </c>
      <c r="X12" s="44">
        <f>(Meridian!$A$2)*100</f>
        <v>1.3</v>
      </c>
      <c r="Y12" s="8">
        <f>(EQ!$B$2)*100</f>
        <v>2.2999999999999998</v>
      </c>
    </row>
    <row r="13" spans="1:28" x14ac:dyDescent="0.25">
      <c r="A13" s="42" t="s">
        <v>353</v>
      </c>
      <c r="B13" s="42">
        <f>INDEX(CIBC!$B$2:$E$3,MATCH(VALUE(LEFT(A13,FIND(" ",A13)-1)),CIBC!$E$2:$E$3,1),2)*100</f>
        <v>1</v>
      </c>
      <c r="C13" s="43">
        <f>INDEX(CIBC!$B$4:$E$5,MATCH(VALUE(LEFT(A13,FIND(" ",A13)-1)),CIBC!$E$4:$E$5,1),2)*100</f>
        <v>0.1</v>
      </c>
      <c r="D13" s="43">
        <f>INDEX(CIBC!$B$6:$E$6,MATCH(VALUE(LEFT(A13,FIND(" ",A13)-1)),CIBC!$E$6:$E$6,1),2)*100</f>
        <v>0.05</v>
      </c>
      <c r="E13" s="43">
        <f>INDEX(TD!$B$4:$E$9,MATCH(VALUE(LEFT(A13,FIND(" ",A13)-1)),TD!$E$4:$E$9,1),2)*100</f>
        <v>0.05</v>
      </c>
      <c r="F13" s="42">
        <f>INDEX(TD!$B$11:$E$16,MATCH(VALUE(LEFT(A13,FIND(" ",A13)-1)),TD!$E$11:$E$16,1),2)*100</f>
        <v>0.3</v>
      </c>
      <c r="G13" s="42">
        <f>INDEX(TD!$B$18:$E$23,MATCH(VALUE(LEFT(A13,FIND(" ",A13)-1)),TD!$E$18:$E$23,1),2)*100</f>
        <v>1</v>
      </c>
      <c r="H13" s="42">
        <f>INDEX(BMO!$B$2:$E$4,MATCH(VALUE(LEFT(A13,FIND(" ",A13)-1)),BMO!$E$2:$E$4,1),2)*100</f>
        <v>1.6</v>
      </c>
      <c r="I13" s="44">
        <f>INDEX(BMO!$B$5:$E$6,MATCH(VALUE(LEFT(A13,FIND(" ",A13)-1)),BMO!$E$5:$E$6,1),2)*100</f>
        <v>0.8</v>
      </c>
      <c r="J13" s="42">
        <f>INDEX(BMO!$B$7:$E$8,MATCH(VALUE(LEFT(A13,FIND(" ",A13)-1)),BMO!$E$7:$E$8,1),2)*100</f>
        <v>0.05</v>
      </c>
      <c r="K13" s="44" t="str">
        <f>(BNS!$D$36)*100 &amp; " + " &amp; (BNS!$E$35)*100 &amp; ", "&amp; (BNS!$E$34)*100 &amp; ", "&amp; (BNS!$E$33)*100 &amp; ", "&amp; (BNS!$E$32)*100</f>
        <v>1 + 0.5, 0.6, 0.8, 1</v>
      </c>
      <c r="L13" s="44">
        <f>INDEX(BNS!$B$28:$G$29,MATCH(VALUE(LEFT(A13,FIND(" ",A13)-1)),BNS!$G$28:$G$29,1),2)*100</f>
        <v>0.05</v>
      </c>
      <c r="M13" s="44">
        <f>INDEX(BNS!$B$25:$G$27,MATCH(VALUE(LEFT(A13,FIND(" ",A13)-1)),BNS!$G$25:$G$27,1),2)*100</f>
        <v>1</v>
      </c>
      <c r="N13" s="44" t="str">
        <f>INDEX(RBC!$A$168:$E$168,MATCH(VALUE(LEFT(A13,FIND(" ",A13)-1)),RBC!$E$168:$E$168,1),3)</f>
        <v>1.000</v>
      </c>
      <c r="O13" s="44" t="str">
        <f>INDEX(RBC!$A$160:$E$167,MATCH(VALUE(LEFT(A13,FIND(" ",A13)-1)),RBC!$E$160:$E$167,1),3)</f>
        <v>0.050 P</v>
      </c>
      <c r="P13" s="44" t="str">
        <f>INDEX(RBC!$A$156:$E$159,MATCH(VALUE(LEFT(A13,FIND(" ",A13)-1)),RBC!$E$156:$E$159,1),3)</f>
        <v>0.010 P</v>
      </c>
      <c r="Q13" s="59">
        <f t="shared" ref="Q13:Q21" si="0">$Q$11</f>
        <v>1.1000000000000001</v>
      </c>
      <c r="R13" s="44">
        <f>(Simplii!$C$11)*100</f>
        <v>1.0999999999999999</v>
      </c>
      <c r="S13" s="43">
        <f>LEFT((ICICI!$B$3),5)*100</f>
        <v>1.6</v>
      </c>
      <c r="T13" s="43">
        <f>(NBC!$C$28)*100</f>
        <v>1</v>
      </c>
      <c r="U13" s="44">
        <f>(Manulife!$C$6)*100</f>
        <v>1.2</v>
      </c>
      <c r="V13" s="42">
        <f>INDEX(HSBC!$B$2:$I$5,MATCH(VALUE(LEFT(A13,FIND(" ",A13)-1)),HSBC!$I$2:$I$5,1),2)*100</f>
        <v>1.05</v>
      </c>
      <c r="W13" s="42">
        <f>(CT!$B$2)*100</f>
        <v>1.5</v>
      </c>
      <c r="X13" s="44">
        <f>(Meridian!$A$2)*100</f>
        <v>1.3</v>
      </c>
      <c r="Y13" s="8">
        <f>(EQ!$B$2)*100</f>
        <v>2.2999999999999998</v>
      </c>
    </row>
    <row r="14" spans="1:28" x14ac:dyDescent="0.25">
      <c r="A14" s="42" t="s">
        <v>354</v>
      </c>
      <c r="B14" s="42">
        <f>INDEX(CIBC!$B$2:$E$3,MATCH(VALUE(LEFT(A14,FIND(" ",A14)-1)),CIBC!$E$2:$E$3,1),2)*100</f>
        <v>1</v>
      </c>
      <c r="C14" s="43">
        <f>INDEX(CIBC!$B$4:$E$5,MATCH(VALUE(LEFT(A14,FIND(" ",A14)-1)),CIBC!$E$4:$E$5,1),2)*100</f>
        <v>0.1</v>
      </c>
      <c r="D14" s="43">
        <f>INDEX(CIBC!$B$6:$E$6,MATCH(VALUE(LEFT(A14,FIND(" ",A14)-1)),CIBC!$E$6:$E$6,1),2)*100</f>
        <v>0.05</v>
      </c>
      <c r="E14" s="43">
        <f>INDEX(TD!$B$4:$E$9,MATCH(VALUE(LEFT(A14,FIND(" ",A14)-1)),TD!$E$4:$E$9,1),2)*100</f>
        <v>0.05</v>
      </c>
      <c r="F14" s="42">
        <f>INDEX(TD!$B$11:$E$16,MATCH(VALUE(LEFT(A14,FIND(" ",A14)-1)),TD!$E$11:$E$16,1),2)*100</f>
        <v>0.3</v>
      </c>
      <c r="G14" s="42">
        <f>INDEX(TD!$B$18:$E$23,MATCH(VALUE(LEFT(A14,FIND(" ",A14)-1)),TD!$E$18:$E$23,1),2)*100</f>
        <v>1</v>
      </c>
      <c r="H14" s="42">
        <f>INDEX(BMO!$B$2:$E$4,MATCH(VALUE(LEFT(A14,FIND(" ",A14)-1)),BMO!$E$2:$E$4,1),2)*100</f>
        <v>1.6</v>
      </c>
      <c r="I14" s="44">
        <f>INDEX(BMO!$B$5:$E$6,MATCH(VALUE(LEFT(A14,FIND(" ",A14)-1)),BMO!$E$5:$E$6,1),2)*100</f>
        <v>0.8</v>
      </c>
      <c r="J14" s="42">
        <f>INDEX(BMO!$B$7:$E$8,MATCH(VALUE(LEFT(A14,FIND(" ",A14)-1)),BMO!$E$7:$E$8,1),2)*100</f>
        <v>0.05</v>
      </c>
      <c r="K14" s="44" t="str">
        <f>(BNS!$D$36)*100 &amp; " + " &amp; (BNS!$E$35)*100 &amp; ", "&amp; (BNS!$E$34)*100 &amp; ", "&amp; (BNS!$E$33)*100 &amp; ", "&amp; (BNS!$E$32)*100</f>
        <v>1 + 0.5, 0.6, 0.8, 1</v>
      </c>
      <c r="L14" s="44">
        <f>INDEX(BNS!$B$28:$G$29,MATCH(VALUE(LEFT(A14,FIND(" ",A14)-1)),BNS!$G$28:$G$29,1),2)*100</f>
        <v>0.05</v>
      </c>
      <c r="M14" s="44">
        <f>INDEX(BNS!$B$25:$G$27,MATCH(VALUE(LEFT(A14,FIND(" ",A14)-1)),BNS!$G$25:$G$27,1),2)*100</f>
        <v>1</v>
      </c>
      <c r="N14" s="44" t="str">
        <f>INDEX(RBC!$A$168:$E$168,MATCH(VALUE(LEFT(A14,FIND(" ",A14)-1)),RBC!$E$168:$E$168,1),3)</f>
        <v>1.000</v>
      </c>
      <c r="O14" s="44" t="str">
        <f>INDEX(RBC!$A$160:$E$167,MATCH(VALUE(LEFT(A14,FIND(" ",A14)-1)),RBC!$E$160:$E$167,1),3)</f>
        <v>0.025 P</v>
      </c>
      <c r="P14" s="44" t="str">
        <f>INDEX(RBC!$A$156:$E$159,MATCH(VALUE(LEFT(A14,FIND(" ",A14)-1)),RBC!$E$156:$E$159,1),3)</f>
        <v>0.010 P</v>
      </c>
      <c r="Q14" s="59">
        <f t="shared" si="0"/>
        <v>1.1000000000000001</v>
      </c>
      <c r="R14" s="44">
        <f>(Simplii!$C$11)*100</f>
        <v>1.0999999999999999</v>
      </c>
      <c r="S14" s="43">
        <f>LEFT((ICICI!$B$3),5)*100</f>
        <v>1.6</v>
      </c>
      <c r="T14" s="43">
        <f>(NBC!$C$28)*100</f>
        <v>1</v>
      </c>
      <c r="U14" s="44">
        <f>(Manulife!$C$6)*100</f>
        <v>1.2</v>
      </c>
      <c r="V14" s="42">
        <f>INDEX(HSBC!$B$2:$I$5,MATCH(VALUE(LEFT(A14,FIND(" ",A14)-1)),HSBC!$I$2:$I$5,1),2)*100</f>
        <v>1.05</v>
      </c>
      <c r="W14" s="42">
        <f>(CT!$B$2)*100</f>
        <v>1.5</v>
      </c>
      <c r="X14" s="44">
        <f>(Meridian!$A$2)*100</f>
        <v>1.3</v>
      </c>
      <c r="Y14" s="8">
        <f>(EQ!$B$2)*100</f>
        <v>2.2999999999999998</v>
      </c>
    </row>
    <row r="15" spans="1:28" x14ac:dyDescent="0.25">
      <c r="A15" s="42" t="s">
        <v>355</v>
      </c>
      <c r="B15" s="42">
        <f>INDEX(CIBC!$B$2:$E$3,MATCH(VALUE(LEFT(A15,FIND(" ",A15)-1)),CIBC!$E$2:$E$3,1),2)*100</f>
        <v>1</v>
      </c>
      <c r="C15" s="43">
        <f>INDEX(CIBC!$B$4:$E$5,MATCH(VALUE(LEFT(A15,FIND(" ",A15)-1)),CIBC!$E$4:$E$5,1),2)*100</f>
        <v>0.1</v>
      </c>
      <c r="D15" s="43">
        <f>INDEX(CIBC!$B$6:$E$6,MATCH(VALUE(LEFT(A15,FIND(" ",A15)-1)),CIBC!$E$6:$E$6,1),2)*100</f>
        <v>0.05</v>
      </c>
      <c r="E15" s="43">
        <f>INDEX(TD!$B$4:$E$9,MATCH(VALUE(LEFT(A15,FIND(" ",A15)-1)),TD!$E$4:$E$9,1),2)*100</f>
        <v>0.05</v>
      </c>
      <c r="F15" s="42">
        <f>INDEX(TD!$B$11:$E$16,MATCH(VALUE(LEFT(A15,FIND(" ",A15)-1)),TD!$E$11:$E$16,1),2)*100</f>
        <v>0.3</v>
      </c>
      <c r="G15" s="42">
        <f>INDEX(TD!$B$18:$E$23,MATCH(VALUE(LEFT(A15,FIND(" ",A15)-1)),TD!$E$18:$E$23,1),2)*100</f>
        <v>1</v>
      </c>
      <c r="H15" s="42">
        <f>INDEX(BMO!$B$2:$E$4,MATCH(VALUE(LEFT(A15,FIND(" ",A15)-1)),BMO!$E$2:$E$4,1),2)*100</f>
        <v>1.6</v>
      </c>
      <c r="I15" s="44">
        <f>INDEX(BMO!$B$5:$E$6,MATCH(VALUE(LEFT(A15,FIND(" ",A15)-1)),BMO!$E$5:$E$6,1),2)*100</f>
        <v>0.8</v>
      </c>
      <c r="J15" s="42">
        <f>INDEX(BMO!$B$7:$E$8,MATCH(VALUE(LEFT(A15,FIND(" ",A15)-1)),BMO!$E$7:$E$8,1),2)*100</f>
        <v>0.05</v>
      </c>
      <c r="K15" s="44" t="str">
        <f>(BNS!$D$36)*100 &amp; " + " &amp; (BNS!$E$35)*100 &amp; ", "&amp; (BNS!$E$34)*100 &amp; ", "&amp; (BNS!$E$33)*100 &amp; ", "&amp; (BNS!$E$32)*100</f>
        <v>1 + 0.5, 0.6, 0.8, 1</v>
      </c>
      <c r="L15" s="44">
        <f>INDEX(BNS!$B$28:$G$29,MATCH(VALUE(LEFT(A15,FIND(" ",A15)-1)),BNS!$G$28:$G$29,1),2)*100</f>
        <v>0.05</v>
      </c>
      <c r="M15" s="44">
        <f>INDEX(BNS!$B$25:$G$27,MATCH(VALUE(LEFT(A15,FIND(" ",A15)-1)),BNS!$G$25:$G$27,1),2)*100</f>
        <v>1</v>
      </c>
      <c r="N15" s="44" t="str">
        <f>INDEX(RBC!$A$168:$E$168,MATCH(VALUE(LEFT(A15,FIND(" ",A15)-1)),RBC!$E$168:$E$168,1),3)</f>
        <v>1.000</v>
      </c>
      <c r="O15" s="44" t="str">
        <f>INDEX(RBC!$A$160:$E$167,MATCH(VALUE(LEFT(A15,FIND(" ",A15)-1)),RBC!$E$160:$E$167,1),3)</f>
        <v>0.010</v>
      </c>
      <c r="P15" s="44" t="str">
        <f>INDEX(RBC!$A$156:$E$159,MATCH(VALUE(LEFT(A15,FIND(" ",A15)-1)),RBC!$E$156:$E$159,1),3)</f>
        <v>0.010 P</v>
      </c>
      <c r="Q15" s="59">
        <f t="shared" si="0"/>
        <v>1.1000000000000001</v>
      </c>
      <c r="R15" s="44">
        <f>(Simplii!$C$11)*100</f>
        <v>1.0999999999999999</v>
      </c>
      <c r="S15" s="43">
        <f>LEFT((ICICI!$B$3),5)*100</f>
        <v>1.6</v>
      </c>
      <c r="T15" s="43">
        <f>(NBC!$C$28)*100</f>
        <v>1</v>
      </c>
      <c r="U15" s="44">
        <f>(Manulife!$C$6)*100</f>
        <v>1.2</v>
      </c>
      <c r="V15" s="42">
        <f>INDEX(HSBC!$B$2:$I$5,MATCH(VALUE(LEFT(A15,FIND(" ",A15)-1)),HSBC!$I$2:$I$5,1),2)*100</f>
        <v>1.05</v>
      </c>
      <c r="W15" s="42">
        <f>(CT!$B$2)*100</f>
        <v>1.5</v>
      </c>
      <c r="X15" s="44">
        <f>(Meridian!$A$2)*100</f>
        <v>1.3</v>
      </c>
      <c r="Y15" s="8">
        <f>(EQ!$B$2)*100</f>
        <v>2.2999999999999998</v>
      </c>
    </row>
    <row r="16" spans="1:28" x14ac:dyDescent="0.25">
      <c r="A16" s="42" t="s">
        <v>356</v>
      </c>
      <c r="B16" s="42">
        <f>INDEX(CIBC!$B$2:$E$3,MATCH(VALUE(LEFT(A16,FIND(" ",A16)-1)),CIBC!$E$2:$E$3,1),2)*100</f>
        <v>1</v>
      </c>
      <c r="C16" s="43">
        <f>INDEX(CIBC!$B$4:$E$5,MATCH(VALUE(LEFT(A16,FIND(" ",A16)-1)),CIBC!$E$4:$E$5,1),2)*100</f>
        <v>0.1</v>
      </c>
      <c r="D16" s="43">
        <f>INDEX(CIBC!$B$6:$E$6,MATCH(VALUE(LEFT(A16,FIND(" ",A16)-1)),CIBC!$E$6:$E$6,1),2)*100</f>
        <v>0.05</v>
      </c>
      <c r="E16" s="43">
        <f>INDEX(TD!$B$4:$E$9,MATCH(VALUE(LEFT(A16,FIND(" ",A16)-1)),TD!$E$4:$E$9,1),2)*100</f>
        <v>0.05</v>
      </c>
      <c r="F16" s="42">
        <f>INDEX(TD!$B$11:$E$16,MATCH(VALUE(LEFT(A16,FIND(" ",A16)-1)),TD!$E$11:$E$16,1),2)*100</f>
        <v>0.3</v>
      </c>
      <c r="G16" s="42">
        <f>INDEX(TD!$B$18:$E$23,MATCH(VALUE(LEFT(A16,FIND(" ",A16)-1)),TD!$E$18:$E$23,1),2)*100</f>
        <v>1</v>
      </c>
      <c r="H16" s="42">
        <f>INDEX(BMO!$B$2:$E$4,MATCH(VALUE(LEFT(A16,FIND(" ",A16)-1)),BMO!$E$2:$E$4,1),2)*100</f>
        <v>1.6</v>
      </c>
      <c r="I16" s="44">
        <f>INDEX(BMO!$B$5:$E$6,MATCH(VALUE(LEFT(A16,FIND(" ",A16)-1)),BMO!$E$5:$E$6,1),2)*100</f>
        <v>0.8</v>
      </c>
      <c r="J16" s="42">
        <f>INDEX(BMO!$B$7:$E$8,MATCH(VALUE(LEFT(A16,FIND(" ",A16)-1)),BMO!$E$7:$E$8,1),2)*100</f>
        <v>0.05</v>
      </c>
      <c r="K16" s="44" t="str">
        <f>(BNS!$D$36)*100 &amp; " + " &amp; (BNS!$E$35)*100 &amp; ", "&amp; (BNS!$E$34)*100 &amp; ", "&amp; (BNS!$E$33)*100 &amp; ", "&amp; (BNS!$E$32)*100</f>
        <v>1 + 0.5, 0.6, 0.8, 1</v>
      </c>
      <c r="L16" s="44">
        <f>INDEX(BNS!$B$28:$G$29,MATCH(VALUE(LEFT(A16,FIND(" ",A16)-1)),BNS!$G$28:$G$29,1),2)*100</f>
        <v>0.05</v>
      </c>
      <c r="M16" s="44">
        <f>INDEX(BNS!$B$25:$G$27,MATCH(VALUE(LEFT(A16,FIND(" ",A16)-1)),BNS!$G$25:$G$27,1),2)*100</f>
        <v>1</v>
      </c>
      <c r="N16" s="44" t="str">
        <f>INDEX(RBC!$A$168:$E$168,MATCH(VALUE(LEFT(A16,FIND(" ",A16)-1)),RBC!$E$168:$E$168,1),3)</f>
        <v>1.000</v>
      </c>
      <c r="O16" s="44" t="str">
        <f>INDEX(RBC!$A$160:$E$167,MATCH(VALUE(LEFT(A16,FIND(" ",A16)-1)),RBC!$E$160:$E$167,1),3)</f>
        <v>0.010</v>
      </c>
      <c r="P16" s="44" t="str">
        <f>INDEX(RBC!$A$156:$E$159,MATCH(VALUE(LEFT(A16,FIND(" ",A16)-1)),RBC!$E$156:$E$159,1),3)</f>
        <v>0.010 P</v>
      </c>
      <c r="Q16" s="59">
        <f t="shared" si="0"/>
        <v>1.1000000000000001</v>
      </c>
      <c r="R16" s="44">
        <f>(Simplii!$C$11)*100</f>
        <v>1.0999999999999999</v>
      </c>
      <c r="S16" s="43">
        <f>LEFT((ICICI!$B$3),5)*100</f>
        <v>1.6</v>
      </c>
      <c r="T16" s="43">
        <f>(NBC!$C$28)*100</f>
        <v>1</v>
      </c>
      <c r="U16" s="44">
        <f>(Manulife!$C$6)*100</f>
        <v>1.2</v>
      </c>
      <c r="V16" s="42">
        <f>INDEX(HSBC!$B$2:$I$5,MATCH(VALUE(LEFT(A16,FIND(" ",A16)-1)),HSBC!$I$2:$I$5,1),2)*100</f>
        <v>1.05</v>
      </c>
      <c r="W16" s="42">
        <f>(CT!$B$2)*100</f>
        <v>1.5</v>
      </c>
      <c r="X16" s="44">
        <f>(Meridian!$A$2)*100</f>
        <v>1.3</v>
      </c>
      <c r="Y16" s="8">
        <f>(EQ!$B$2)*100</f>
        <v>2.2999999999999998</v>
      </c>
    </row>
    <row r="17" spans="1:26" x14ac:dyDescent="0.25">
      <c r="A17" s="42" t="s">
        <v>36</v>
      </c>
      <c r="B17" s="42">
        <f>INDEX(CIBC!$B$2:$E$3,MATCH(VALUE(LEFT(A17,FIND(" ",A17)-1)),CIBC!$E$2:$E$3,1),2)*100</f>
        <v>1</v>
      </c>
      <c r="C17" s="43">
        <f>INDEX(CIBC!$B$4:$E$5,MATCH(VALUE(LEFT(A17,FIND(" ",A17)-1)),CIBC!$E$4:$E$5,1),2)*100</f>
        <v>0.1</v>
      </c>
      <c r="D17" s="43">
        <f>INDEX(CIBC!$B$6:$E$6,MATCH(VALUE(LEFT(A17,FIND(" ",A17)-1)),CIBC!$E$6:$E$6,1),2)*100</f>
        <v>0.05</v>
      </c>
      <c r="E17" s="43">
        <f>INDEX(TD!$B$4:$E$9,MATCH(VALUE(LEFT(A17,FIND(" ",A17)-1)),TD!$E$4:$E$9,1),2)*100</f>
        <v>0.05</v>
      </c>
      <c r="F17" s="42">
        <f>INDEX(TD!$B$11:$E$16,MATCH(VALUE(LEFT(A17,FIND(" ",A17)-1)),TD!$E$11:$E$16,1),2)*100</f>
        <v>0.3</v>
      </c>
      <c r="G17" s="42">
        <f>INDEX(TD!$B$18:$E$23,MATCH(VALUE(LEFT(A17,FIND(" ",A17)-1)),TD!$E$18:$E$23,1),2)*100</f>
        <v>1</v>
      </c>
      <c r="H17" s="42">
        <f>INDEX(BMO!$B$2:$E$4,MATCH(VALUE(LEFT(A17,FIND(" ",A17)-1)),BMO!$E$2:$E$4,1),2)*100</f>
        <v>1.6</v>
      </c>
      <c r="I17" s="44">
        <f>INDEX(BMO!$B$5:$E$6,MATCH(VALUE(LEFT(A17,FIND(" ",A17)-1)),BMO!$E$5:$E$6,1),2)*100</f>
        <v>0.8</v>
      </c>
      <c r="J17" s="42">
        <f>INDEX(BMO!$B$7:$E$8,MATCH(VALUE(LEFT(A17,FIND(" ",A17)-1)),BMO!$E$7:$E$8,1),2)*100</f>
        <v>0.05</v>
      </c>
      <c r="K17" s="44" t="str">
        <f>(BNS!$D$36)*100 &amp; " + " &amp; (BNS!$E$35)*100 &amp; ", "&amp; (BNS!$E$34)*100 &amp; ", "&amp; (BNS!$E$33)*100 &amp; ", "&amp; (BNS!$E$32)*100</f>
        <v>1 + 0.5, 0.6, 0.8, 1</v>
      </c>
      <c r="L17" s="44">
        <f>INDEX(BNS!$B$28:$G$29,MATCH(VALUE(LEFT(A17,FIND(" ",A17)-1)),BNS!$G$28:$G$29,1),2)*100</f>
        <v>0.05</v>
      </c>
      <c r="M17" s="44">
        <f>INDEX(BNS!$B$25:$G$27,MATCH(VALUE(LEFT(A17,FIND(" ",A17)-1)),BNS!$G$25:$G$27,1),2)*100</f>
        <v>1</v>
      </c>
      <c r="N17" s="44" t="str">
        <f>INDEX(RBC!$A$168:$E$168,MATCH(VALUE(LEFT(A17,FIND(" ",A17)-1)),RBC!$E$168:$E$168,1),3)</f>
        <v>1.000</v>
      </c>
      <c r="O17" s="44" t="str">
        <f>INDEX(RBC!$A$160:$E$167,MATCH(VALUE(LEFT(A17,FIND(" ",A17)-1)),RBC!$E$160:$E$167,1),3)</f>
        <v>0.005</v>
      </c>
      <c r="P17" s="44" t="str">
        <f>INDEX(RBC!$A$156:$E$159,MATCH(VALUE(LEFT(A17,FIND(" ",A17)-1)),RBC!$E$156:$E$159,1),3)</f>
        <v>0.010 P</v>
      </c>
      <c r="Q17" s="59">
        <f t="shared" si="0"/>
        <v>1.1000000000000001</v>
      </c>
      <c r="R17" s="44">
        <f>(Simplii!$C$11)*100</f>
        <v>1.0999999999999999</v>
      </c>
      <c r="S17" s="43">
        <f>LEFT((ICICI!$B$3),5)*100</f>
        <v>1.6</v>
      </c>
      <c r="T17" s="43">
        <f>(NBC!$C$28)*100</f>
        <v>1</v>
      </c>
      <c r="U17" s="44">
        <f>(Manulife!$C$6)*100</f>
        <v>1.2</v>
      </c>
      <c r="V17" s="42">
        <f>INDEX(HSBC!$B$2:$I$5,MATCH(VALUE(LEFT(A17,FIND(" ",A17)-1)),HSBC!$I$2:$I$5,1),2)*100</f>
        <v>0.5</v>
      </c>
      <c r="W17" s="42">
        <f>(CT!$B$2)*100</f>
        <v>1.5</v>
      </c>
      <c r="X17" s="44">
        <f>(Meridian!$A$2)*100</f>
        <v>1.3</v>
      </c>
      <c r="Y17" s="8">
        <f>(EQ!$B$2)*100</f>
        <v>2.2999999999999998</v>
      </c>
    </row>
    <row r="18" spans="1:26" x14ac:dyDescent="0.25">
      <c r="A18" s="42" t="s">
        <v>37</v>
      </c>
      <c r="B18" s="42">
        <f>INDEX(CIBC!$B$2:$E$3,MATCH(VALUE(LEFT(A18,FIND(" ",A18)-1)),CIBC!$E$2:$E$3,1),2)*100</f>
        <v>1</v>
      </c>
      <c r="C18" s="43">
        <f>INDEX(CIBC!$B$4:$E$5,MATCH(VALUE(LEFT(A18,FIND(" ",A18)-1)),CIBC!$E$4:$E$5,1),2)*100</f>
        <v>0.1</v>
      </c>
      <c r="D18" s="43">
        <f>INDEX(CIBC!$B$6:$E$6,MATCH(VALUE(LEFT(A18,FIND(" ",A18)-1)),CIBC!$E$6:$E$6,1),2)*100</f>
        <v>0.05</v>
      </c>
      <c r="E18" s="43">
        <f>INDEX(TD!$B$4:$E$9,MATCH(VALUE(LEFT(A18,FIND(" ",A18)-1)),TD!$E$4:$E$9,1),2)*100</f>
        <v>0.05</v>
      </c>
      <c r="F18" s="42">
        <f>INDEX(TD!$B$11:$E$16,MATCH(VALUE(LEFT(A18,FIND(" ",A18)-1)),TD!$E$11:$E$16,1),2)*100</f>
        <v>0.3</v>
      </c>
      <c r="G18" s="42">
        <f>INDEX(TD!$B$18:$E$23,MATCH(VALUE(LEFT(A18,FIND(" ",A18)-1)),TD!$E$18:$E$23,1),2)*100</f>
        <v>0</v>
      </c>
      <c r="H18" s="42">
        <f>INDEX(BMO!$B$2:$E$4,MATCH(VALUE(LEFT(A18,FIND(" ",A18)-1)),BMO!$E$2:$E$4,1),2)*100</f>
        <v>1.6</v>
      </c>
      <c r="I18" s="44">
        <f>INDEX(BMO!$B$5:$E$6,MATCH(VALUE(LEFT(A18,FIND(" ",A18)-1)),BMO!$E$5:$E$6,1),2)*100</f>
        <v>0.8</v>
      </c>
      <c r="J18" s="42">
        <f>INDEX(BMO!$B$7:$E$8,MATCH(VALUE(LEFT(A18,FIND(" ",A18)-1)),BMO!$E$7:$E$8,1),2)*100</f>
        <v>0.05</v>
      </c>
      <c r="K18" s="44" t="str">
        <f>(BNS!$D$36)*100 &amp; " + " &amp; (BNS!$E$35)*100 &amp; ", "&amp; (BNS!$E$34)*100 &amp; ", "&amp; (BNS!$E$33)*100 &amp; ", "&amp; (BNS!$E$32)*100</f>
        <v>1 + 0.5, 0.6, 0.8, 1</v>
      </c>
      <c r="L18" s="44">
        <f>INDEX(BNS!$B$28:$G$29,MATCH(VALUE(LEFT(A18,FIND(" ",A18)-1)),BNS!$G$28:$G$29,1),2)*100</f>
        <v>0.05</v>
      </c>
      <c r="M18" s="44">
        <f>INDEX(BNS!$B$25:$G$27,MATCH(VALUE(LEFT(A18,FIND(" ",A18)-1)),BNS!$G$25:$G$27,1),2)*100</f>
        <v>1</v>
      </c>
      <c r="N18" s="44" t="str">
        <f>INDEX(RBC!$A$168:$E$168,MATCH(VALUE(LEFT(A18,FIND(" ",A18)-1)),RBC!$E$168:$E$168,1),3)</f>
        <v>1.000</v>
      </c>
      <c r="O18" s="44" t="str">
        <f>INDEX(RBC!$A$160:$E$167,MATCH(VALUE(LEFT(A18,FIND(" ",A18)-1)),RBC!$E$160:$E$167,1),3)</f>
        <v>0.001</v>
      </c>
      <c r="P18" s="44" t="str">
        <f>INDEX(RBC!$A$156:$E$159,MATCH(VALUE(LEFT(A18,FIND(" ",A18)-1)),RBC!$E$156:$E$159,1),3)</f>
        <v>0.010 P</v>
      </c>
      <c r="Q18" s="59">
        <f t="shared" si="0"/>
        <v>1.1000000000000001</v>
      </c>
      <c r="R18" s="44">
        <f>(Simplii!$C$11)*100</f>
        <v>1.0999999999999999</v>
      </c>
      <c r="S18" s="43">
        <f>LEFT((ICICI!$B$3),5)*100</f>
        <v>1.6</v>
      </c>
      <c r="T18" s="43">
        <f>(NBC!$C$28)*100</f>
        <v>1</v>
      </c>
      <c r="U18" s="44">
        <f>(Manulife!$C$6)*100</f>
        <v>1.2</v>
      </c>
      <c r="V18" s="42">
        <f>INDEX(HSBC!$B$2:$I$5,MATCH(VALUE(LEFT(A18,FIND(" ",A18)-1)),HSBC!$I$2:$I$5,1),2)*100</f>
        <v>0.5</v>
      </c>
      <c r="W18" s="42">
        <f>(CT!$B$2)*100</f>
        <v>1.5</v>
      </c>
      <c r="X18" s="44">
        <f>(Meridian!$A$2)*100</f>
        <v>1.3</v>
      </c>
      <c r="Y18" s="8">
        <f>(EQ!$B$2)*100</f>
        <v>2.2999999999999998</v>
      </c>
    </row>
    <row r="19" spans="1:26" x14ac:dyDescent="0.25">
      <c r="A19" s="42" t="s">
        <v>38</v>
      </c>
      <c r="B19" s="42">
        <f>INDEX(CIBC!$B$2:$E$3,MATCH(VALUE(LEFT(A19,FIND(" ",A19)-1)),CIBC!$E$2:$E$3,1),2)*100</f>
        <v>1</v>
      </c>
      <c r="C19" s="43">
        <f>INDEX(CIBC!$B$4:$E$5,MATCH(VALUE(LEFT(A19,FIND(" ",A19)-1)),CIBC!$E$4:$E$5,1),2)*100</f>
        <v>0.1</v>
      </c>
      <c r="D19" s="43">
        <f>INDEX(CIBC!$B$6:$E$6,MATCH(VALUE(LEFT(A19,FIND(" ",A19)-1)),CIBC!$E$6:$E$6,1),2)*100</f>
        <v>0.05</v>
      </c>
      <c r="E19" s="43">
        <f>INDEX(TD!$B$4:$E$9,MATCH(VALUE(LEFT(A19,FIND(" ",A19)-1)),TD!$E$4:$E$9,1),2)*100</f>
        <v>0.05</v>
      </c>
      <c r="F19" s="42">
        <f>INDEX(TD!$B$11:$E$16,MATCH(VALUE(LEFT(A19,FIND(" ",A19)-1)),TD!$E$11:$E$16,1),2)*100</f>
        <v>0</v>
      </c>
      <c r="G19" s="42">
        <f>INDEX(TD!$B$18:$E$23,MATCH(VALUE(LEFT(A19,FIND(" ",A19)-1)),TD!$E$18:$E$23,1),2)*100</f>
        <v>0</v>
      </c>
      <c r="H19" s="42">
        <f>INDEX(BMO!$B$2:$E$4,MATCH(VALUE(LEFT(A19,FIND(" ",A19)-1)),BMO!$E$2:$E$4,1),2)*100</f>
        <v>1.6</v>
      </c>
      <c r="I19" s="44">
        <f>INDEX(BMO!$B$5:$E$6,MATCH(VALUE(LEFT(A19,FIND(" ",A19)-1)),BMO!$E$5:$E$6,1),2)*100</f>
        <v>0.8</v>
      </c>
      <c r="J19" s="42">
        <f>INDEX(BMO!$B$7:$E$8,MATCH(VALUE(LEFT(A19,FIND(" ",A19)-1)),BMO!$E$7:$E$8,1),2)*100</f>
        <v>0.05</v>
      </c>
      <c r="K19" s="44" t="str">
        <f>(BNS!$D$36)*100 &amp; " + " &amp; (BNS!$E$35)*100 &amp; ", "&amp; (BNS!$E$34)*100 &amp; ", "&amp; (BNS!$E$33)*100 &amp; ", "&amp; (BNS!$E$32)*100</f>
        <v>1 + 0.5, 0.6, 0.8, 1</v>
      </c>
      <c r="L19" s="44">
        <f>INDEX(BNS!$B$28:$G$29,MATCH(VALUE(LEFT(A19,FIND(" ",A19)-1)),BNS!$G$28:$G$29,1),2)*100</f>
        <v>0.05</v>
      </c>
      <c r="M19" s="44">
        <f>INDEX(BNS!$B$25:$G$27,MATCH(VALUE(LEFT(A19,FIND(" ",A19)-1)),BNS!$G$25:$G$27,1),2)*100</f>
        <v>0.05</v>
      </c>
      <c r="N19" s="44" t="str">
        <f>INDEX(RBC!$A$168:$E$168,MATCH(VALUE(LEFT(A19,FIND(" ",A19)-1)),RBC!$E$168:$E$168,1),3)</f>
        <v>1.000</v>
      </c>
      <c r="O19" s="44" t="str">
        <f>INDEX(RBC!$A$160:$E$167,MATCH(VALUE(LEFT(A19,FIND(" ",A19)-1)),RBC!$E$160:$E$167,1),3)</f>
        <v>0.000</v>
      </c>
      <c r="P19" s="44" t="str">
        <f>INDEX(RBC!$A$156:$E$159,MATCH(VALUE(LEFT(A19,FIND(" ",A19)-1)),RBC!$E$156:$E$159,1),3)</f>
        <v>0.010 P</v>
      </c>
      <c r="Q19" s="59">
        <f t="shared" si="0"/>
        <v>1.1000000000000001</v>
      </c>
      <c r="R19" s="44">
        <f>(Simplii!$C$11)*100</f>
        <v>1.0999999999999999</v>
      </c>
      <c r="S19" s="43">
        <f>LEFT((ICICI!$B$3),5)*100</f>
        <v>1.6</v>
      </c>
      <c r="T19" s="43">
        <f>(NBC!$C$28)*100</f>
        <v>1</v>
      </c>
      <c r="U19" s="44">
        <f>(Manulife!$C$6)*100</f>
        <v>1.2</v>
      </c>
      <c r="V19" s="42">
        <f>INDEX(HSBC!$B$2:$I$5,MATCH(VALUE(LEFT(A19,FIND(" ",A19)-1)),HSBC!$I$2:$I$5,1),2)*100</f>
        <v>0.5</v>
      </c>
      <c r="W19" s="42">
        <f>(CT!$B$2)*100</f>
        <v>1.5</v>
      </c>
      <c r="X19" s="44">
        <f>(Meridian!$A$2)*100</f>
        <v>1.3</v>
      </c>
      <c r="Y19" s="8">
        <f>(EQ!$B$2)*100</f>
        <v>2.2999999999999998</v>
      </c>
    </row>
    <row r="20" spans="1:26" x14ac:dyDescent="0.25">
      <c r="A20" s="42" t="s">
        <v>39</v>
      </c>
      <c r="B20" s="42">
        <f>INDEX(CIBC!$B$2:$E$3,MATCH(VALUE(LEFT(A20,FIND(" ",A20)-1)),CIBC!$E$2:$E$3,1),2)*100</f>
        <v>1</v>
      </c>
      <c r="C20" s="43">
        <f>INDEX(CIBC!$B$4:$E$5,MATCH(VALUE(LEFT(A20,FIND(" ",A20)-1)),CIBC!$E$4:$E$5,1),2)*100</f>
        <v>0.05</v>
      </c>
      <c r="D20" s="43">
        <f>INDEX(CIBC!$B$6:$E$6,MATCH(VALUE(LEFT(A20,FIND(" ",A20)-1)),CIBC!$E$6:$E$6,1),2)*100</f>
        <v>0.05</v>
      </c>
      <c r="E20" s="43">
        <f>INDEX(TD!$B$4:$E$9,MATCH(VALUE(LEFT(A20,FIND(" ",A20)-1)),TD!$E$4:$E$9,1),2)*100</f>
        <v>0.05</v>
      </c>
      <c r="F20" s="42">
        <f>INDEX(TD!$B$11:$E$16,MATCH(VALUE(LEFT(A20,FIND(" ",A20)-1)),TD!$E$11:$E$16,1),2)*100</f>
        <v>0</v>
      </c>
      <c r="G20" s="42">
        <f>INDEX(TD!$B$18:$E$23,MATCH(VALUE(LEFT(A20,FIND(" ",A20)-1)),TD!$E$18:$E$23,1),2)*100</f>
        <v>0</v>
      </c>
      <c r="H20" s="42">
        <f>INDEX(BMO!$B$2:$E$4,MATCH(VALUE(LEFT(A20,FIND(" ",A20)-1)),BMO!$E$2:$E$4,1),2)*100</f>
        <v>1.6</v>
      </c>
      <c r="I20" s="44">
        <f>INDEX(BMO!$B$5:$E$6,MATCH(VALUE(LEFT(A20,FIND(" ",A20)-1)),BMO!$E$5:$E$6,1),2)*100</f>
        <v>0.8</v>
      </c>
      <c r="J20" s="42">
        <f>INDEX(BMO!$B$7:$E$8,MATCH(VALUE(LEFT(A20,FIND(" ",A20)-1)),BMO!$E$7:$E$8,1),2)*100</f>
        <v>0.05</v>
      </c>
      <c r="K20" s="44" t="str">
        <f>(BNS!$D$36)*100 &amp; " + " &amp; (BNS!$E$35)*100 &amp; ", "&amp; (BNS!$E$34)*100 &amp; ", "&amp; (BNS!$E$33)*100 &amp; ", "&amp; (BNS!$E$32)*100</f>
        <v>1 + 0.5, 0.6, 0.8, 1</v>
      </c>
      <c r="L20" s="44">
        <f>INDEX(BNS!$B$28:$G$29,MATCH(VALUE(LEFT(A20,FIND(" ",A20)-1)),BNS!$G$28:$G$29,1),2)*100</f>
        <v>0.05</v>
      </c>
      <c r="M20" s="44">
        <f>INDEX(BNS!$B$25:$G$27,MATCH(VALUE(LEFT(A20,FIND(" ",A20)-1)),BNS!$G$25:$G$27,1),2)*100</f>
        <v>0.05</v>
      </c>
      <c r="N20" s="44" t="str">
        <f>INDEX(RBC!$A$168:$E$168,MATCH(VALUE(LEFT(A20,FIND(" ",A20)-1)),RBC!$E$168:$E$168,1),3)</f>
        <v>1.000</v>
      </c>
      <c r="O20" s="44" t="str">
        <f>INDEX(RBC!$A$160:$E$167,MATCH(VALUE(LEFT(A20,FIND(" ",A20)-1)),RBC!$E$160:$E$167,1),3)</f>
        <v>0.000</v>
      </c>
      <c r="P20" s="44" t="str">
        <f>INDEX(RBC!$A$156:$E$159,MATCH(VALUE(LEFT(A20,FIND(" ",A20)-1)),RBC!$E$156:$E$159,1),3)</f>
        <v>0.010</v>
      </c>
      <c r="Q20" s="59">
        <f t="shared" si="0"/>
        <v>1.1000000000000001</v>
      </c>
      <c r="R20" s="44">
        <f>(Simplii!$C$11)*100</f>
        <v>1.0999999999999999</v>
      </c>
      <c r="S20" s="43">
        <f>LEFT((ICICI!$B$3),5)*100</f>
        <v>1.6</v>
      </c>
      <c r="T20" s="43">
        <f>(NBC!$C$28)*100</f>
        <v>1</v>
      </c>
      <c r="U20" s="44">
        <f>(Manulife!$C$6)*100</f>
        <v>1.2</v>
      </c>
      <c r="V20" s="42">
        <f>INDEX(HSBC!$B$2:$I$5,MATCH(VALUE(LEFT(A20,FIND(" ",A20)-1)),HSBC!$I$2:$I$5,1),2)*100</f>
        <v>0.5</v>
      </c>
      <c r="W20" s="42">
        <f>(CT!$B$2)*100</f>
        <v>1.5</v>
      </c>
      <c r="X20" s="44">
        <f>(Meridian!$A$2)*100</f>
        <v>1.3</v>
      </c>
      <c r="Y20" s="8">
        <f>(EQ!$B$2)*100</f>
        <v>2.2999999999999998</v>
      </c>
    </row>
    <row r="21" spans="1:26" x14ac:dyDescent="0.25">
      <c r="A21" s="42" t="s">
        <v>40</v>
      </c>
      <c r="B21" s="42">
        <f>INDEX(CIBC!$B$2:$E$3,MATCH(VALUE(LEFT(A21,FIND(" ",A21)-1)),CIBC!$E$2:$E$3,1),2)*100</f>
        <v>1</v>
      </c>
      <c r="C21" s="43">
        <f>INDEX(CIBC!$B$4:$E$5,MATCH(VALUE(LEFT(A21,FIND(" ",A21)-1)),CIBC!$E$4:$E$5,1),2)*100</f>
        <v>0.05</v>
      </c>
      <c r="D21" s="43">
        <f>INDEX(CIBC!$B$6:$E$6,MATCH(VALUE(LEFT(A21,FIND(" ",A21)-1)),CIBC!$E$6:$E$6,1),2)*100</f>
        <v>0.05</v>
      </c>
      <c r="E21" s="43">
        <f>INDEX(TD!$B$4:$E$9,MATCH(VALUE(LEFT(A21,FIND(" ",A21)-1)),TD!$E$4:$E$9,1),2)*100</f>
        <v>0.05</v>
      </c>
      <c r="F21" s="42">
        <f>INDEX(TD!$B$11:$E$16,MATCH(VALUE(LEFT(A21,FIND(" ",A21)-1)),TD!$E$11:$E$16,1),2)*100</f>
        <v>0</v>
      </c>
      <c r="G21" s="42">
        <f>INDEX(TD!$B$18:$E$23,MATCH(VALUE(LEFT(A21,FIND(" ",A21)-1)),TD!$E$18:$E$23,1),2)*100</f>
        <v>0</v>
      </c>
      <c r="H21" s="42">
        <f>INDEX(BMO!$B$2:$E$4,MATCH(VALUE(LEFT(A21,FIND(" ",A21)-1)),BMO!$E$2:$E$4,1),2)*100</f>
        <v>1.6</v>
      </c>
      <c r="I21" s="44">
        <f>INDEX(BMO!$B$5:$E$6,MATCH(VALUE(LEFT(A21,FIND(" ",A21)-1)),BMO!$E$5:$E$6,1),2)*100</f>
        <v>0.8</v>
      </c>
      <c r="J21" s="42">
        <f>INDEX(BMO!$B$7:$E$8,MATCH(VALUE(LEFT(A21,FIND(" ",A21)-1)),BMO!$E$7:$E$8,1),2)*100</f>
        <v>0.05</v>
      </c>
      <c r="K21" s="44" t="str">
        <f>(BNS!$D$36)*100 &amp; " + " &amp; (BNS!$E$35)*100 &amp; ", "&amp; (BNS!$E$34)*100 &amp; ", "&amp; (BNS!$E$33)*100 &amp; ", "&amp; (BNS!$E$32)*100</f>
        <v>1 + 0.5, 0.6, 0.8, 1</v>
      </c>
      <c r="L21" s="44">
        <f>INDEX(BNS!$B$28:$G$29,MATCH(VALUE(LEFT(A21,FIND(" ",A21)-1)),BNS!$G$28:$G$29,1),2)*100</f>
        <v>0.05</v>
      </c>
      <c r="M21" s="44">
        <f>INDEX(BNS!$B$25:$G$27,MATCH(VALUE(LEFT(A21,FIND(" ",A21)-1)),BNS!$G$25:$G$27,1),2)*100</f>
        <v>0.05</v>
      </c>
      <c r="N21" s="44" t="str">
        <f>INDEX(RBC!$A$168:$E$168,MATCH(VALUE(LEFT(A21,FIND(" ",A21)-1)),RBC!$E$168:$E$168,1),3)</f>
        <v>1.000</v>
      </c>
      <c r="O21" s="44" t="str">
        <f>INDEX(RBC!$A$160:$E$167,MATCH(VALUE(LEFT(A21,FIND(" ",A21)-1)),RBC!$E$160:$E$167,1),3)</f>
        <v>0.000</v>
      </c>
      <c r="P21" s="44" t="str">
        <f>INDEX(RBC!$A$156:$E$159,MATCH(VALUE(LEFT(A21,FIND(" ",A21)-1)),RBC!$E$156:$E$159,1),3)</f>
        <v>0.005</v>
      </c>
      <c r="Q21" s="59">
        <f t="shared" si="0"/>
        <v>1.1000000000000001</v>
      </c>
      <c r="R21" s="44">
        <f>(Simplii!$C$11)*100</f>
        <v>1.0999999999999999</v>
      </c>
      <c r="S21" s="43">
        <f>LEFT((ICICI!$B$3),5)*100</f>
        <v>1.6</v>
      </c>
      <c r="T21" s="43">
        <f>(NBC!$C$28)*100</f>
        <v>1</v>
      </c>
      <c r="U21" s="44">
        <f>(Manulife!$C$6)*100</f>
        <v>1.2</v>
      </c>
      <c r="V21" s="42">
        <f>INDEX(HSBC!$B$2:$I$5,MATCH(VALUE(LEFT(A21,FIND(" ",A21)-1)),HSBC!$I$2:$I$5,1),2)*100</f>
        <v>0.5</v>
      </c>
      <c r="W21" s="42">
        <f>(CT!$B$2)*100</f>
        <v>1.5</v>
      </c>
      <c r="X21" s="44">
        <f>(Meridian!$A$2)*100</f>
        <v>1.3</v>
      </c>
      <c r="Y21" s="8">
        <f>(EQ!$B$2)*100</f>
        <v>2.2999999999999998</v>
      </c>
    </row>
    <row r="22" spans="1:26" x14ac:dyDescent="0.25">
      <c r="A22" s="9"/>
      <c r="B22" s="9"/>
      <c r="G22" s="9"/>
      <c r="H22" s="9"/>
      <c r="I22" s="9"/>
      <c r="J22" s="3"/>
      <c r="K22" s="3"/>
      <c r="L22" s="3"/>
      <c r="M22" s="3"/>
      <c r="N22" s="3"/>
      <c r="O22" s="3"/>
      <c r="P22" s="41"/>
      <c r="Q22" s="41"/>
      <c r="R22" s="41"/>
      <c r="S22" s="41"/>
      <c r="T22" s="41"/>
      <c r="U22" s="41"/>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1">
        <v>42205</v>
      </c>
      <c r="Q23" s="41">
        <v>43123</v>
      </c>
      <c r="R23" s="41">
        <v>43130</v>
      </c>
      <c r="S23" s="41">
        <v>42039</v>
      </c>
      <c r="T23" s="41">
        <v>43129</v>
      </c>
      <c r="U23" s="41">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1"/>
      <c r="Q24" s="41">
        <v>35521</v>
      </c>
      <c r="R24" s="41">
        <v>38902</v>
      </c>
      <c r="S24" s="41">
        <v>38322</v>
      </c>
      <c r="T24" s="41" t="s">
        <v>31</v>
      </c>
      <c r="U24" s="41">
        <v>41367</v>
      </c>
      <c r="V24" s="15">
        <v>38169</v>
      </c>
      <c r="W24" s="15">
        <v>38808</v>
      </c>
      <c r="X24" s="12">
        <v>36708</v>
      </c>
      <c r="Y24" s="11">
        <v>39022</v>
      </c>
      <c r="Z24" s="11">
        <v>42235</v>
      </c>
    </row>
    <row r="25" spans="1:26" x14ac:dyDescent="0.25">
      <c r="P25" s="41"/>
      <c r="Q25" s="41"/>
      <c r="R25" s="41"/>
      <c r="S25" s="41"/>
      <c r="T25" s="41"/>
      <c r="U25" s="41"/>
    </row>
    <row r="26" spans="1:26" x14ac:dyDescent="0.25">
      <c r="P26" s="41"/>
      <c r="Q26" s="41"/>
      <c r="R26" s="41"/>
      <c r="S26" s="41"/>
      <c r="T26" s="41"/>
      <c r="U26" s="41"/>
    </row>
    <row r="27" spans="1:26" x14ac:dyDescent="0.25">
      <c r="B27" s="17"/>
      <c r="P27" s="41"/>
      <c r="Q27" s="41"/>
      <c r="R27" s="41"/>
      <c r="S27" s="41"/>
      <c r="T27" s="41"/>
      <c r="U27" s="41"/>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D11" sqref="D11"/>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6"/>
      <c r="B1" s="46"/>
      <c r="C1" s="46"/>
      <c r="D1" s="46"/>
      <c r="E1" s="46"/>
      <c r="F1" s="46"/>
      <c r="G1" s="46"/>
      <c r="H1" s="46"/>
      <c r="I1" s="46"/>
      <c r="J1" s="46"/>
      <c r="K1" s="46"/>
      <c r="L1" s="46"/>
      <c r="M1" s="46"/>
      <c r="N1" s="46"/>
      <c r="O1" s="46"/>
      <c r="P1" s="46"/>
      <c r="Q1" s="46"/>
      <c r="Y1" s="3"/>
      <c r="Z1" s="3"/>
      <c r="AA1" s="3"/>
      <c r="AB1" s="3"/>
    </row>
    <row r="2" spans="1:28" ht="25.5" x14ac:dyDescent="0.35">
      <c r="A2" s="3"/>
      <c r="B2" s="72" t="s">
        <v>430</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5"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8"/>
      <c r="B9" s="48" t="s">
        <v>0</v>
      </c>
      <c r="C9" s="48" t="s">
        <v>0</v>
      </c>
      <c r="D9" s="48" t="s">
        <v>1</v>
      </c>
      <c r="E9" s="48" t="s">
        <v>1</v>
      </c>
      <c r="F9" s="48" t="s">
        <v>5</v>
      </c>
      <c r="G9" s="48" t="s">
        <v>5</v>
      </c>
      <c r="H9" s="48" t="s">
        <v>5</v>
      </c>
      <c r="I9" s="48" t="s">
        <v>2</v>
      </c>
      <c r="J9" s="48" t="s">
        <v>4</v>
      </c>
      <c r="K9" s="48" t="s">
        <v>4</v>
      </c>
      <c r="L9" s="48" t="s">
        <v>279</v>
      </c>
      <c r="M9" s="48" t="s">
        <v>337</v>
      </c>
      <c r="N9" s="48" t="s">
        <v>338</v>
      </c>
      <c r="O9" s="48" t="s">
        <v>338</v>
      </c>
      <c r="P9" s="48" t="s">
        <v>9</v>
      </c>
      <c r="Q9" s="48" t="s">
        <v>44</v>
      </c>
      <c r="R9" s="58" t="s">
        <v>12</v>
      </c>
    </row>
    <row r="10" spans="1:28" ht="64.5" x14ac:dyDescent="0.25">
      <c r="A10" s="51"/>
      <c r="B10" s="51" t="s">
        <v>339</v>
      </c>
      <c r="C10" s="51" t="s">
        <v>34</v>
      </c>
      <c r="D10" s="51" t="s">
        <v>340</v>
      </c>
      <c r="E10" s="51" t="s">
        <v>341</v>
      </c>
      <c r="F10" s="51" t="s">
        <v>342</v>
      </c>
      <c r="G10" s="51" t="s">
        <v>339</v>
      </c>
      <c r="H10" s="51" t="s">
        <v>343</v>
      </c>
      <c r="I10" s="51" t="s">
        <v>344</v>
      </c>
      <c r="J10" s="51" t="s">
        <v>428</v>
      </c>
      <c r="K10" s="51" t="s">
        <v>345</v>
      </c>
      <c r="L10" s="51" t="s">
        <v>346</v>
      </c>
      <c r="M10" s="51" t="s">
        <v>347</v>
      </c>
      <c r="N10" s="51" t="s">
        <v>348</v>
      </c>
      <c r="O10" s="51" t="s">
        <v>343</v>
      </c>
      <c r="P10" s="51" t="s">
        <v>427</v>
      </c>
      <c r="Q10" s="51" t="s">
        <v>349</v>
      </c>
      <c r="R10" s="51" t="s">
        <v>350</v>
      </c>
    </row>
    <row r="11" spans="1:28" x14ac:dyDescent="0.25">
      <c r="A11" s="42" t="s">
        <v>409</v>
      </c>
      <c r="B11" s="44">
        <f>INDEX(CIBC!$B$8:$E$12,MATCH(VALUE(LEFT(A11,FIND(" ",A11)-1)),CIBC!$E$8:$E$12,1),2)*100</f>
        <v>0.15</v>
      </c>
      <c r="C11" s="44">
        <f>(CIBC!$C$22)*100</f>
        <v>0.95</v>
      </c>
      <c r="D11" s="44">
        <f>INDEX(TD!$B$30:$E$35,MATCH(VALUE(LEFT(A11,FIND(" ",A11)-1)),TD!$E$30:$E$35,1),2)*100</f>
        <v>0.05</v>
      </c>
      <c r="E11" s="44">
        <f>(TD!$K$41)*100</f>
        <v>0.95</v>
      </c>
      <c r="F11" s="44" t="str">
        <f>INDEX(RBC!$A$134:$E$134,MATCH(VALUE(LEFT(A11,FIND(" ",A11)-1)),RBC!$E$134:$E$134,1),3)</f>
        <v>0.150</v>
      </c>
      <c r="G11" s="44" t="str">
        <f>INDEX(RBC!$A$133:$E$133,MATCH(VALUE(LEFT(A11,FIND(" ",A11)-1)),RBC!$E$133:$E$133,1),3)</f>
        <v>0.000</v>
      </c>
      <c r="H11" s="44" t="s">
        <v>31</v>
      </c>
      <c r="I11" s="44">
        <f>INDEX(BMO!$B$9:$E$10,MATCH(VALUE(LEFT(A11,FIND(" ",A11)-1)),BMO!$E$9:$E$10,1),2)*100</f>
        <v>0.05</v>
      </c>
      <c r="J11" s="59">
        <f>BNS!$D$45*100</f>
        <v>1</v>
      </c>
      <c r="K11" s="44">
        <f>INDEX(BNS!$B$17:$G$22,MATCH(VALUE(LEFT(A11,FIND(" ",A11)-1)),BNS!$G$17:$G$22,1),2)*100</f>
        <v>0.15</v>
      </c>
      <c r="L11" s="76">
        <v>0.45</v>
      </c>
      <c r="M11" s="44">
        <f>LEFT((ICICI!$B$6),5)*100</f>
        <v>0.6</v>
      </c>
      <c r="N11" s="79">
        <f>(Manulife!$C$13)*100</f>
        <v>0.5</v>
      </c>
      <c r="O11" s="79">
        <f>Manulife!$C$18*100</f>
        <v>0.95</v>
      </c>
      <c r="P11" s="44">
        <f>INDEX(HSBC!$B$10:$I$13,MATCH(VALUE(LEFT(A11,FIND(" ",A11)-1)),HSBC!$I$10:$I$13,1),2)*100</f>
        <v>0.3</v>
      </c>
      <c r="Q11" s="44">
        <f>(Altamira!$D$11)*100</f>
        <v>0.89999999999999991</v>
      </c>
      <c r="R11" s="44">
        <f>(BNS!$D$40)*100</f>
        <v>0.25</v>
      </c>
    </row>
    <row r="12" spans="1:28" s="41" customFormat="1" x14ac:dyDescent="0.25">
      <c r="A12" s="42" t="s">
        <v>353</v>
      </c>
      <c r="B12" s="44">
        <f>INDEX(CIBC!$B$8:$E$12,MATCH(VALUE(LEFT(A12,FIND(" ",A12)-1)),CIBC!$E$8:$E$12,1),2)*100</f>
        <v>0.15</v>
      </c>
      <c r="C12" s="44">
        <f>(CIBC!$C$22)*100</f>
        <v>0.95</v>
      </c>
      <c r="D12" s="44">
        <f>INDEX(TD!$B$30:$E$35,MATCH(VALUE(LEFT(A12,FIND(" ",A12)-1)),TD!$E$30:$E$35,1),2)*100</f>
        <v>0.05</v>
      </c>
      <c r="E12" s="44">
        <f>(TD!$K$41)*100</f>
        <v>0.95</v>
      </c>
      <c r="F12" s="44" t="str">
        <f>INDEX(RBC!$A$134:$E$134,MATCH(VALUE(LEFT(A12,FIND(" ",A12)-1)),RBC!$E$134:$E$134,1),3)</f>
        <v>0.150</v>
      </c>
      <c r="G12" s="44" t="str">
        <f>INDEX(RBC!$A$133:$E$133,MATCH(VALUE(LEFT(A12,FIND(" ",A12)-1)),RBC!$E$133:$E$133,1),3)</f>
        <v>0.000</v>
      </c>
      <c r="H12" s="44">
        <f>(RBC!$D$2)</f>
        <v>0</v>
      </c>
      <c r="I12" s="44">
        <f>INDEX(BMO!$B$9:$E$10,MATCH(VALUE(LEFT(A12,FIND(" ",A12)-1)),BMO!$E$9:$E$10,1),2)*100</f>
        <v>0.05</v>
      </c>
      <c r="J12" s="59">
        <f>BNS!$D$45*100</f>
        <v>1</v>
      </c>
      <c r="K12" s="44">
        <f>INDEX(BNS!$B$17:$G$22,MATCH(VALUE(LEFT(A12,FIND(" ",A12)-1)),BNS!$G$17:$G$22,1),2)*100</f>
        <v>0.15</v>
      </c>
      <c r="L12" s="76">
        <f>$L$11</f>
        <v>0.45</v>
      </c>
      <c r="M12" s="44">
        <f>LEFT((ICICI!$B$6),5)*100</f>
        <v>0.6</v>
      </c>
      <c r="N12" s="79">
        <f>(Manulife!$C$13)*100</f>
        <v>0.5</v>
      </c>
      <c r="O12" s="79">
        <f>Manulife!$C$18*100</f>
        <v>0.95</v>
      </c>
      <c r="P12" s="44">
        <f>INDEX(HSBC!$B$10:$I$13,MATCH(VALUE(LEFT(A12,FIND(" ",A12)-1)),HSBC!$I$10:$I$13,1),2)*100</f>
        <v>0.3</v>
      </c>
      <c r="Q12" s="44">
        <f>(Altamira!$D$11)*100</f>
        <v>0.89999999999999991</v>
      </c>
      <c r="R12" s="44">
        <f>(BNS!$D$40)*100</f>
        <v>0.25</v>
      </c>
    </row>
    <row r="13" spans="1:28" x14ac:dyDescent="0.25">
      <c r="A13" s="42" t="s">
        <v>354</v>
      </c>
      <c r="B13" s="44">
        <f>INDEX(CIBC!$B$8:$E$12,MATCH(VALUE(LEFT(A13,FIND(" ",A13)-1)),CIBC!$E$8:$E$12,1),2)*100</f>
        <v>0.15</v>
      </c>
      <c r="C13" s="44">
        <f>(CIBC!$C$22)*100</f>
        <v>0.95</v>
      </c>
      <c r="D13" s="44">
        <f>INDEX(TD!$B$30:$E$35,MATCH(VALUE(LEFT(A13,FIND(" ",A13)-1)),TD!$E$30:$E$35,1),2)*100</f>
        <v>0.05</v>
      </c>
      <c r="E13" s="44">
        <f>(TD!$K$41)*100</f>
        <v>0.95</v>
      </c>
      <c r="F13" s="44" t="str">
        <f>INDEX(RBC!$A$134:$E$134,MATCH(VALUE(LEFT(A13,FIND(" ",A13)-1)),RBC!$E$134:$E$134,1),3)</f>
        <v>0.150</v>
      </c>
      <c r="G13" s="44" t="str">
        <f>INDEX(RBC!$A$133:$E$133,MATCH(VALUE(LEFT(A13,FIND(" ",A13)-1)),RBC!$E$133:$E$133,1),3)</f>
        <v>0.000</v>
      </c>
      <c r="H13" s="44">
        <f>(RBC!$D$2)</f>
        <v>0</v>
      </c>
      <c r="I13" s="44">
        <f>INDEX(BMO!$B$9:$E$10,MATCH(VALUE(LEFT(A13,FIND(" ",A13)-1)),BMO!$E$9:$E$10,1),2)*100</f>
        <v>0.05</v>
      </c>
      <c r="J13" s="59">
        <f>BNS!$D$44*100</f>
        <v>0.85000000000000009</v>
      </c>
      <c r="K13" s="44">
        <f>INDEX(BNS!$B$17:$G$22,MATCH(VALUE(LEFT(A13,FIND(" ",A13)-1)),BNS!$G$17:$G$22,1),2)*100</f>
        <v>0.15</v>
      </c>
      <c r="L13" s="76">
        <f t="shared" ref="L13:L21" si="0">$L$11</f>
        <v>0.45</v>
      </c>
      <c r="M13" s="44">
        <f>LEFT((ICICI!$B$6),5)*100</f>
        <v>0.6</v>
      </c>
      <c r="N13" s="79">
        <f>(Manulife!$C$13)*100</f>
        <v>0.5</v>
      </c>
      <c r="O13" s="79">
        <f>Manulife!$C$18*100</f>
        <v>0.95</v>
      </c>
      <c r="P13" s="44">
        <f>INDEX(HSBC!$B$10:$I$13,MATCH(VALUE(LEFT(A13,FIND(" ",A13)-1)),HSBC!$I$10:$I$13,1),2)*100</f>
        <v>0.25</v>
      </c>
      <c r="Q13" s="44">
        <f>(Altamira!$D$11)*100</f>
        <v>0.89999999999999991</v>
      </c>
      <c r="R13" s="44">
        <f>(BNS!$D$40)*100</f>
        <v>0.25</v>
      </c>
    </row>
    <row r="14" spans="1:28" s="41" customFormat="1" x14ac:dyDescent="0.25">
      <c r="A14" s="42" t="s">
        <v>355</v>
      </c>
      <c r="B14" s="44">
        <f>INDEX(CIBC!$B$8:$E$12,MATCH(VALUE(LEFT(A14,FIND(" ",A14)-1)),CIBC!$E$8:$E$12,1),2)*100</f>
        <v>0.15</v>
      </c>
      <c r="C14" s="44">
        <f>(CIBC!$C$22)*100</f>
        <v>0.95</v>
      </c>
      <c r="D14" s="44">
        <f>INDEX(TD!$B$30:$E$35,MATCH(VALUE(LEFT(A14,FIND(" ",A14)-1)),TD!$E$30:$E$35,1),2)*100</f>
        <v>0.05</v>
      </c>
      <c r="E14" s="44">
        <f>(TD!$K$41)*100</f>
        <v>0.95</v>
      </c>
      <c r="F14" s="44" t="str">
        <f>INDEX(RBC!$A$134:$E$134,MATCH(VALUE(LEFT(A14,FIND(" ",A14)-1)),RBC!$E$134:$E$134,1),3)</f>
        <v>0.150</v>
      </c>
      <c r="G14" s="44" t="str">
        <f>INDEX(RBC!$A$133:$E$133,MATCH(VALUE(LEFT(A14,FIND(" ",A14)-1)),RBC!$E$133:$E$133,1),3)</f>
        <v>0.000</v>
      </c>
      <c r="H14" s="44">
        <f>(RBC!$D$2)</f>
        <v>0</v>
      </c>
      <c r="I14" s="44">
        <f>INDEX(BMO!$B$9:$E$10,MATCH(VALUE(LEFT(A14,FIND(" ",A14)-1)),BMO!$E$9:$E$10,1),2)*100</f>
        <v>0.05</v>
      </c>
      <c r="J14" s="59">
        <f>BNS!$D$44*100</f>
        <v>0.85000000000000009</v>
      </c>
      <c r="K14" s="44">
        <f>INDEX(BNS!$B$17:$G$22,MATCH(VALUE(LEFT(A14,FIND(" ",A14)-1)),BNS!$G$17:$G$22,1),2)*100</f>
        <v>0.1</v>
      </c>
      <c r="L14" s="76">
        <f t="shared" si="0"/>
        <v>0.45</v>
      </c>
      <c r="M14" s="44">
        <f>LEFT((ICICI!$B$6),5)*100</f>
        <v>0.6</v>
      </c>
      <c r="N14" s="79">
        <f>(Manulife!$C$13)*100</f>
        <v>0.5</v>
      </c>
      <c r="O14" s="79">
        <f>Manulife!$C$18*100</f>
        <v>0.95</v>
      </c>
      <c r="P14" s="44">
        <f>INDEX(HSBC!$B$10:$I$13,MATCH(VALUE(LEFT(A14,FIND(" ",A14)-1)),HSBC!$I$10:$I$13,1),2)*100</f>
        <v>0.25</v>
      </c>
      <c r="Q14" s="44">
        <f>(Altamira!$D$11)*100</f>
        <v>0.89999999999999991</v>
      </c>
      <c r="R14" s="44">
        <f>(BNS!$D$40)*100</f>
        <v>0.25</v>
      </c>
      <c r="S14"/>
      <c r="T14"/>
      <c r="U14"/>
      <c r="V14"/>
      <c r="W14"/>
      <c r="X14"/>
      <c r="Y14"/>
    </row>
    <row r="15" spans="1:28" x14ac:dyDescent="0.25">
      <c r="A15" s="42" t="s">
        <v>356</v>
      </c>
      <c r="B15" s="44">
        <f>INDEX(CIBC!$B$8:$E$12,MATCH(VALUE(LEFT(A15,FIND(" ",A15)-1)),CIBC!$E$8:$E$12,1),2)*100</f>
        <v>0.15</v>
      </c>
      <c r="C15" s="44">
        <f>(CIBC!$C$22)*100</f>
        <v>0.95</v>
      </c>
      <c r="D15" s="44">
        <f>INDEX(TD!$B$30:$E$35,MATCH(VALUE(LEFT(A15,FIND(" ",A15)-1)),TD!$E$30:$E$35,1),2)*100</f>
        <v>0.05</v>
      </c>
      <c r="E15" s="44">
        <f>(TD!$K$41)*100</f>
        <v>0.95</v>
      </c>
      <c r="F15" s="44" t="str">
        <f>INDEX(RBC!$A$134:$E$134,MATCH(VALUE(LEFT(A15,FIND(" ",A15)-1)),RBC!$E$134:$E$134,1),3)</f>
        <v>0.150</v>
      </c>
      <c r="G15" s="44" t="str">
        <f>INDEX(RBC!$A$133:$E$133,MATCH(VALUE(LEFT(A15,FIND(" ",A15)-1)),RBC!$E$133:$E$133,1),3)</f>
        <v>0.000</v>
      </c>
      <c r="H15" s="44">
        <f>(RBC!$D$2)</f>
        <v>0</v>
      </c>
      <c r="I15" s="44">
        <f>INDEX(BMO!$B$9:$E$10,MATCH(VALUE(LEFT(A15,FIND(" ",A15)-1)),BMO!$E$9:$E$10,1),2)*100</f>
        <v>0.05</v>
      </c>
      <c r="J15" s="59">
        <f>BNS!$D$44*100</f>
        <v>0.85000000000000009</v>
      </c>
      <c r="K15" s="44">
        <f>INDEX(BNS!$B$17:$G$22,MATCH(VALUE(LEFT(A15,FIND(" ",A15)-1)),BNS!$G$17:$G$22,1),2)*100</f>
        <v>0.1</v>
      </c>
      <c r="L15" s="76">
        <f t="shared" si="0"/>
        <v>0.45</v>
      </c>
      <c r="M15" s="44">
        <f>LEFT((ICICI!$B$6),5)*100</f>
        <v>0.6</v>
      </c>
      <c r="N15" s="79">
        <f>(Manulife!$C$13)*100</f>
        <v>0.5</v>
      </c>
      <c r="O15" s="79">
        <f>Manulife!$C$18*100</f>
        <v>0.95</v>
      </c>
      <c r="P15" s="44">
        <f>INDEX(HSBC!$B$10:$I$13,MATCH(VALUE(LEFT(A15,FIND(" ",A15)-1)),HSBC!$I$10:$I$13,1),2)*100</f>
        <v>0.2</v>
      </c>
      <c r="Q15" s="44">
        <f>(Altamira!$D$11)*100</f>
        <v>0.89999999999999991</v>
      </c>
      <c r="R15" s="44">
        <f>(BNS!$D$40)*100</f>
        <v>0.25</v>
      </c>
    </row>
    <row r="16" spans="1:28" x14ac:dyDescent="0.25">
      <c r="A16" s="42" t="s">
        <v>36</v>
      </c>
      <c r="B16" s="44">
        <f>INDEX(CIBC!$B$8:$E$12,MATCH(VALUE(LEFT(A16,FIND(" ",A16)-1)),CIBC!$E$8:$E$12,1),2)*100</f>
        <v>0.15</v>
      </c>
      <c r="C16" s="44">
        <f>(CIBC!$C$22)*100</f>
        <v>0.95</v>
      </c>
      <c r="D16" s="44">
        <f>INDEX(TD!$B$30:$E$35,MATCH(VALUE(LEFT(A16,FIND(" ",A16)-1)),TD!$E$30:$E$35,1),2)*100</f>
        <v>2.5000000000000001E-2</v>
      </c>
      <c r="E16" s="44">
        <f>(TD!$K$41)*100</f>
        <v>0.95</v>
      </c>
      <c r="F16" s="44" t="str">
        <f>INDEX(RBC!$A$134:$E$134,MATCH(VALUE(LEFT(A16,FIND(" ",A16)-1)),RBC!$E$134:$E$134,1),3)</f>
        <v>0.150</v>
      </c>
      <c r="G16" s="44" t="str">
        <f>INDEX(RBC!$A$133:$E$133,MATCH(VALUE(LEFT(A16,FIND(" ",A16)-1)),RBC!$E$133:$E$133,1),3)</f>
        <v>0.000</v>
      </c>
      <c r="H16" s="44">
        <f>(RBC!$D$2)</f>
        <v>0</v>
      </c>
      <c r="I16" s="44">
        <f>INDEX(BMO!$B$9:$E$10,MATCH(VALUE(LEFT(A16,FIND(" ",A16)-1)),BMO!$E$9:$E$10,1),2)*100</f>
        <v>0.05</v>
      </c>
      <c r="J16" s="59">
        <f>BNS!$D$44*100</f>
        <v>0.85000000000000009</v>
      </c>
      <c r="K16" s="44">
        <f>INDEX(BNS!$B$17:$G$22,MATCH(VALUE(LEFT(A16,FIND(" ",A16)-1)),BNS!$G$17:$G$22,1),2)*100</f>
        <v>0.05</v>
      </c>
      <c r="L16" s="76">
        <f t="shared" si="0"/>
        <v>0.45</v>
      </c>
      <c r="M16" s="44">
        <f>LEFT((ICICI!$B$6),5)*100</f>
        <v>0.6</v>
      </c>
      <c r="N16" s="79">
        <f>(Manulife!$C$13)*100</f>
        <v>0.5</v>
      </c>
      <c r="O16" s="79">
        <f>Manulife!$C$18*100</f>
        <v>0.95</v>
      </c>
      <c r="P16" s="44">
        <f>INDEX(HSBC!$B$10:$I$13,MATCH(VALUE(LEFT(A16,FIND(" ",A16)-1)),HSBC!$I$10:$I$13,1),2)*100</f>
        <v>0.1</v>
      </c>
      <c r="Q16" s="44">
        <f>(Altamira!$D$11)*100</f>
        <v>0.89999999999999991</v>
      </c>
      <c r="R16" s="44">
        <f>(BNS!$D$40)*100</f>
        <v>0.25</v>
      </c>
    </row>
    <row r="17" spans="1:18" x14ac:dyDescent="0.25">
      <c r="A17" s="42" t="s">
        <v>37</v>
      </c>
      <c r="B17" s="44">
        <f>INDEX(CIBC!$B$8:$E$12,MATCH(VALUE(LEFT(A17,FIND(" ",A17)-1)),CIBC!$E$8:$E$12,1),2)*100</f>
        <v>0.15</v>
      </c>
      <c r="C17" s="44">
        <f>(CIBC!$C$22)*100</f>
        <v>0.95</v>
      </c>
      <c r="D17" s="44">
        <f>INDEX(TD!$B$30:$E$35,MATCH(VALUE(LEFT(A17,FIND(" ",A17)-1)),TD!$E$30:$E$35,1),2)*100</f>
        <v>0.01</v>
      </c>
      <c r="E17" s="44">
        <f>(TD!$K$41)*100</f>
        <v>0.95</v>
      </c>
      <c r="F17" s="44" t="str">
        <f>INDEX(RBC!$A$134:$E$134,MATCH(VALUE(LEFT(A17,FIND(" ",A17)-1)),RBC!$E$134:$E$134,1),3)</f>
        <v>0.150</v>
      </c>
      <c r="G17" s="44" t="str">
        <f>INDEX(RBC!$A$133:$E$133,MATCH(VALUE(LEFT(A17,FIND(" ",A17)-1)),RBC!$E$133:$E$133,1),3)</f>
        <v>0.000</v>
      </c>
      <c r="H17" s="44">
        <f>(RBC!$D$2)</f>
        <v>0</v>
      </c>
      <c r="I17" s="44">
        <f>INDEX(BMO!$B$9:$E$10,MATCH(VALUE(LEFT(A17,FIND(" ",A17)-1)),BMO!$E$9:$E$10,1),2)*100</f>
        <v>0.05</v>
      </c>
      <c r="J17" s="59">
        <f>BNS!$D$44*100</f>
        <v>0.85000000000000009</v>
      </c>
      <c r="K17" s="44">
        <f>INDEX(BNS!$B$17:$G$22,MATCH(VALUE(LEFT(A17,FIND(" ",A17)-1)),BNS!$G$17:$G$22,1),2)*100</f>
        <v>2.5000000000000001E-2</v>
      </c>
      <c r="L17" s="76">
        <f t="shared" si="0"/>
        <v>0.45</v>
      </c>
      <c r="M17" s="44">
        <f>LEFT((ICICI!$B$6),5)*100</f>
        <v>0.6</v>
      </c>
      <c r="N17" s="79">
        <f>(Manulife!$C$13)*100</f>
        <v>0.5</v>
      </c>
      <c r="O17" s="79">
        <f>Manulife!$C$18*100</f>
        <v>0.95</v>
      </c>
      <c r="P17" s="44">
        <f>INDEX(HSBC!$B$10:$I$13,MATCH(VALUE(LEFT(A17,FIND(" ",A17)-1)),HSBC!$I$10:$I$13,1),2)*100</f>
        <v>0.1</v>
      </c>
      <c r="Q17" s="44">
        <f>(Altamira!$D$11)*100</f>
        <v>0.89999999999999991</v>
      </c>
      <c r="R17" s="44">
        <f>(BNS!$D$40)*100</f>
        <v>0.25</v>
      </c>
    </row>
    <row r="18" spans="1:18" x14ac:dyDescent="0.25">
      <c r="A18" s="42" t="s">
        <v>38</v>
      </c>
      <c r="B18" s="44">
        <f>INDEX(CIBC!$B$8:$E$12,MATCH(VALUE(LEFT(A18,FIND(" ",A18)-1)),CIBC!$E$8:$E$12,1),2)*100</f>
        <v>0.15</v>
      </c>
      <c r="C18" s="44">
        <f>(CIBC!$C$22)*100</f>
        <v>0.95</v>
      </c>
      <c r="D18" s="44">
        <f>INDEX(TD!$B$30:$E$35,MATCH(VALUE(LEFT(A18,FIND(" ",A18)-1)),TD!$E$30:$E$35,1),2)*100</f>
        <v>0.01</v>
      </c>
      <c r="E18" s="44">
        <f>(TD!$K$41)*100</f>
        <v>0.95</v>
      </c>
      <c r="F18" s="44" t="str">
        <f>INDEX(RBC!$A$134:$E$134,MATCH(VALUE(LEFT(A18,FIND(" ",A18)-1)),RBC!$E$134:$E$134,1),3)</f>
        <v>0.150</v>
      </c>
      <c r="G18" s="44" t="str">
        <f>INDEX(RBC!$A$133:$E$133,MATCH(VALUE(LEFT(A18,FIND(" ",A18)-1)),RBC!$E$133:$E$133,1),3)</f>
        <v>0.000</v>
      </c>
      <c r="H18" s="44">
        <f>(RBC!$D$2)</f>
        <v>0</v>
      </c>
      <c r="I18" s="44">
        <f>INDEX(BMO!$B$9:$E$10,MATCH(VALUE(LEFT(A18,FIND(" ",A18)-1)),BMO!$E$9:$E$10,1),2)*100</f>
        <v>0.05</v>
      </c>
      <c r="J18" s="59">
        <f>BNS!$D$44*100</f>
        <v>0.85000000000000009</v>
      </c>
      <c r="K18" s="44">
        <f>INDEX(BNS!$B$17:$G$22,MATCH(VALUE(LEFT(A18,FIND(" ",A18)-1)),BNS!$G$17:$G$22,1),2)*100</f>
        <v>0.01</v>
      </c>
      <c r="L18" s="76">
        <f t="shared" si="0"/>
        <v>0.45</v>
      </c>
      <c r="M18" s="44">
        <f>LEFT((ICICI!$B$6),5)*100</f>
        <v>0.6</v>
      </c>
      <c r="N18" s="79">
        <f>(Manulife!$C$13)*100</f>
        <v>0.5</v>
      </c>
      <c r="O18" s="79">
        <f>Manulife!$C$18*100</f>
        <v>0.95</v>
      </c>
      <c r="P18" s="44">
        <f>INDEX(HSBC!$B$10:$I$13,MATCH(VALUE(LEFT(A18,FIND(" ",A18)-1)),HSBC!$I$10:$I$13,1),2)*100</f>
        <v>0.1</v>
      </c>
      <c r="Q18" s="44">
        <f>(Altamira!$D$11)*100</f>
        <v>0.89999999999999991</v>
      </c>
      <c r="R18" s="44">
        <f>(BNS!$D$40)*100</f>
        <v>0.25</v>
      </c>
    </row>
    <row r="19" spans="1:18" x14ac:dyDescent="0.25">
      <c r="A19" s="42" t="s">
        <v>39</v>
      </c>
      <c r="B19" s="44">
        <f>INDEX(CIBC!$B$8:$E$12,MATCH(VALUE(LEFT(A19,FIND(" ",A19)-1)),CIBC!$E$8:$E$12,1),2)*100</f>
        <v>0.15</v>
      </c>
      <c r="C19" s="44">
        <f>(CIBC!$C$22)*100</f>
        <v>0.95</v>
      </c>
      <c r="D19" s="44">
        <f>INDEX(TD!$B$30:$E$35,MATCH(VALUE(LEFT(A19,FIND(" ",A19)-1)),TD!$E$30:$E$35,1),2)*100</f>
        <v>0.01</v>
      </c>
      <c r="E19" s="44">
        <f>(TD!$K$41)*100</f>
        <v>0.95</v>
      </c>
      <c r="F19" s="44" t="str">
        <f>INDEX(RBC!$A$134:$E$134,MATCH(VALUE(LEFT(A19,FIND(" ",A19)-1)),RBC!$E$134:$E$134,1),3)</f>
        <v>0.150</v>
      </c>
      <c r="G19" s="44" t="str">
        <f>INDEX(RBC!$A$133:$E$133,MATCH(VALUE(LEFT(A19,FIND(" ",A19)-1)),RBC!$E$133:$E$133,1),3)</f>
        <v>0.000</v>
      </c>
      <c r="H19" s="44">
        <f>(RBC!$D$2)</f>
        <v>0</v>
      </c>
      <c r="I19" s="44">
        <f>INDEX(BMO!$B$9:$E$10,MATCH(VALUE(LEFT(A19,FIND(" ",A19)-1)),BMO!$E$9:$E$10,1),2)*100</f>
        <v>0.05</v>
      </c>
      <c r="J19" s="59">
        <f>BNS!$D$44*100</f>
        <v>0.85000000000000009</v>
      </c>
      <c r="K19" s="44">
        <f>INDEX(BNS!$B$17:$G$22,MATCH(VALUE(LEFT(A19,FIND(" ",A19)-1)),BNS!$G$17:$G$22,1),2)*100</f>
        <v>0.01</v>
      </c>
      <c r="L19" s="76">
        <f t="shared" si="0"/>
        <v>0.45</v>
      </c>
      <c r="M19" s="44">
        <f>LEFT((ICICI!$B$6),5)*100</f>
        <v>0.6</v>
      </c>
      <c r="N19" s="79">
        <f>(Manulife!$C$13)*100</f>
        <v>0.5</v>
      </c>
      <c r="O19" s="79">
        <f>Manulife!$C$18*100</f>
        <v>0.95</v>
      </c>
      <c r="P19" s="44">
        <f>INDEX(HSBC!$B$10:$I$13,MATCH(VALUE(LEFT(A19,FIND(" ",A19)-1)),HSBC!$I$10:$I$13,1),2)*100</f>
        <v>0.1</v>
      </c>
      <c r="Q19" s="44">
        <f>(Altamira!$D$11)*100</f>
        <v>0.89999999999999991</v>
      </c>
      <c r="R19" s="44">
        <f>(BNS!$D$40)*100</f>
        <v>0.25</v>
      </c>
    </row>
    <row r="20" spans="1:18" s="41" customFormat="1" x14ac:dyDescent="0.25">
      <c r="A20" s="42" t="s">
        <v>407</v>
      </c>
      <c r="B20" s="44">
        <f>INDEX(CIBC!$B$8:$E$12,MATCH(VALUE(LEFT(A20,FIND(" ",A20)-1)),CIBC!$E$8:$E$12,1),2)*100</f>
        <v>0.15</v>
      </c>
      <c r="C20" s="44">
        <f>(CIBC!$C$22)*100</f>
        <v>0.95</v>
      </c>
      <c r="D20" s="44">
        <f>INDEX(TD!$B$30:$E$35,MATCH(VALUE(LEFT(A20,FIND(" ",A20)-1)),TD!$E$30:$E$35,1),2)*100</f>
        <v>0</v>
      </c>
      <c r="E20" s="44">
        <f>(TD!$K$41)*100</f>
        <v>0.95</v>
      </c>
      <c r="F20" s="44" t="str">
        <f>INDEX(RBC!$A$134:$E$134,MATCH(VALUE(LEFT(A20,FIND(" ",A20)-1)),RBC!$E$134:$E$134,1),3)</f>
        <v>0.150</v>
      </c>
      <c r="G20" s="44" t="str">
        <f>INDEX(RBC!$A$133:$E$133,MATCH(VALUE(LEFT(A20,FIND(" ",A20)-1)),RBC!$E$133:$E$133,1),3)</f>
        <v>0.000</v>
      </c>
      <c r="H20" s="44">
        <f>(RBC!$D$2)</f>
        <v>0</v>
      </c>
      <c r="I20" s="44">
        <f>INDEX(BMO!$B$9:$E$10,MATCH(VALUE(LEFT(A20,FIND(" ",A20)-1)),BMO!$E$9:$E$10,1),2)*100</f>
        <v>0.05</v>
      </c>
      <c r="J20" s="59">
        <f>BNS!$D$44*100</f>
        <v>0.85000000000000009</v>
      </c>
      <c r="K20" s="44">
        <f>INDEX(BNS!$B$17:$G$22,MATCH(VALUE(LEFT(A20,FIND(" ",A20)-1)),BNS!$G$17:$G$22,1),2)*100</f>
        <v>0</v>
      </c>
      <c r="L20" s="76">
        <f t="shared" si="0"/>
        <v>0.45</v>
      </c>
      <c r="M20" s="44">
        <f>LEFT((ICICI!$B$6),5)*100</f>
        <v>0.6</v>
      </c>
      <c r="N20" s="79">
        <f>(Manulife!$C$13)*100</f>
        <v>0.5</v>
      </c>
      <c r="O20" s="79">
        <f>Manulife!$C$18*100</f>
        <v>0.95</v>
      </c>
      <c r="P20" s="44">
        <f>INDEX(HSBC!$B$10:$I$13,MATCH(VALUE(LEFT(A20,FIND(" ",A20)-1)),HSBC!$I$10:$I$13,1),2)*100</f>
        <v>0.1</v>
      </c>
      <c r="Q20" s="44">
        <f>(Altamira!$D$11)*100</f>
        <v>0.89999999999999991</v>
      </c>
      <c r="R20" s="44">
        <f>(BNS!$D$40)*100</f>
        <v>0.25</v>
      </c>
    </row>
    <row r="21" spans="1:18" x14ac:dyDescent="0.25">
      <c r="A21" s="42" t="s">
        <v>408</v>
      </c>
      <c r="B21" s="44">
        <f>INDEX(CIBC!$B$8:$E$12,MATCH(VALUE(LEFT(A21,FIND(" ",A21)-1)),CIBC!$E$8:$E$12,1),2)*100</f>
        <v>0.15</v>
      </c>
      <c r="C21" s="44">
        <f>(CIBC!$C$22)*100</f>
        <v>0.95</v>
      </c>
      <c r="D21" s="44">
        <f>INDEX(TD!$B$30:$E$35,MATCH(VALUE(LEFT(A21,FIND(" ",A21)-1)),TD!$E$30:$E$35,1),2)*100</f>
        <v>0</v>
      </c>
      <c r="E21" s="44">
        <f>(TD!$K$41)*100</f>
        <v>0.95</v>
      </c>
      <c r="F21" s="44" t="str">
        <f>INDEX(RBC!$A$134:$E$134,MATCH(VALUE(LEFT(A21,FIND(" ",A21)-1)),RBC!$E$134:$E$134,1),3)</f>
        <v>0.150</v>
      </c>
      <c r="G21" s="44" t="str">
        <f>INDEX(RBC!$A$133:$E$133,MATCH(VALUE(LEFT(A21,FIND(" ",A21)-1)),RBC!$E$133:$E$133,1),3)</f>
        <v>0.000</v>
      </c>
      <c r="H21" s="44" t="s">
        <v>31</v>
      </c>
      <c r="I21" s="44">
        <f>INDEX(BMO!$B$9:$E$10,MATCH(VALUE(LEFT(A21,FIND(" ",A21)-1)),BMO!$E$9:$E$10,1),2)*100</f>
        <v>0.05</v>
      </c>
      <c r="J21" s="59">
        <f>BNS!$D$44*100</f>
        <v>0.85000000000000009</v>
      </c>
      <c r="K21" s="44">
        <f>INDEX(BNS!$B$17:$G$22,MATCH(VALUE(LEFT(A21,FIND(" ",A21)-1)),BNS!$G$17:$G$22,1),2)*100</f>
        <v>0</v>
      </c>
      <c r="L21" s="76">
        <f t="shared" si="0"/>
        <v>0.45</v>
      </c>
      <c r="M21" s="44">
        <f>LEFT((ICICI!$B$6),5)*100</f>
        <v>0.6</v>
      </c>
      <c r="N21" s="79">
        <f>(Manulife!$C$13)*100</f>
        <v>0.5</v>
      </c>
      <c r="O21" s="79">
        <f>Manulife!$C$18*100</f>
        <v>0.95</v>
      </c>
      <c r="P21" s="44">
        <f>INDEX(HSBC!$B$10:$I$13,MATCH(VALUE(LEFT(A21,FIND(" ",A21)-1)),HSBC!$I$10:$I$13,1),2)*100</f>
        <v>0.1</v>
      </c>
      <c r="Q21" s="44">
        <f>(Altamira!$D$11)*100</f>
        <v>0.89999999999999991</v>
      </c>
      <c r="R21" s="44">
        <f>(BNS!$D$40)*100</f>
        <v>0.25</v>
      </c>
    </row>
    <row r="22" spans="1:18" x14ac:dyDescent="0.25">
      <c r="A22" s="53"/>
      <c r="B22" s="54"/>
      <c r="C22" s="55"/>
      <c r="D22" s="56"/>
      <c r="E22" s="56"/>
      <c r="F22" s="56"/>
      <c r="G22" s="56"/>
      <c r="H22" s="55"/>
      <c r="I22" s="57"/>
      <c r="J22" s="63"/>
      <c r="K22" s="56"/>
      <c r="L22" s="55"/>
      <c r="M22" s="54"/>
      <c r="N22" s="55"/>
      <c r="O22" s="55"/>
      <c r="P22" s="55"/>
      <c r="Q22" s="55"/>
      <c r="R22" s="53"/>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2" t="s">
        <v>42</v>
      </c>
      <c r="C24" s="42" t="s">
        <v>43</v>
      </c>
      <c r="D24" s="42" t="s">
        <v>42</v>
      </c>
      <c r="E24" s="42" t="s">
        <v>43</v>
      </c>
      <c r="F24" s="42" t="s">
        <v>42</v>
      </c>
      <c r="G24" s="42" t="s">
        <v>42</v>
      </c>
      <c r="H24" s="42" t="s">
        <v>43</v>
      </c>
      <c r="I24" s="42" t="s">
        <v>42</v>
      </c>
      <c r="J24" s="42" t="s">
        <v>43</v>
      </c>
      <c r="K24" s="42" t="s">
        <v>42</v>
      </c>
      <c r="L24" s="42" t="s">
        <v>42</v>
      </c>
      <c r="M24" s="42" t="s">
        <v>42</v>
      </c>
      <c r="N24" s="42" t="s">
        <v>42</v>
      </c>
      <c r="O24" s="42" t="s">
        <v>43</v>
      </c>
      <c r="P24" s="42" t="s">
        <v>42</v>
      </c>
      <c r="Q24" s="42" t="s">
        <v>43</v>
      </c>
      <c r="R24" s="42"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16" sqref="J16"/>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1"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6"/>
      <c r="B1" s="46"/>
      <c r="C1" s="46"/>
      <c r="D1" s="46"/>
      <c r="E1" s="46"/>
      <c r="F1" s="46"/>
      <c r="G1" s="46"/>
      <c r="H1" s="46"/>
      <c r="I1" s="46"/>
      <c r="J1" s="46"/>
      <c r="K1" s="46"/>
      <c r="L1" s="3"/>
      <c r="M1" s="3"/>
      <c r="N1" s="3"/>
    </row>
    <row r="2" spans="1:14" ht="25.5" x14ac:dyDescent="0.35">
      <c r="A2" s="64"/>
      <c r="B2" s="74" t="s">
        <v>431</v>
      </c>
      <c r="C2" s="64"/>
      <c r="D2" s="64"/>
      <c r="E2" s="64"/>
      <c r="F2" s="64"/>
      <c r="G2" s="64"/>
      <c r="H2" s="64"/>
      <c r="I2" s="64"/>
      <c r="J2" s="64"/>
      <c r="K2" s="64"/>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5" t="s">
        <v>413</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8"/>
      <c r="B9" s="48" t="s">
        <v>0</v>
      </c>
      <c r="C9" s="48" t="s">
        <v>0</v>
      </c>
      <c r="D9" s="48" t="s">
        <v>1</v>
      </c>
      <c r="E9" s="48" t="s">
        <v>1</v>
      </c>
      <c r="F9" s="48" t="s">
        <v>1</v>
      </c>
      <c r="G9" s="48" t="s">
        <v>1</v>
      </c>
      <c r="H9" s="48" t="s">
        <v>4</v>
      </c>
      <c r="I9" s="48" t="s">
        <v>5</v>
      </c>
      <c r="J9" s="48" t="s">
        <v>44</v>
      </c>
      <c r="K9" s="48" t="s">
        <v>8</v>
      </c>
      <c r="L9" s="48" t="s">
        <v>11</v>
      </c>
      <c r="M9" s="48" t="s">
        <v>12</v>
      </c>
      <c r="N9" s="71" t="s">
        <v>45</v>
      </c>
    </row>
    <row r="10" spans="1:14" ht="64.5" x14ac:dyDescent="0.25">
      <c r="A10" s="51"/>
      <c r="B10" s="51" t="s">
        <v>381</v>
      </c>
      <c r="C10" s="51" t="s">
        <v>46</v>
      </c>
      <c r="D10" s="51" t="s">
        <v>47</v>
      </c>
      <c r="E10" s="51" t="s">
        <v>365</v>
      </c>
      <c r="F10" s="51" t="s">
        <v>366</v>
      </c>
      <c r="G10" s="51" t="s">
        <v>367</v>
      </c>
      <c r="H10" s="51" t="s">
        <v>371</v>
      </c>
      <c r="I10" s="51" t="s">
        <v>47</v>
      </c>
      <c r="J10" s="51" t="s">
        <v>419</v>
      </c>
      <c r="K10" s="51" t="s">
        <v>47</v>
      </c>
      <c r="L10" s="51" t="s">
        <v>48</v>
      </c>
      <c r="M10" s="51" t="s">
        <v>26</v>
      </c>
      <c r="N10" s="51" t="s">
        <v>49</v>
      </c>
    </row>
    <row r="11" spans="1:14" x14ac:dyDescent="0.25">
      <c r="A11" s="7" t="s">
        <v>409</v>
      </c>
      <c r="B11" s="44">
        <f>(CIBC!$B$25)*100</f>
        <v>1.6</v>
      </c>
      <c r="C11" s="44">
        <f>(CIBC!$C$21)*100</f>
        <v>1.6</v>
      </c>
      <c r="D11" s="44">
        <f>(TD!$K$40)*100</f>
        <v>1.6</v>
      </c>
      <c r="E11" s="44">
        <f>(TD!$K$42)*100</f>
        <v>1.6</v>
      </c>
      <c r="F11" s="44">
        <f>(TD!$K$43)*100</f>
        <v>1.6</v>
      </c>
      <c r="G11" s="44">
        <f>(TD!$K$44)*100</f>
        <v>1.6</v>
      </c>
      <c r="H11" s="59">
        <f>BNS!$C$45*100</f>
        <v>1.7500000000000002</v>
      </c>
      <c r="I11" s="44" t="s">
        <v>31</v>
      </c>
      <c r="J11" s="44">
        <f>(Altamira!$D$4)*100</f>
        <v>1.6</v>
      </c>
      <c r="K11" s="79">
        <f>Manulife!$B$18*100</f>
        <v>1.4000000000000001</v>
      </c>
      <c r="L11" s="77">
        <f>(B2B!$D$2)*100</f>
        <v>1.4000000000000001</v>
      </c>
      <c r="M11" s="44">
        <f>(BNS!$C$40)*100</f>
        <v>0.25</v>
      </c>
      <c r="N11" s="44">
        <f>(HomeTrust!$B$13)*100</f>
        <v>1.6</v>
      </c>
    </row>
    <row r="12" spans="1:14" s="41" customFormat="1" x14ac:dyDescent="0.25">
      <c r="A12" s="42" t="s">
        <v>353</v>
      </c>
      <c r="B12" s="44">
        <f>(CIBC!$B$25)*100</f>
        <v>1.6</v>
      </c>
      <c r="C12" s="44">
        <f>(CIBC!$C$21)*100</f>
        <v>1.6</v>
      </c>
      <c r="D12" s="44">
        <f>(TD!$K$40)*100</f>
        <v>1.6</v>
      </c>
      <c r="E12" s="44">
        <f>(TD!$K$42)*100</f>
        <v>1.6</v>
      </c>
      <c r="F12" s="44">
        <f>(TD!$K$43)*100</f>
        <v>1.6</v>
      </c>
      <c r="G12" s="44">
        <f>(TD!$K$44)*100</f>
        <v>1.6</v>
      </c>
      <c r="H12" s="59">
        <f>BNS!$C$45*100</f>
        <v>1.7500000000000002</v>
      </c>
      <c r="I12" s="44">
        <f>(RBC!$C$2)*100</f>
        <v>0</v>
      </c>
      <c r="J12" s="44">
        <f>(Altamira!$D$4)*100</f>
        <v>1.6</v>
      </c>
      <c r="K12" s="79">
        <f>Manulife!$B$18*100</f>
        <v>1.4000000000000001</v>
      </c>
      <c r="L12" s="77">
        <f>(B2B!$D$2)*100</f>
        <v>1.4000000000000001</v>
      </c>
      <c r="M12" s="44">
        <f>(BNS!$C$40)*100</f>
        <v>0.25</v>
      </c>
      <c r="N12" s="44">
        <f>(HomeTrust!$B$13)*100</f>
        <v>1.6</v>
      </c>
    </row>
    <row r="13" spans="1:14" x14ac:dyDescent="0.25">
      <c r="A13" s="42" t="s">
        <v>354</v>
      </c>
      <c r="B13" s="44">
        <f>(CIBC!$B$25)*100</f>
        <v>1.6</v>
      </c>
      <c r="C13" s="44">
        <f>(CIBC!$C$21)*100</f>
        <v>1.6</v>
      </c>
      <c r="D13" s="44">
        <f>(TD!$K$40)*100</f>
        <v>1.6</v>
      </c>
      <c r="E13" s="44">
        <f>(TD!$K$42)*100</f>
        <v>1.6</v>
      </c>
      <c r="F13" s="44">
        <f>(TD!$K$43)*100</f>
        <v>1.6</v>
      </c>
      <c r="G13" s="44">
        <f>(TD!$K$44)*100</f>
        <v>1.6</v>
      </c>
      <c r="H13" s="59">
        <f>BNS!$C$44*100</f>
        <v>1.6</v>
      </c>
      <c r="I13" s="44">
        <f>(RBC!$C$2)*100</f>
        <v>0</v>
      </c>
      <c r="J13" s="44">
        <f>(Altamira!$D$4)*100</f>
        <v>1.6</v>
      </c>
      <c r="K13" s="79">
        <f>Manulife!$B$18*100</f>
        <v>1.4000000000000001</v>
      </c>
      <c r="L13" s="77">
        <f>(B2B!$D$2)*100</f>
        <v>1.4000000000000001</v>
      </c>
      <c r="M13" s="44">
        <f>(BNS!$C$40)*100</f>
        <v>0.25</v>
      </c>
      <c r="N13" s="44">
        <f>(HomeTrust!$B$13)*100</f>
        <v>1.6</v>
      </c>
    </row>
    <row r="14" spans="1:14" x14ac:dyDescent="0.25">
      <c r="A14" s="42" t="s">
        <v>355</v>
      </c>
      <c r="B14" s="44">
        <f>(CIBC!$B$25)*100</f>
        <v>1.6</v>
      </c>
      <c r="C14" s="44">
        <f>(CIBC!$C$21)*100</f>
        <v>1.6</v>
      </c>
      <c r="D14" s="44">
        <f>(TD!$K$40)*100</f>
        <v>1.6</v>
      </c>
      <c r="E14" s="44">
        <f>(TD!$K$42)*100</f>
        <v>1.6</v>
      </c>
      <c r="F14" s="44">
        <f>(TD!$K$43)*100</f>
        <v>1.6</v>
      </c>
      <c r="G14" s="44">
        <f>(TD!$K$44)*100</f>
        <v>1.6</v>
      </c>
      <c r="H14" s="59">
        <f>BNS!$C$44*100</f>
        <v>1.6</v>
      </c>
      <c r="I14" s="44">
        <f>(RBC!$C$2)*100</f>
        <v>0</v>
      </c>
      <c r="J14" s="44">
        <f>(Altamira!$D$4)*100</f>
        <v>1.6</v>
      </c>
      <c r="K14" s="79">
        <f>Manulife!$B$18*100</f>
        <v>1.4000000000000001</v>
      </c>
      <c r="L14" s="77">
        <f>(B2B!$D$2)*100</f>
        <v>1.4000000000000001</v>
      </c>
      <c r="M14" s="44">
        <f>(BNS!$C$40)*100</f>
        <v>0.25</v>
      </c>
      <c r="N14" s="44">
        <f>(HomeTrust!$B$13)*100</f>
        <v>1.6</v>
      </c>
    </row>
    <row r="15" spans="1:14" x14ac:dyDescent="0.25">
      <c r="A15" s="42" t="s">
        <v>356</v>
      </c>
      <c r="B15" s="44">
        <f>(CIBC!$B$25)*100</f>
        <v>1.6</v>
      </c>
      <c r="C15" s="44">
        <f>(CIBC!$C$21)*100</f>
        <v>1.6</v>
      </c>
      <c r="D15" s="44">
        <f>(TD!$K$40)*100</f>
        <v>1.6</v>
      </c>
      <c r="E15" s="44">
        <f>(TD!$K$42)*100</f>
        <v>1.6</v>
      </c>
      <c r="F15" s="44">
        <f>(TD!$K$43)*100</f>
        <v>1.6</v>
      </c>
      <c r="G15" s="44">
        <f>(TD!$K$44)*100</f>
        <v>1.6</v>
      </c>
      <c r="H15" s="59">
        <f>BNS!$C$44*100</f>
        <v>1.6</v>
      </c>
      <c r="I15" s="44">
        <f>(RBC!$C$2)*100</f>
        <v>0</v>
      </c>
      <c r="J15" s="44">
        <f>(Altamira!$D$4)*100</f>
        <v>1.6</v>
      </c>
      <c r="K15" s="79">
        <f>Manulife!$B$18*100</f>
        <v>1.4000000000000001</v>
      </c>
      <c r="L15" s="77">
        <f>(B2B!$D$2)*100</f>
        <v>1.4000000000000001</v>
      </c>
      <c r="M15" s="44">
        <f>(BNS!$C$40)*100</f>
        <v>0.25</v>
      </c>
      <c r="N15" s="44">
        <f>(HomeTrust!$B$13)*100</f>
        <v>1.6</v>
      </c>
    </row>
    <row r="16" spans="1:14" x14ac:dyDescent="0.25">
      <c r="A16" s="42" t="s">
        <v>36</v>
      </c>
      <c r="B16" s="44">
        <f>(CIBC!$B$25)*100</f>
        <v>1.6</v>
      </c>
      <c r="C16" s="44">
        <f>(CIBC!$C$21)*100</f>
        <v>1.6</v>
      </c>
      <c r="D16" s="44">
        <f>(TD!$K$40)*100</f>
        <v>1.6</v>
      </c>
      <c r="E16" s="44">
        <f>(TD!$K$42)*100</f>
        <v>1.6</v>
      </c>
      <c r="F16" s="44">
        <f>(TD!$K$43)*100</f>
        <v>1.6</v>
      </c>
      <c r="G16" s="44">
        <f>(TD!$K$44)*100</f>
        <v>1.6</v>
      </c>
      <c r="H16" s="59">
        <f>BNS!$C$44*100</f>
        <v>1.6</v>
      </c>
      <c r="I16" s="44">
        <f>(RBC!$C$2)*100</f>
        <v>0</v>
      </c>
      <c r="J16" s="44">
        <f>(Altamira!$D$4)*100</f>
        <v>1.6</v>
      </c>
      <c r="K16" s="79">
        <f>Manulife!$B$18*100</f>
        <v>1.4000000000000001</v>
      </c>
      <c r="L16" s="77">
        <f>(B2B!$D$2)*100</f>
        <v>1.4000000000000001</v>
      </c>
      <c r="M16" s="44">
        <f>(BNS!$C$40)*100</f>
        <v>0.25</v>
      </c>
      <c r="N16" s="44">
        <f>(HomeTrust!$B$13)*100</f>
        <v>1.6</v>
      </c>
    </row>
    <row r="17" spans="1:14" x14ac:dyDescent="0.25">
      <c r="A17" s="42" t="s">
        <v>37</v>
      </c>
      <c r="B17" s="44">
        <f>(CIBC!$B$25)*100</f>
        <v>1.6</v>
      </c>
      <c r="C17" s="44">
        <f>(CIBC!$C$21)*100</f>
        <v>1.6</v>
      </c>
      <c r="D17" s="44">
        <f>(TD!$K$40)*100</f>
        <v>1.6</v>
      </c>
      <c r="E17" s="44">
        <f>(TD!$K$42)*100</f>
        <v>1.6</v>
      </c>
      <c r="F17" s="44">
        <f>(TD!$K$43)*100</f>
        <v>1.6</v>
      </c>
      <c r="G17" s="44">
        <f>(TD!$K$44)*100</f>
        <v>1.6</v>
      </c>
      <c r="H17" s="59">
        <f>BNS!$C$44*100</f>
        <v>1.6</v>
      </c>
      <c r="I17" s="44">
        <f>(RBC!$C$2)*100</f>
        <v>0</v>
      </c>
      <c r="J17" s="44">
        <f>(Altamira!$D$4)*100</f>
        <v>1.6</v>
      </c>
      <c r="K17" s="79">
        <f>Manulife!$B$18*100</f>
        <v>1.4000000000000001</v>
      </c>
      <c r="L17" s="77">
        <f>(B2B!$D$2)*100</f>
        <v>1.4000000000000001</v>
      </c>
      <c r="M17" s="44">
        <f>(BNS!$C$40)*100</f>
        <v>0.25</v>
      </c>
      <c r="N17" s="44">
        <f>(HomeTrust!$B$13)*100</f>
        <v>1.6</v>
      </c>
    </row>
    <row r="18" spans="1:14" x14ac:dyDescent="0.25">
      <c r="A18" s="42" t="s">
        <v>38</v>
      </c>
      <c r="B18" s="44">
        <f>(CIBC!$B$25)*100</f>
        <v>1.6</v>
      </c>
      <c r="C18" s="44">
        <f>(CIBC!$C$21)*100</f>
        <v>1.6</v>
      </c>
      <c r="D18" s="44">
        <f>(TD!$K$40)*100</f>
        <v>1.6</v>
      </c>
      <c r="E18" s="44">
        <f>(TD!$K$42)*100</f>
        <v>1.6</v>
      </c>
      <c r="F18" s="44">
        <f>(TD!$K$43)*100</f>
        <v>1.6</v>
      </c>
      <c r="G18" s="44">
        <f>(TD!$K$44)*100</f>
        <v>1.6</v>
      </c>
      <c r="H18" s="59">
        <f>BNS!$C$44*100</f>
        <v>1.6</v>
      </c>
      <c r="I18" s="44">
        <f>(RBC!$C$2)*100</f>
        <v>0</v>
      </c>
      <c r="J18" s="44">
        <f>(Altamira!$D$4)*100</f>
        <v>1.6</v>
      </c>
      <c r="K18" s="79">
        <f>Manulife!$B$18*100</f>
        <v>1.4000000000000001</v>
      </c>
      <c r="L18" s="77">
        <f>(B2B!$D$2)*100</f>
        <v>1.4000000000000001</v>
      </c>
      <c r="M18" s="44">
        <f>(BNS!$C$40)*100</f>
        <v>0.25</v>
      </c>
      <c r="N18" s="44">
        <f>(HomeTrust!$B$13)*100</f>
        <v>1.6</v>
      </c>
    </row>
    <row r="19" spans="1:14" x14ac:dyDescent="0.25">
      <c r="A19" s="42" t="s">
        <v>39</v>
      </c>
      <c r="B19" s="44">
        <f>(CIBC!$B$25)*100</f>
        <v>1.6</v>
      </c>
      <c r="C19" s="44">
        <f>(CIBC!$C$21)*100</f>
        <v>1.6</v>
      </c>
      <c r="D19" s="44">
        <f>(TD!$K$40)*100</f>
        <v>1.6</v>
      </c>
      <c r="E19" s="44">
        <f>(TD!$K$42)*100</f>
        <v>1.6</v>
      </c>
      <c r="F19" s="44">
        <f>(TD!$K$43)*100</f>
        <v>1.6</v>
      </c>
      <c r="G19" s="44">
        <f>(TD!$K$44)*100</f>
        <v>1.6</v>
      </c>
      <c r="H19" s="59">
        <f>BNS!$C$44*100</f>
        <v>1.6</v>
      </c>
      <c r="I19" s="44">
        <f>(RBC!$C$2)*100</f>
        <v>0</v>
      </c>
      <c r="J19" s="44">
        <f>(Altamira!$D$4)*100</f>
        <v>1.6</v>
      </c>
      <c r="K19" s="79">
        <f>Manulife!$B$18*100</f>
        <v>1.4000000000000001</v>
      </c>
      <c r="L19" s="77">
        <f>(B2B!$D$2)*100</f>
        <v>1.4000000000000001</v>
      </c>
      <c r="M19" s="44">
        <f>(BNS!$C$40)*100</f>
        <v>0.25</v>
      </c>
      <c r="N19" s="44">
        <f>(HomeTrust!$B$13)*100</f>
        <v>1.6</v>
      </c>
    </row>
    <row r="20" spans="1:14" s="41" customFormat="1" x14ac:dyDescent="0.25">
      <c r="A20" s="42" t="s">
        <v>407</v>
      </c>
      <c r="B20" s="44">
        <f>(CIBC!$B$25)*100</f>
        <v>1.6</v>
      </c>
      <c r="C20" s="44">
        <f>(CIBC!$C$21)*100</f>
        <v>1.6</v>
      </c>
      <c r="D20" s="44">
        <f>(TD!$K$40)*100</f>
        <v>1.6</v>
      </c>
      <c r="E20" s="44">
        <f>(TD!$K$42)*100</f>
        <v>1.6</v>
      </c>
      <c r="F20" s="44">
        <f>(TD!$K$43)*100</f>
        <v>1.6</v>
      </c>
      <c r="G20" s="44">
        <f>(TD!$K$44)*100</f>
        <v>1.6</v>
      </c>
      <c r="H20" s="59">
        <f>BNS!$C$44*100</f>
        <v>1.6</v>
      </c>
      <c r="I20" s="44">
        <f>(RBC!$C$2)*100</f>
        <v>0</v>
      </c>
      <c r="J20" s="44">
        <f>(Altamira!$D$4)*100</f>
        <v>1.6</v>
      </c>
      <c r="K20" s="79">
        <f>Manulife!$B$18*100</f>
        <v>1.4000000000000001</v>
      </c>
      <c r="L20" s="77">
        <f>(B2B!$D$2)*100</f>
        <v>1.4000000000000001</v>
      </c>
      <c r="M20" s="44">
        <f>(BNS!$C$40)*100</f>
        <v>0.25</v>
      </c>
      <c r="N20" s="44">
        <f>(HomeTrust!$B$13)*100</f>
        <v>1.6</v>
      </c>
    </row>
    <row r="21" spans="1:14" x14ac:dyDescent="0.25">
      <c r="A21" s="42" t="s">
        <v>408</v>
      </c>
      <c r="B21" s="44">
        <f>(CIBC!$B$25)*100</f>
        <v>1.6</v>
      </c>
      <c r="C21" s="44">
        <f>(CIBC!$C$21)*100</f>
        <v>1.6</v>
      </c>
      <c r="D21" s="44">
        <f>(TD!$K$40)*100</f>
        <v>1.6</v>
      </c>
      <c r="E21" s="44">
        <f>(TD!$K$42)*100</f>
        <v>1.6</v>
      </c>
      <c r="F21" s="44">
        <f>(TD!$K$43)*100</f>
        <v>1.6</v>
      </c>
      <c r="G21" s="44">
        <f>(TD!$K$44)*100</f>
        <v>1.6</v>
      </c>
      <c r="H21" s="59">
        <f>BNS!$C$44*100</f>
        <v>1.6</v>
      </c>
      <c r="I21" s="44" t="s">
        <v>31</v>
      </c>
      <c r="J21" s="44" t="s">
        <v>31</v>
      </c>
      <c r="K21" s="79">
        <f>Manulife!$B$18*100</f>
        <v>1.4000000000000001</v>
      </c>
      <c r="L21" s="77">
        <f>(B2B!$D$2)*100</f>
        <v>1.4000000000000001</v>
      </c>
      <c r="M21" s="44">
        <f>(BNS!$C$40)*100</f>
        <v>0.25</v>
      </c>
      <c r="N21" s="44"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0">
        <v>43458</v>
      </c>
      <c r="F23" s="40">
        <v>43458</v>
      </c>
      <c r="G23" s="40">
        <v>43458</v>
      </c>
      <c r="H23" s="40">
        <v>43123</v>
      </c>
      <c r="I23" s="40">
        <v>43293</v>
      </c>
      <c r="J23" s="40">
        <v>43294</v>
      </c>
      <c r="K23" s="40">
        <v>43300</v>
      </c>
      <c r="L23" s="40">
        <v>43130</v>
      </c>
      <c r="M23" s="40">
        <v>43410</v>
      </c>
    </row>
    <row r="24" spans="1:14" hidden="1" x14ac:dyDescent="0.25">
      <c r="A24" s="14" t="s">
        <v>30</v>
      </c>
      <c r="B24" s="11">
        <v>41911</v>
      </c>
      <c r="C24" s="15">
        <v>39944</v>
      </c>
      <c r="D24" s="12">
        <v>40849</v>
      </c>
      <c r="E24" s="40"/>
      <c r="F24" s="40"/>
      <c r="G24" s="40"/>
      <c r="H24" s="40">
        <v>38961</v>
      </c>
      <c r="I24" s="40"/>
      <c r="J24" s="75"/>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sqref="A1:D1"/>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241</v>
      </c>
      <c r="B1" s="83"/>
      <c r="C1" s="83"/>
      <c r="D1" s="83"/>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362</v>
      </c>
      <c r="C6" s="28" t="s">
        <v>363</v>
      </c>
      <c r="D6" s="28" t="s">
        <v>364</v>
      </c>
    </row>
    <row r="7" spans="1:4" ht="45" x14ac:dyDescent="0.25">
      <c r="A7" s="26">
        <v>43656</v>
      </c>
      <c r="B7" s="27" t="s">
        <v>418</v>
      </c>
      <c r="C7" s="28" t="s">
        <v>363</v>
      </c>
      <c r="D7" s="28" t="s">
        <v>364</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E13" sqref="E13"/>
    </sheetView>
  </sheetViews>
  <sheetFormatPr defaultRowHeight="15" x14ac:dyDescent="0.25"/>
  <cols>
    <col min="1" max="1" width="41" bestFit="1" customWidth="1"/>
    <col min="2" max="2" width="28.85546875" style="41" bestFit="1" customWidth="1"/>
    <col min="3" max="3" width="12.7109375" style="41" bestFit="1" customWidth="1"/>
    <col min="4" max="4" width="18.28515625" bestFit="1" customWidth="1"/>
    <col min="5" max="5" width="12.5703125" bestFit="1" customWidth="1"/>
    <col min="7" max="7" width="12.5703125" bestFit="1" customWidth="1"/>
  </cols>
  <sheetData>
    <row r="1" spans="1:5" x14ac:dyDescent="0.25">
      <c r="B1" t="s">
        <v>150</v>
      </c>
      <c r="C1" t="s">
        <v>151</v>
      </c>
      <c r="E1" s="38" t="s">
        <v>266</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to"),0,VALUE(TRIM(MID(CIBC!$B3,10,FIND(" ",CIBC!$B3,10)-10))))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to"),0,VALUE(TRIM(MID(CIBC!$B4,10,FIND(" ",CIBC!$B4,10)-10))))</f>
        <v>0</v>
      </c>
    </row>
    <row r="5" spans="1:5" x14ac:dyDescent="0.25">
      <c r="B5" s="18" t="s">
        <v>255</v>
      </c>
      <c r="C5" s="18">
        <v>1E-3</v>
      </c>
      <c r="E5">
        <f>IF(OR(CIBC_Savings_Accounts[[#This Row],[Data.Daily Closing Balance]]="All Balances",MID(CIBC_Savings_Accounts[[#This Row],[Data.Daily Closing Balance]],9,5)="up to"),0,VALUE(TRIM(MID(CIBC!$B5,10,FIND(" ",CIBC!$B5,10)-10))))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to"),0,VALUE(TRIM(MID(CIBC!$B6,10,FIND(" ",CIBC!$B6,10)-10))))</f>
        <v>0</v>
      </c>
    </row>
    <row r="7" spans="1:5" x14ac:dyDescent="0.25">
      <c r="A7" t="s">
        <v>155</v>
      </c>
      <c r="B7" s="18" t="s">
        <v>129</v>
      </c>
      <c r="C7" s="18">
        <v>1.5E-3</v>
      </c>
      <c r="E7">
        <f>IF(OR(CIBC_Savings_Accounts[[#This Row],[Data.Daily Closing Balance]]="All Balances",MID(CIBC_Savings_Accounts[[#This Row],[Data.Daily Closing Balance]],9,5)="up to"),0,VALUE(TRIM(MID(CIBC!$B7,10,FIND(" ",CIBC!$B7,10)-10))))</f>
        <v>0</v>
      </c>
    </row>
    <row r="8" spans="1:5" x14ac:dyDescent="0.25">
      <c r="A8" t="s">
        <v>33</v>
      </c>
      <c r="B8" s="18" t="s">
        <v>257</v>
      </c>
      <c r="C8" s="18">
        <v>1.5E-3</v>
      </c>
      <c r="E8">
        <f>IF(OR(CIBC_Savings_Accounts[[#This Row],[Data.Daily Closing Balance]]="All Balances",MID(CIBC_Savings_Accounts[[#This Row],[Data.Daily Closing Balance]],9,5)="up to"),0,VALUE(TRIM(MID(CIBC!$B8,10,FIND(" ",CIBC!$B8,10)-10))))</f>
        <v>0</v>
      </c>
    </row>
    <row r="9" spans="1:5" x14ac:dyDescent="0.25">
      <c r="B9" s="18" t="s">
        <v>258</v>
      </c>
      <c r="C9" s="18">
        <v>1.5E-3</v>
      </c>
      <c r="E9">
        <f>IF(OR(CIBC_Savings_Accounts[[#This Row],[Data.Daily Closing Balance]]="All Balances",MID(CIBC_Savings_Accounts[[#This Row],[Data.Daily Closing Balance]],9,5)="up to"),0,VALUE(TRIM(MID(CIBC!$B9,10,FIND(" ",CIBC!$B9,10)-10))))</f>
        <v>3000</v>
      </c>
    </row>
    <row r="10" spans="1:5" x14ac:dyDescent="0.25">
      <c r="B10" s="18" t="s">
        <v>259</v>
      </c>
      <c r="C10" s="18">
        <v>1.5E-3</v>
      </c>
      <c r="E10">
        <f>IF(OR(CIBC_Savings_Accounts[[#This Row],[Data.Daily Closing Balance]]="All Balances",MID(CIBC_Savings_Accounts[[#This Row],[Data.Daily Closing Balance]],9,5)="up to"),0,VALUE(TRIM(MID(CIBC!$B10,10,FIND(" ",CIBC!$B10,10)-10))))</f>
        <v>10000</v>
      </c>
    </row>
    <row r="11" spans="1:5" x14ac:dyDescent="0.25">
      <c r="B11" s="18" t="s">
        <v>260</v>
      </c>
      <c r="C11" s="18">
        <v>1.5E-3</v>
      </c>
      <c r="E11">
        <f>IF(OR(CIBC_Savings_Accounts[[#This Row],[Data.Daily Closing Balance]]="All Balances",MID(CIBC_Savings_Accounts[[#This Row],[Data.Daily Closing Balance]],9,5)="up to"),0,VALUE(TRIM(MID(CIBC!$B11,10,FIND(" ",CIBC!$B11,10)-10))))</f>
        <v>25000</v>
      </c>
    </row>
    <row r="12" spans="1:5" x14ac:dyDescent="0.25">
      <c r="B12" s="18" t="s">
        <v>256</v>
      </c>
      <c r="C12" s="18">
        <v>1.5E-3</v>
      </c>
      <c r="E12">
        <f>IF(OR(CIBC_Savings_Accounts[[#This Row],[Data.Daily Closing Balance]]="All Balances",MID(CIBC_Savings_Accounts[[#This Row],[Data.Daily Closing Balance]],9,5)="up to"),0,VALUE(TRIM(MID(CIBC!$B12,10,FIND(" ",CIBC!$B12,10)-10))))</f>
        <v>60000</v>
      </c>
    </row>
    <row r="13" spans="1:5" x14ac:dyDescent="0.25">
      <c r="B13" s="18"/>
      <c r="C13" s="18"/>
    </row>
    <row r="20" spans="1:5" x14ac:dyDescent="0.25">
      <c r="A20" s="41" t="s">
        <v>357</v>
      </c>
      <c r="B20" t="s">
        <v>372</v>
      </c>
      <c r="C20" t="s">
        <v>373</v>
      </c>
    </row>
    <row r="21" spans="1:5" x14ac:dyDescent="0.25">
      <c r="B21" s="18" t="s">
        <v>480</v>
      </c>
      <c r="C21" s="41">
        <v>1.6E-2</v>
      </c>
      <c r="E21">
        <v>0</v>
      </c>
    </row>
    <row r="22" spans="1:5" x14ac:dyDescent="0.25">
      <c r="B22" s="18" t="s">
        <v>481</v>
      </c>
      <c r="C22" s="41">
        <v>9.4999999999999998E-3</v>
      </c>
      <c r="E22">
        <v>0</v>
      </c>
    </row>
    <row r="24" spans="1:5" x14ac:dyDescent="0.25">
      <c r="A24" t="s">
        <v>381</v>
      </c>
      <c r="B24" t="s">
        <v>370</v>
      </c>
      <c r="C24"/>
    </row>
    <row r="25" spans="1:5" x14ac:dyDescent="0.25">
      <c r="B25" s="41">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8" t="s">
        <v>266</v>
      </c>
    </row>
    <row r="2" spans="1:5" x14ac:dyDescent="0.25">
      <c r="A2" t="s">
        <v>275</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39" t="s">
        <v>272</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39" t="s">
        <v>273</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39" t="s">
        <v>276</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39" t="s">
        <v>274</v>
      </c>
      <c r="B11" s="18" t="s">
        <v>268</v>
      </c>
      <c r="C11">
        <v>1E-4</v>
      </c>
      <c r="E11">
        <f>IF(OR(BMO_Savings_Accounts[[#This Row],[Balance]]="All Balances",MID(BMO_Savings_Accounts[[#This Row],[Balance]],1,5)="up to"),0,VALUE(TRIM(MID(BMO_Savings_Accounts[[#This Row],[Balance]],2,FIND(" ",BMO_Savings_Accounts[[#This Row],[Balance]],2)-2))))</f>
        <v>0</v>
      </c>
    </row>
    <row r="12" spans="1:5" x14ac:dyDescent="0.25">
      <c r="B12" s="18" t="s">
        <v>269</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270</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271</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topLeftCell="A16" workbookViewId="0">
      <selection activeCell="D46" sqref="D46"/>
    </sheetView>
  </sheetViews>
  <sheetFormatPr defaultRowHeight="15" x14ac:dyDescent="0.25"/>
  <cols>
    <col min="1" max="1" width="62.42578125" bestFit="1" customWidth="1"/>
    <col min="2" max="2" width="33.4257812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156</v>
      </c>
      <c r="C1" t="s">
        <v>313</v>
      </c>
      <c r="D1" t="s">
        <v>314</v>
      </c>
      <c r="E1" t="s">
        <v>312</v>
      </c>
      <c r="G1" s="38" t="s">
        <v>266</v>
      </c>
    </row>
    <row r="2" spans="1:7" x14ac:dyDescent="0.25">
      <c r="A2" t="s">
        <v>399</v>
      </c>
      <c r="B2" s="18" t="s">
        <v>138</v>
      </c>
      <c r="C2" s="41">
        <v>2.0000000000000001E-4</v>
      </c>
      <c r="D2" s="41"/>
      <c r="E2" s="41"/>
      <c r="G2">
        <f>IF(MID(BNS_Savings_Accounts[[#This Row],[Account Balance]],1,5)="Under",0,VALUE(TRIM(MID(BNS_Savings_Accounts[[#This Row],[Account Balance]],2,FIND(" ",BNS_Savings_Accounts[[#This Row],[Account Balance]],2)-2))))</f>
        <v>0</v>
      </c>
    </row>
    <row r="3" spans="1:7" x14ac:dyDescent="0.25">
      <c r="B3" s="18" t="s">
        <v>134</v>
      </c>
      <c r="C3" s="41">
        <v>2.0000000000000001E-4</v>
      </c>
      <c r="D3" s="41"/>
      <c r="E3" s="41"/>
      <c r="G3" s="41">
        <f>IF(MID(BNS_Savings_Accounts[[#This Row],[Account Balance]],1,5)="Under",0,VALUE(TRIM(MID(BNS_Savings_Accounts[[#This Row],[Account Balance]],2,FIND(" ",BNS_Savings_Accounts[[#This Row],[Account Balance]],2)-2))))</f>
        <v>5000</v>
      </c>
    </row>
    <row r="4" spans="1:7" x14ac:dyDescent="0.25">
      <c r="A4" t="s">
        <v>398</v>
      </c>
      <c r="B4" s="18" t="s">
        <v>138</v>
      </c>
      <c r="C4" s="41">
        <v>2.0000000000000001E-4</v>
      </c>
      <c r="D4" s="41"/>
      <c r="E4" s="41"/>
      <c r="G4" s="41">
        <f>IF(MID(BNS_Savings_Accounts[[#This Row],[Account Balance]],1,5)="Under",0,VALUE(TRIM(MID(BNS_Savings_Accounts[[#This Row],[Account Balance]],2,FIND(" ",BNS_Savings_Accounts[[#This Row],[Account Balance]],2)-2))))</f>
        <v>0</v>
      </c>
    </row>
    <row r="5" spans="1:7" x14ac:dyDescent="0.25">
      <c r="B5" s="18" t="s">
        <v>134</v>
      </c>
      <c r="C5" s="41">
        <v>2.0000000000000001E-4</v>
      </c>
      <c r="D5" s="41"/>
      <c r="E5" s="41"/>
      <c r="G5" s="41">
        <f>IF(MID(BNS_Savings_Accounts[[#This Row],[Account Balance]],1,5)="Under",0,VALUE(TRIM(MID(BNS_Savings_Accounts[[#This Row],[Account Balance]],2,FIND(" ",BNS_Savings_Accounts[[#This Row],[Account Balance]],2)-2))))</f>
        <v>5000</v>
      </c>
    </row>
    <row r="6" spans="1:7" x14ac:dyDescent="0.25">
      <c r="A6" t="s">
        <v>397</v>
      </c>
      <c r="B6" s="18" t="s">
        <v>387</v>
      </c>
      <c r="C6" s="41">
        <v>0</v>
      </c>
      <c r="D6" s="41"/>
      <c r="E6" s="41"/>
      <c r="G6" s="41">
        <f>IF(MID(BNS_Savings_Accounts[[#This Row],[Account Balance]],1,5)="Under",0,VALUE(TRIM(MID(BNS_Savings_Accounts[[#This Row],[Account Balance]],2,FIND(" ",BNS_Savings_Accounts[[#This Row],[Account Balance]],2)-2))))</f>
        <v>0</v>
      </c>
    </row>
    <row r="7" spans="1:7" x14ac:dyDescent="0.25">
      <c r="B7" s="18" t="s">
        <v>388</v>
      </c>
      <c r="C7" s="41">
        <v>2.0000000000000001E-4</v>
      </c>
      <c r="D7" s="41"/>
      <c r="E7" s="41"/>
      <c r="G7" s="41">
        <f>IF(MID(BNS_Savings_Accounts[[#This Row],[Account Balance]],1,5)="Under",0,VALUE(TRIM(MID(BNS_Savings_Accounts[[#This Row],[Account Balance]],2,FIND(" ",BNS_Savings_Accounts[[#This Row],[Account Balance]],2)-2))))</f>
        <v>25000</v>
      </c>
    </row>
    <row r="8" spans="1:7" x14ac:dyDescent="0.25">
      <c r="A8" t="s">
        <v>396</v>
      </c>
      <c r="B8" s="18" t="s">
        <v>135</v>
      </c>
      <c r="C8" s="41">
        <v>0</v>
      </c>
      <c r="D8" s="41"/>
      <c r="E8" s="41"/>
      <c r="G8" s="41">
        <f>IF(MID(BNS_Savings_Accounts[[#This Row],[Account Balance]],1,5)="Under",0,VALUE(TRIM(MID(BNS_Savings_Accounts[[#This Row],[Account Balance]],2,FIND(" ",BNS_Savings_Accounts[[#This Row],[Account Balance]],2)-2))))</f>
        <v>0</v>
      </c>
    </row>
    <row r="9" spans="1:7" x14ac:dyDescent="0.25">
      <c r="B9" s="18" t="s">
        <v>134</v>
      </c>
      <c r="C9" s="41">
        <v>2.0000000000000001E-4</v>
      </c>
      <c r="D9" s="41"/>
      <c r="E9" s="41"/>
      <c r="G9" s="41">
        <f>IF(MID(BNS_Savings_Accounts[[#This Row],[Account Balance]],1,5)="Under",0,VALUE(TRIM(MID(BNS_Savings_Accounts[[#This Row],[Account Balance]],2,FIND(" ",BNS_Savings_Accounts[[#This Row],[Account Balance]],2)-2))))</f>
        <v>5000</v>
      </c>
    </row>
    <row r="10" spans="1:7" x14ac:dyDescent="0.25">
      <c r="A10" t="s">
        <v>395</v>
      </c>
      <c r="B10" s="18" t="s">
        <v>135</v>
      </c>
      <c r="C10" s="41">
        <v>2.0000000000000001E-4</v>
      </c>
      <c r="D10" s="41"/>
      <c r="E10" s="41"/>
      <c r="G10" s="41">
        <f>IF(MID(BNS_Savings_Accounts[[#This Row],[Account Balance]],1,5)="Under",0,VALUE(TRIM(MID(BNS_Savings_Accounts[[#This Row],[Account Balance]],2,FIND(" ",BNS_Savings_Accounts[[#This Row],[Account Balance]],2)-2))))</f>
        <v>0</v>
      </c>
    </row>
    <row r="11" spans="1:7" x14ac:dyDescent="0.25">
      <c r="B11" s="18" t="s">
        <v>134</v>
      </c>
      <c r="C11" s="41">
        <v>2.0000000000000001E-4</v>
      </c>
      <c r="D11" s="41"/>
      <c r="E11" s="41"/>
      <c r="G11" s="41">
        <f>IF(MID(BNS_Savings_Accounts[[#This Row],[Account Balance]],1,5)="Under",0,VALUE(TRIM(MID(BNS_Savings_Accounts[[#This Row],[Account Balance]],2,FIND(" ",BNS_Savings_Accounts[[#This Row],[Account Balance]],2)-2))))</f>
        <v>5000</v>
      </c>
    </row>
    <row r="12" spans="1:7" x14ac:dyDescent="0.25">
      <c r="A12" s="41" t="s">
        <v>394</v>
      </c>
      <c r="B12" s="18" t="s">
        <v>389</v>
      </c>
      <c r="C12" s="41">
        <v>0</v>
      </c>
      <c r="D12" s="41"/>
      <c r="E12" s="41"/>
      <c r="G12" s="41">
        <f>IF(MID(BNS_Savings_Accounts[[#This Row],[Account Balance]],1,5)="Under",0,VALUE(TRIM(MID(BNS_Savings_Accounts[[#This Row],[Account Balance]],2,FIND(" ",BNS_Savings_Accounts[[#This Row],[Account Balance]],2)-2))))</f>
        <v>0</v>
      </c>
    </row>
    <row r="13" spans="1:7" x14ac:dyDescent="0.25">
      <c r="B13" s="18" t="s">
        <v>390</v>
      </c>
      <c r="C13" s="41">
        <v>1E-4</v>
      </c>
      <c r="D13" s="41"/>
      <c r="E13" s="41"/>
      <c r="G13" s="41">
        <f>IF(MID(BNS_Savings_Accounts[[#This Row],[Account Balance]],1,5)="Under",0,VALUE(TRIM(MID(BNS_Savings_Accounts[[#This Row],[Account Balance]],2,FIND(" ",BNS_Savings_Accounts[[#This Row],[Account Balance]],2)-2))))</f>
        <v>5000</v>
      </c>
    </row>
    <row r="14" spans="1:7" x14ac:dyDescent="0.25">
      <c r="B14" s="18" t="s">
        <v>391</v>
      </c>
      <c r="C14" s="41">
        <v>2.5000000000000001E-4</v>
      </c>
      <c r="D14" s="41"/>
      <c r="E14" s="41"/>
      <c r="G14" s="41">
        <f>IF(MID(BNS_Savings_Accounts[[#This Row],[Account Balance]],1,5)="Under",0,VALUE(TRIM(MID(BNS_Savings_Accounts[[#This Row],[Account Balance]],2,FIND(" ",BNS_Savings_Accounts[[#This Row],[Account Balance]],2)-2))))</f>
        <v>10000</v>
      </c>
    </row>
    <row r="15" spans="1:7" x14ac:dyDescent="0.25">
      <c r="B15" s="18" t="s">
        <v>392</v>
      </c>
      <c r="C15" s="41">
        <v>5.0000000000000001E-4</v>
      </c>
      <c r="D15" s="41"/>
      <c r="E15" s="41"/>
      <c r="G15" s="41">
        <f>IF(MID(BNS_Savings_Accounts[[#This Row],[Account Balance]],1,5)="Under",0,VALUE(TRIM(MID(BNS_Savings_Accounts[[#This Row],[Account Balance]],2,FIND(" ",BNS_Savings_Accounts[[#This Row],[Account Balance]],2)-2))))</f>
        <v>25000</v>
      </c>
    </row>
    <row r="16" spans="1:7" x14ac:dyDescent="0.25">
      <c r="B16" s="18" t="s">
        <v>393</v>
      </c>
      <c r="C16" s="41">
        <v>1E-3</v>
      </c>
      <c r="D16" s="41"/>
      <c r="E16" s="41"/>
      <c r="G16" s="41">
        <f>IF(MID(BNS_Savings_Accounts[[#This Row],[Account Balance]],1,5)="Under",0,VALUE(TRIM(MID(BNS_Savings_Accounts[[#This Row],[Account Balance]],2,FIND(" ",BNS_Savings_Accounts[[#This Row],[Account Balance]],2)-2))))</f>
        <v>60000</v>
      </c>
    </row>
    <row r="17" spans="1:7" x14ac:dyDescent="0.25">
      <c r="A17" s="41" t="s">
        <v>192</v>
      </c>
      <c r="B17" s="18" t="s">
        <v>191</v>
      </c>
      <c r="C17" s="41">
        <v>0</v>
      </c>
      <c r="D17" s="41"/>
      <c r="E17" s="41"/>
      <c r="G17" s="41">
        <f>IF(MID(BNS_Savings_Accounts[[#This Row],[Account Balance]],1,5)="Under",0,VALUE(TRIM(MID(BNS_Savings_Accounts[[#This Row],[Account Balance]],2,FIND(" ",BNS_Savings_Accounts[[#This Row],[Account Balance]],2)-2))))</f>
        <v>0</v>
      </c>
    </row>
    <row r="18" spans="1:7" x14ac:dyDescent="0.25">
      <c r="B18" s="18" t="s">
        <v>190</v>
      </c>
      <c r="C18" s="41">
        <v>1E-4</v>
      </c>
      <c r="D18" s="41"/>
      <c r="E18" s="41"/>
      <c r="G18" s="41">
        <f>IF(MID(BNS_Savings_Accounts[[#This Row],[Account Balance]],1,5)="Under",0,VALUE(TRIM(MID(BNS_Savings_Accounts[[#This Row],[Account Balance]],2,FIND(" ",BNS_Savings_Accounts[[#This Row],[Account Balance]],2)-2))))</f>
        <v>1000</v>
      </c>
    </row>
    <row r="19" spans="1:7" x14ac:dyDescent="0.25">
      <c r="B19" s="18" t="s">
        <v>37</v>
      </c>
      <c r="C19" s="41">
        <v>2.5000000000000001E-4</v>
      </c>
      <c r="D19" s="41"/>
      <c r="E19" s="41"/>
      <c r="G19" s="41">
        <f>IF(MID(BNS_Savings_Accounts[[#This Row],[Account Balance]],1,5)="Under",0,VALUE(TRIM(MID(BNS_Savings_Accounts[[#This Row],[Account Balance]],2,FIND(" ",BNS_Savings_Accounts[[#This Row],[Account Balance]],2)-2))))</f>
        <v>5000</v>
      </c>
    </row>
    <row r="20" spans="1:7" x14ac:dyDescent="0.25">
      <c r="B20" s="18" t="s">
        <v>36</v>
      </c>
      <c r="C20" s="41">
        <v>5.0000000000000001E-4</v>
      </c>
      <c r="D20" s="41"/>
      <c r="E20" s="41"/>
      <c r="G20" s="41">
        <f>IF(MID(BNS_Savings_Accounts[[#This Row],[Account Balance]],1,5)="Under",0,VALUE(TRIM(MID(BNS_Savings_Accounts[[#This Row],[Account Balance]],2,FIND(" ",BNS_Savings_Accounts[[#This Row],[Account Balance]],2)-2))))</f>
        <v>10000</v>
      </c>
    </row>
    <row r="21" spans="1:7" x14ac:dyDescent="0.25">
      <c r="B21" s="18" t="s">
        <v>35</v>
      </c>
      <c r="C21" s="41">
        <v>1E-3</v>
      </c>
      <c r="D21" s="41"/>
      <c r="E21" s="41"/>
      <c r="G21" s="41">
        <f>IF(MID(BNS_Savings_Accounts[[#This Row],[Account Balance]],1,5)="Under",0,VALUE(TRIM(MID(BNS_Savings_Accounts[[#This Row],[Account Balance]],2,FIND(" ",BNS_Savings_Accounts[[#This Row],[Account Balance]],2)-2))))</f>
        <v>25000</v>
      </c>
    </row>
    <row r="22" spans="1:7" x14ac:dyDescent="0.25">
      <c r="B22" s="18" t="s">
        <v>189</v>
      </c>
      <c r="C22" s="41">
        <v>1.5E-3</v>
      </c>
      <c r="D22" s="41"/>
      <c r="E22" s="41"/>
      <c r="G22" s="41">
        <f>IF(MID(BNS_Savings_Accounts[[#This Row],[Account Balance]],1,5)="Under",0,VALUE(TRIM(MID(BNS_Savings_Accounts[[#This Row],[Account Balance]],2,FIND(" ",BNS_Savings_Accounts[[#This Row],[Account Balance]],2)-2))))</f>
        <v>60000</v>
      </c>
    </row>
    <row r="23" spans="1:7" x14ac:dyDescent="0.25">
      <c r="A23" s="41" t="s">
        <v>324</v>
      </c>
      <c r="B23" s="18" t="s">
        <v>320</v>
      </c>
      <c r="C23" s="41">
        <v>0.01</v>
      </c>
      <c r="D23" s="41"/>
      <c r="E23" s="41"/>
      <c r="G23" s="41">
        <f>IF(MID(BNS_Savings_Accounts[[#This Row],[Account Balance]],1,5)="Under",0,VALUE(TRIM(MID(BNS_Savings_Accounts[[#This Row],[Account Balance]],2,FIND(" ",BNS_Savings_Accounts[[#This Row],[Account Balance]],2)-2))))</f>
        <v>0</v>
      </c>
    </row>
    <row r="24" spans="1:7" x14ac:dyDescent="0.25">
      <c r="B24" s="18" t="s">
        <v>136</v>
      </c>
      <c r="C24" s="41">
        <v>1.0999999999999999E-2</v>
      </c>
      <c r="D24" s="41"/>
      <c r="E24" s="41"/>
      <c r="G24" s="41">
        <f>IF(MID(BNS_Savings_Accounts[[#This Row],[Account Balance]],1,5)="Under",0,VALUE(TRIM(MID(BNS_Savings_Accounts[[#This Row],[Account Balance]],2,FIND(" ",BNS_Savings_Accounts[[#This Row],[Account Balance]],2)-2))))</f>
        <v>250000</v>
      </c>
    </row>
    <row r="25" spans="1:7" x14ac:dyDescent="0.25">
      <c r="A25" s="41" t="s">
        <v>143</v>
      </c>
      <c r="B25" s="18" t="s">
        <v>138</v>
      </c>
      <c r="C25" s="41">
        <v>5.0000000000000001E-4</v>
      </c>
      <c r="D25" s="41"/>
      <c r="E25" s="41"/>
      <c r="G25" s="41">
        <f>IF(MID(BNS_Savings_Accounts[[#This Row],[Account Balance]],1,5)="Under",0,VALUE(TRIM(MID(BNS_Savings_Accounts[[#This Row],[Account Balance]],2,FIND(" ",BNS_Savings_Accounts[[#This Row],[Account Balance]],2)-2))))</f>
        <v>0</v>
      </c>
    </row>
    <row r="26" spans="1:7" x14ac:dyDescent="0.25">
      <c r="B26" s="18" t="s">
        <v>137</v>
      </c>
      <c r="C26" s="41">
        <v>0.01</v>
      </c>
      <c r="D26" s="41"/>
      <c r="E26" s="41"/>
      <c r="G26" s="41">
        <f>IF(MID(BNS_Savings_Accounts[[#This Row],[Account Balance]],1,5)="Under",0,VALUE(TRIM(MID(BNS_Savings_Accounts[[#This Row],[Account Balance]],2,FIND(" ",BNS_Savings_Accounts[[#This Row],[Account Balance]],2)-2))))</f>
        <v>5000</v>
      </c>
    </row>
    <row r="27" spans="1:7" x14ac:dyDescent="0.25">
      <c r="B27" s="18" t="s">
        <v>136</v>
      </c>
      <c r="C27" s="41">
        <v>1.0999999999999999E-2</v>
      </c>
      <c r="D27" s="41"/>
      <c r="E27" s="41"/>
      <c r="G27" s="41">
        <f>IF(MID(BNS_Savings_Accounts[[#This Row],[Account Balance]],1,5)="Under",0,VALUE(TRIM(MID(BNS_Savings_Accounts[[#This Row],[Account Balance]],2,FIND(" ",BNS_Savings_Accounts[[#This Row],[Account Balance]],2)-2))))</f>
        <v>250000</v>
      </c>
    </row>
    <row r="28" spans="1:7" x14ac:dyDescent="0.25">
      <c r="A28" s="41" t="s">
        <v>142</v>
      </c>
      <c r="B28" s="18" t="s">
        <v>135</v>
      </c>
      <c r="C28" s="41">
        <v>5.0000000000000001E-4</v>
      </c>
      <c r="D28" s="41"/>
      <c r="E28" s="41"/>
      <c r="G28" s="41">
        <f>IF(MID(BNS_Savings_Accounts[[#This Row],[Account Balance]],1,5)="Under",0,VALUE(TRIM(MID(BNS_Savings_Accounts[[#This Row],[Account Balance]],2,FIND(" ",BNS_Savings_Accounts[[#This Row],[Account Balance]],2)-2))))</f>
        <v>0</v>
      </c>
    </row>
    <row r="29" spans="1:7" x14ac:dyDescent="0.25">
      <c r="B29" s="18" t="s">
        <v>134</v>
      </c>
      <c r="C29" s="41">
        <v>5.0000000000000001E-4</v>
      </c>
      <c r="D29" s="41"/>
      <c r="E29" s="41"/>
      <c r="G29" s="41">
        <f>IF(MID(BNS_Savings_Accounts[[#This Row],[Account Balance]],1,5)="Under",0,VALUE(TRIM(MID(BNS_Savings_Accounts[[#This Row],[Account Balance]],2,FIND(" ",BNS_Savings_Accounts[[#This Row],[Account Balance]],2)-2))))</f>
        <v>5000</v>
      </c>
    </row>
    <row r="30" spans="1:7" x14ac:dyDescent="0.25">
      <c r="A30" s="41" t="s">
        <v>323</v>
      </c>
      <c r="B30" s="18" t="s">
        <v>138</v>
      </c>
      <c r="C30" s="41">
        <v>5.0000000000000001E-4</v>
      </c>
      <c r="D30" s="41">
        <v>5.0000000000000001E-4</v>
      </c>
      <c r="E30" s="41">
        <v>0</v>
      </c>
      <c r="G30" s="41">
        <f>IF(MID(BNS_Savings_Accounts[[#This Row],[Account Balance]],1,5)="Under",0,VALUE(TRIM(MID(BNS_Savings_Accounts[[#This Row],[Account Balance]],2,FIND(" ",BNS_Savings_Accounts[[#This Row],[Account Balance]],2)-2))))</f>
        <v>0</v>
      </c>
    </row>
    <row r="31" spans="1:7" x14ac:dyDescent="0.25">
      <c r="B31" s="18" t="s">
        <v>134</v>
      </c>
      <c r="C31" s="41">
        <v>1.4999999999999999E-2</v>
      </c>
      <c r="D31" s="41">
        <v>5.0000000000000001E-3</v>
      </c>
      <c r="E31" s="41">
        <v>0.01</v>
      </c>
      <c r="G31" s="41">
        <f>IF(MID(BNS_Savings_Accounts[[#This Row],[Account Balance]],1,5)="Under",0,VALUE(TRIM(MID(BNS_Savings_Accounts[[#This Row],[Account Balance]],2,FIND(" ",BNS_Savings_Accounts[[#This Row],[Account Balance]],2)-2))))</f>
        <v>5000</v>
      </c>
    </row>
    <row r="32" spans="1:7" x14ac:dyDescent="0.25">
      <c r="A32" s="41" t="s">
        <v>141</v>
      </c>
      <c r="B32" s="18" t="s">
        <v>133</v>
      </c>
      <c r="C32" s="41">
        <v>0.02</v>
      </c>
      <c r="D32" s="41">
        <v>0.01</v>
      </c>
      <c r="E32" s="41">
        <v>0.01</v>
      </c>
      <c r="G32" s="41"/>
    </row>
    <row r="33" spans="1:7" x14ac:dyDescent="0.25">
      <c r="B33" s="18" t="s">
        <v>132</v>
      </c>
      <c r="C33" s="41">
        <v>1.7999999999999999E-2</v>
      </c>
      <c r="D33" s="41">
        <v>0.01</v>
      </c>
      <c r="E33" s="41">
        <v>8.0000000000000002E-3</v>
      </c>
      <c r="G33" s="41"/>
    </row>
    <row r="34" spans="1:7" x14ac:dyDescent="0.25">
      <c r="B34" s="18" t="s">
        <v>131</v>
      </c>
      <c r="C34" s="41">
        <v>1.6E-2</v>
      </c>
      <c r="D34" s="41">
        <v>0.01</v>
      </c>
      <c r="E34" s="41">
        <v>6.0000000000000001E-3</v>
      </c>
      <c r="G34" s="41"/>
    </row>
    <row r="35" spans="1:7" x14ac:dyDescent="0.25">
      <c r="B35" s="18" t="s">
        <v>130</v>
      </c>
      <c r="C35" s="41">
        <v>1.4999999999999999E-2</v>
      </c>
      <c r="D35" s="41">
        <v>0.01</v>
      </c>
      <c r="E35" s="41">
        <v>5.0000000000000001E-3</v>
      </c>
      <c r="G35" s="41"/>
    </row>
    <row r="36" spans="1:7" x14ac:dyDescent="0.25">
      <c r="B36" s="18" t="s">
        <v>315</v>
      </c>
      <c r="C36" s="41">
        <v>0.01</v>
      </c>
      <c r="D36" s="41">
        <v>0.01</v>
      </c>
      <c r="E36" s="41">
        <v>0</v>
      </c>
      <c r="G36" s="41"/>
    </row>
    <row r="39" spans="1:7" x14ac:dyDescent="0.25">
      <c r="A39" t="s">
        <v>140</v>
      </c>
      <c r="B39" t="s">
        <v>139</v>
      </c>
      <c r="C39" t="s">
        <v>321</v>
      </c>
      <c r="D39" t="s">
        <v>322</v>
      </c>
    </row>
    <row r="40" spans="1:7" x14ac:dyDescent="0.25">
      <c r="B40" s="18" t="s">
        <v>140</v>
      </c>
      <c r="C40">
        <v>2.5000000000000001E-3</v>
      </c>
      <c r="D40">
        <v>2.5000000000000001E-3</v>
      </c>
    </row>
    <row r="41" spans="1:7" x14ac:dyDescent="0.25">
      <c r="B41" s="18" t="s">
        <v>74</v>
      </c>
      <c r="C41">
        <v>3.95E-2</v>
      </c>
      <c r="D41">
        <v>0.05</v>
      </c>
    </row>
    <row r="43" spans="1:7" x14ac:dyDescent="0.25">
      <c r="A43" s="41" t="s">
        <v>359</v>
      </c>
      <c r="B43" s="60" t="s">
        <v>139</v>
      </c>
      <c r="C43" s="62" t="s">
        <v>321</v>
      </c>
      <c r="D43" s="61" t="s">
        <v>322</v>
      </c>
    </row>
    <row r="44" spans="1:7" x14ac:dyDescent="0.25">
      <c r="B44" s="65" t="s">
        <v>360</v>
      </c>
      <c r="C44" s="67">
        <v>1.6E-2</v>
      </c>
      <c r="D44" s="68">
        <v>8.5000000000000006E-3</v>
      </c>
    </row>
    <row r="45" spans="1:7" x14ac:dyDescent="0.25">
      <c r="B45" s="66" t="s">
        <v>361</v>
      </c>
      <c r="C45" s="69">
        <v>1.7500000000000002E-2</v>
      </c>
      <c r="D45" s="70">
        <v>0.01</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I57"/>
  <sheetViews>
    <sheetView workbookViewId="0"/>
  </sheetViews>
  <sheetFormatPr defaultRowHeight="15" x14ac:dyDescent="0.25"/>
  <cols>
    <col min="1" max="1" width="30.42578125" bestFit="1" customWidth="1"/>
    <col min="2" max="2" width="15" style="41" bestFit="1" customWidth="1"/>
    <col min="3" max="3" width="13.5703125" style="41" bestFit="1" customWidth="1"/>
    <col min="4" max="5" width="15.85546875" style="41" bestFit="1" customWidth="1"/>
    <col min="6" max="6" width="15" bestFit="1" customWidth="1"/>
    <col min="7" max="7" width="17.5703125" bestFit="1" customWidth="1"/>
    <col min="8" max="8" width="15" bestFit="1" customWidth="1"/>
    <col min="9" max="9" width="17.5703125" bestFit="1" customWidth="1"/>
  </cols>
  <sheetData>
    <row r="1" spans="1:9" x14ac:dyDescent="0.25">
      <c r="A1" t="s">
        <v>63</v>
      </c>
      <c r="I1" s="38"/>
    </row>
    <row r="2" spans="1:9" x14ac:dyDescent="0.25">
      <c r="A2" t="s">
        <v>64</v>
      </c>
    </row>
    <row r="8" spans="1:9" x14ac:dyDescent="0.25">
      <c r="A8" t="s">
        <v>65</v>
      </c>
    </row>
    <row r="10" spans="1:9" x14ac:dyDescent="0.25">
      <c r="A10" t="s">
        <v>19</v>
      </c>
      <c r="B10" t="s">
        <v>474</v>
      </c>
      <c r="C10" t="s">
        <v>475</v>
      </c>
      <c r="D10"/>
      <c r="E10"/>
    </row>
    <row r="11" spans="1:9" x14ac:dyDescent="0.25">
      <c r="B11" s="18" t="s">
        <v>335</v>
      </c>
      <c r="C11">
        <v>1.0999999999999999E-2</v>
      </c>
      <c r="D11"/>
      <c r="E11"/>
    </row>
    <row r="12" spans="1:9" x14ac:dyDescent="0.25">
      <c r="D12"/>
      <c r="E12"/>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22" sqref="B22"/>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8" t="s">
        <v>266</v>
      </c>
    </row>
    <row r="2" spans="1:5" x14ac:dyDescent="0.25">
      <c r="A2" t="s">
        <v>92</v>
      </c>
      <c r="B2" s="18" t="s">
        <v>277</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278</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10" sqref="B10"/>
    </sheetView>
  </sheetViews>
  <sheetFormatPr defaultRowHeight="15" x14ac:dyDescent="0.25"/>
  <cols>
    <col min="1" max="1" width="31" style="41"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1" t="s">
        <v>414</v>
      </c>
      <c r="B1" t="s">
        <v>81</v>
      </c>
      <c r="C1" t="s">
        <v>169</v>
      </c>
      <c r="I1" s="41" t="s">
        <v>266</v>
      </c>
    </row>
    <row r="2" spans="1:9" x14ac:dyDescent="0.25">
      <c r="B2" s="18" t="s">
        <v>242</v>
      </c>
      <c r="C2">
        <v>5.0000000000000001E-3</v>
      </c>
      <c r="I2" s="41">
        <f>IF(LEFT(HSBC_CAD_Savings[[#This Row],[Daily closing balance]],2)="Up",0,VALUE(MID(HSBC_CAD_Savings[[#This Row],[Daily closing balance]],FIND("$",B2),FIND(" ",B2,FIND("$",B2))-FIND("$",B2))))</f>
        <v>0</v>
      </c>
    </row>
    <row r="3" spans="1:9" x14ac:dyDescent="0.25">
      <c r="B3" s="18" t="s">
        <v>243</v>
      </c>
      <c r="C3">
        <v>1.0500000000000001E-2</v>
      </c>
      <c r="I3" s="41">
        <f>IF(LEFT(HSBC_CAD_Savings[[#This Row],[Daily closing balance]],2)="Up",0,VALUE(MID(HSBC_CAD_Savings[[#This Row],[Daily closing balance]],FIND("$",B3),FIND(" ",B3,FIND("$",B3))-FIND("$",B3))))</f>
        <v>25000</v>
      </c>
    </row>
    <row r="4" spans="1:9" x14ac:dyDescent="0.25">
      <c r="B4" s="18" t="s">
        <v>244</v>
      </c>
      <c r="C4">
        <v>1.0500000000000001E-2</v>
      </c>
      <c r="I4" s="41">
        <f>IF(LEFT(HSBC_CAD_Savings[[#This Row],[Daily closing balance]],2)="Up",0,VALUE(MID(HSBC_CAD_Savings[[#This Row],[Daily closing balance]],FIND("$",B4),FIND(" ",B4,FIND("$",B4))-FIND("$",B4))))</f>
        <v>50000</v>
      </c>
    </row>
    <row r="5" spans="1:9" x14ac:dyDescent="0.25">
      <c r="B5" s="18" t="s">
        <v>245</v>
      </c>
      <c r="C5">
        <v>1.0500000000000001E-2</v>
      </c>
      <c r="I5" s="41">
        <f>IF(LEFT(HSBC_CAD_Savings[[#This Row],[Daily closing balance]],2)="Up",0,VALUE(MID(HSBC_CAD_Savings[[#This Row],[Daily closing balance]],FIND("$",B5),FIND(" ",B5,FIND("$",B5))-FIND("$",B5))))</f>
        <v>100000</v>
      </c>
    </row>
    <row r="9" spans="1:9" x14ac:dyDescent="0.25">
      <c r="A9" s="41" t="s">
        <v>427</v>
      </c>
      <c r="B9" s="41" t="s">
        <v>81</v>
      </c>
      <c r="C9" s="41" t="s">
        <v>420</v>
      </c>
      <c r="D9" s="41" t="s">
        <v>421</v>
      </c>
      <c r="E9" s="41" t="s">
        <v>422</v>
      </c>
      <c r="F9" s="41" t="s">
        <v>423</v>
      </c>
      <c r="G9" s="41" t="s">
        <v>424</v>
      </c>
    </row>
    <row r="10" spans="1:9" x14ac:dyDescent="0.25">
      <c r="B10" s="18" t="s">
        <v>425</v>
      </c>
      <c r="C10" s="41">
        <v>1E-3</v>
      </c>
      <c r="D10" s="41">
        <v>1E-3</v>
      </c>
      <c r="E10" s="41">
        <v>0</v>
      </c>
      <c r="F10" s="41">
        <v>5.0000000000000001E-4</v>
      </c>
      <c r="G10" s="41">
        <v>0</v>
      </c>
      <c r="I10">
        <f>IF(LEFT(HSBC_Foreign_Savings[[#This Row],[Daily closing balance]],2)="Up",0,VALUE(MID(HSBC_Foreign_Savings[[#This Row],[Daily closing balance]],FIND("$",B10),FIND(" ",B10,FIND("$",B10))-FIND("$",B10))))</f>
        <v>0</v>
      </c>
    </row>
    <row r="11" spans="1:9" x14ac:dyDescent="0.25">
      <c r="B11" s="18" t="s">
        <v>243</v>
      </c>
      <c r="C11" s="41">
        <v>2E-3</v>
      </c>
      <c r="D11" s="41">
        <v>1E-3</v>
      </c>
      <c r="E11" s="41">
        <v>0</v>
      </c>
      <c r="F11" s="41">
        <v>5.0000000000000001E-4</v>
      </c>
      <c r="G11" s="41">
        <v>0</v>
      </c>
      <c r="I11" s="41">
        <f>IF(LEFT(HSBC_Foreign_Savings[[#This Row],[Daily closing balance]],2)="Up",0,VALUE(MID(HSBC_Foreign_Savings[[#This Row],[Daily closing balance]],FIND("$",B11),FIND(" ",B11,FIND("$",B11))-FIND("$",B11))))</f>
        <v>25000</v>
      </c>
    </row>
    <row r="12" spans="1:9" x14ac:dyDescent="0.25">
      <c r="B12" s="18" t="s">
        <v>244</v>
      </c>
      <c r="C12" s="41">
        <v>2.5000000000000001E-3</v>
      </c>
      <c r="D12" s="41">
        <v>1E-3</v>
      </c>
      <c r="E12" s="41">
        <v>0</v>
      </c>
      <c r="F12" s="41">
        <v>5.0000000000000001E-4</v>
      </c>
      <c r="G12" s="41">
        <v>0</v>
      </c>
      <c r="I12" s="41">
        <f>IF(LEFT(HSBC_Foreign_Savings[[#This Row],[Daily closing balance]],2)="Up",0,VALUE(MID(HSBC_Foreign_Savings[[#This Row],[Daily closing balance]],FIND("$",B12),FIND(" ",B12,FIND("$",B12))-FIND("$",B12))))</f>
        <v>50000</v>
      </c>
    </row>
    <row r="13" spans="1:9" x14ac:dyDescent="0.25">
      <c r="B13" s="18" t="s">
        <v>426</v>
      </c>
      <c r="C13" s="41">
        <v>3.0000000000000001E-3</v>
      </c>
      <c r="D13" s="41">
        <v>1E-3</v>
      </c>
      <c r="E13" s="41">
        <v>0</v>
      </c>
      <c r="F13" s="41">
        <v>5.0000000000000001E-4</v>
      </c>
      <c r="G13" s="41">
        <v>0</v>
      </c>
      <c r="I13" s="41">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heetViews>
  <sheetFormatPr defaultRowHeight="15" x14ac:dyDescent="0.25"/>
  <cols>
    <col min="1" max="1" width="35.85546875" customWidth="1"/>
    <col min="2" max="2" width="15.85546875" style="41" bestFit="1" customWidth="1"/>
    <col min="3" max="3" width="78.28515625" style="41" bestFit="1" customWidth="1"/>
    <col min="4" max="5" width="11.140625" style="41"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472</v>
      </c>
      <c r="D4">
        <v>3.3000000000000002E-2</v>
      </c>
      <c r="E4"/>
    </row>
    <row r="5" spans="1:5" x14ac:dyDescent="0.25">
      <c r="A5" t="s">
        <v>148</v>
      </c>
      <c r="B5" s="18" t="s">
        <v>144</v>
      </c>
      <c r="C5" s="18" t="s">
        <v>473</v>
      </c>
      <c r="D5">
        <v>3.3000000000000002E-2</v>
      </c>
      <c r="E5"/>
    </row>
    <row r="6" spans="1:5" x14ac:dyDescent="0.25">
      <c r="A6" t="s">
        <v>149</v>
      </c>
      <c r="B6" s="18" t="s">
        <v>144</v>
      </c>
      <c r="C6" s="18" t="s">
        <v>316</v>
      </c>
      <c r="D6">
        <v>1.5E-3</v>
      </c>
      <c r="E6"/>
    </row>
    <row r="7" spans="1:5" x14ac:dyDescent="0.25">
      <c r="B7" s="18" t="s">
        <v>144</v>
      </c>
      <c r="C7" s="18" t="s">
        <v>317</v>
      </c>
      <c r="D7">
        <v>5.4999999999999997E-3</v>
      </c>
      <c r="E7"/>
    </row>
    <row r="8" spans="1:5" x14ac:dyDescent="0.25">
      <c r="B8" s="18" t="s">
        <v>144</v>
      </c>
      <c r="C8" s="18" t="s">
        <v>318</v>
      </c>
      <c r="D8" s="41">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319</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319</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319</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478</v>
      </c>
      <c r="E11" s="18" t="s">
        <v>204</v>
      </c>
      <c r="F11" s="18" t="s">
        <v>205</v>
      </c>
    </row>
    <row r="12" spans="1:6" x14ac:dyDescent="0.25">
      <c r="A12" s="18" t="s">
        <v>221</v>
      </c>
      <c r="B12" s="18" t="s">
        <v>221</v>
      </c>
      <c r="C12" s="18" t="s">
        <v>222</v>
      </c>
      <c r="D12" s="18" t="s">
        <v>476</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369</v>
      </c>
      <c r="C1" t="s">
        <v>266</v>
      </c>
    </row>
    <row r="2" spans="1:3" x14ac:dyDescent="0.25">
      <c r="A2" s="17">
        <v>41151</v>
      </c>
      <c r="B2" s="41">
        <v>1.35E-2</v>
      </c>
    </row>
    <row r="3" spans="1:3" x14ac:dyDescent="0.25">
      <c r="A3" s="17">
        <v>41213</v>
      </c>
      <c r="B3" s="41">
        <v>1.4E-2</v>
      </c>
    </row>
    <row r="4" spans="1:3" x14ac:dyDescent="0.25">
      <c r="A4" s="17">
        <v>42212</v>
      </c>
      <c r="B4" s="41">
        <v>1.2999999999999999E-2</v>
      </c>
    </row>
    <row r="5" spans="1:3" x14ac:dyDescent="0.25">
      <c r="A5" s="17">
        <v>42397</v>
      </c>
      <c r="B5" s="41">
        <v>1.2E-2</v>
      </c>
    </row>
    <row r="6" spans="1:3" x14ac:dyDescent="0.25">
      <c r="A6" s="17">
        <v>42402</v>
      </c>
      <c r="B6" s="41">
        <v>1.0500000000000001E-2</v>
      </c>
    </row>
    <row r="7" spans="1:3" x14ac:dyDescent="0.25">
      <c r="A7" s="17">
        <v>42649</v>
      </c>
      <c r="B7" s="41">
        <v>8.9999999999999993E-3</v>
      </c>
    </row>
    <row r="8" spans="1:3" x14ac:dyDescent="0.25">
      <c r="A8" s="17">
        <v>42850</v>
      </c>
      <c r="B8" s="41">
        <v>0.01</v>
      </c>
    </row>
    <row r="9" spans="1:3" x14ac:dyDescent="0.25">
      <c r="A9" s="17">
        <v>42886</v>
      </c>
      <c r="B9" s="41">
        <v>1.4999999999999999E-2</v>
      </c>
    </row>
    <row r="10" spans="1:3" x14ac:dyDescent="0.25">
      <c r="A10" s="17">
        <v>42978</v>
      </c>
      <c r="B10" s="41">
        <v>0.01</v>
      </c>
    </row>
    <row r="11" spans="1:3" x14ac:dyDescent="0.25">
      <c r="A11" s="17">
        <v>43125</v>
      </c>
      <c r="B11" s="41">
        <v>1.15E-2</v>
      </c>
    </row>
    <row r="12" spans="1:3" x14ac:dyDescent="0.25">
      <c r="A12" s="17">
        <v>43301</v>
      </c>
      <c r="B12" s="41">
        <v>1.35E-2</v>
      </c>
    </row>
    <row r="13" spans="1:3" x14ac:dyDescent="0.25">
      <c r="A13" s="17">
        <v>43410</v>
      </c>
      <c r="B13" s="41">
        <v>1.6E-2</v>
      </c>
      <c r="C13">
        <v>1000</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heetViews>
  <sheetFormatPr defaultRowHeight="15" x14ac:dyDescent="0.25"/>
  <cols>
    <col min="1" max="1" width="19.5703125" bestFit="1" customWidth="1"/>
    <col min="2" max="2" width="7.140625" style="41" bestFit="1" customWidth="1"/>
    <col min="3" max="3" width="7.28515625" bestFit="1" customWidth="1"/>
    <col min="4" max="4" width="7.140625" bestFit="1" customWidth="1"/>
  </cols>
  <sheetData>
    <row r="1" spans="1:2" x14ac:dyDescent="0.25">
      <c r="B1" s="80" t="s">
        <v>479</v>
      </c>
    </row>
    <row r="2" spans="1:2" x14ac:dyDescent="0.25">
      <c r="A2" t="s">
        <v>28</v>
      </c>
      <c r="B2" s="78">
        <v>2.3E-2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384</v>
      </c>
      <c r="C3" t="s">
        <v>385</v>
      </c>
      <c r="D3" t="s">
        <v>80</v>
      </c>
    </row>
    <row r="4" spans="1:4" x14ac:dyDescent="0.25">
      <c r="B4" t="s">
        <v>81</v>
      </c>
      <c r="C4" t="s">
        <v>81</v>
      </c>
      <c r="D4" t="s">
        <v>81</v>
      </c>
    </row>
    <row r="5" spans="1:4" x14ac:dyDescent="0.25">
      <c r="B5" t="s">
        <v>82</v>
      </c>
      <c r="C5" t="s">
        <v>82</v>
      </c>
      <c r="D5" t="s">
        <v>82</v>
      </c>
    </row>
    <row r="6" spans="1:4" x14ac:dyDescent="0.25">
      <c r="A6" t="s">
        <v>83</v>
      </c>
      <c r="B6" t="s">
        <v>477</v>
      </c>
      <c r="C6" t="s">
        <v>477</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336</v>
      </c>
    </row>
    <row r="19" spans="1:2" s="1" customFormat="1" x14ac:dyDescent="0.25">
      <c r="A19" s="1" t="s">
        <v>52</v>
      </c>
    </row>
    <row r="20" spans="1:2" x14ac:dyDescent="0.25">
      <c r="B20" t="s">
        <v>336</v>
      </c>
    </row>
    <row r="35" spans="1:2" s="1" customFormat="1" x14ac:dyDescent="0.25">
      <c r="A35" s="1" t="s">
        <v>86</v>
      </c>
    </row>
    <row r="37" spans="1:2" x14ac:dyDescent="0.25">
      <c r="A37" t="s">
        <v>87</v>
      </c>
      <c r="B37" t="s">
        <v>336</v>
      </c>
    </row>
    <row r="44" spans="1:2" s="1" customFormat="1" x14ac:dyDescent="0.25">
      <c r="A44" s="1" t="s">
        <v>88</v>
      </c>
    </row>
    <row r="45" spans="1:2" x14ac:dyDescent="0.25">
      <c r="A45" t="s">
        <v>89</v>
      </c>
      <c r="B45" t="s">
        <v>336</v>
      </c>
    </row>
    <row r="48" spans="1:2" x14ac:dyDescent="0.25">
      <c r="A48" t="s">
        <v>90</v>
      </c>
      <c r="B48" t="s">
        <v>336</v>
      </c>
    </row>
    <row r="55" spans="1:2" s="1" customFormat="1" x14ac:dyDescent="0.25">
      <c r="A55" s="1" t="s">
        <v>91</v>
      </c>
    </row>
    <row r="56" spans="1:2" x14ac:dyDescent="0.25">
      <c r="B56" t="s">
        <v>336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K44"/>
  <sheetViews>
    <sheetView topLeftCell="A13" workbookViewId="0">
      <selection activeCell="D42" sqref="D42"/>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6" width="15.5703125" bestFit="1" customWidth="1"/>
    <col min="7" max="7" width="48.85546875" bestFit="1" customWidth="1"/>
    <col min="8" max="8" width="11.140625" bestFit="1" customWidth="1"/>
    <col min="9" max="9" width="13" bestFit="1" customWidth="1"/>
    <col min="10" max="10" width="12.28515625" bestFit="1" customWidth="1"/>
    <col min="11" max="11" width="15.5703125" bestFit="1" customWidth="1"/>
  </cols>
  <sheetData>
    <row r="2" spans="1:5" x14ac:dyDescent="0.25">
      <c r="B2" t="s">
        <v>156</v>
      </c>
      <c r="C2" t="s">
        <v>56</v>
      </c>
      <c r="E2" s="38" t="s">
        <v>266</v>
      </c>
    </row>
    <row r="3" spans="1:5" x14ac:dyDescent="0.25">
      <c r="A3" t="s">
        <v>411</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374</v>
      </c>
      <c r="C12">
        <v>3.0000000000000001E-3</v>
      </c>
      <c r="E12">
        <f>VALUE(LEFT(TD_Savings_Accounts[[#This Row],[Account Balance]],FIND(" ",TD_Savings_Accounts[[#This Row],[Account Balance]])))</f>
        <v>5000</v>
      </c>
    </row>
    <row r="13" spans="1:5" x14ac:dyDescent="0.25">
      <c r="B13" s="18" t="s">
        <v>375</v>
      </c>
      <c r="C13">
        <v>3.0000000000000001E-3</v>
      </c>
      <c r="E13">
        <f>VALUE(LEFT(TD_Savings_Accounts[[#This Row],[Account Balance]],FIND(" ",TD_Savings_Accounts[[#This Row],[Account Balance]])))</f>
        <v>50000</v>
      </c>
    </row>
    <row r="14" spans="1:5" x14ac:dyDescent="0.25">
      <c r="B14" s="18" t="s">
        <v>380</v>
      </c>
      <c r="C14">
        <v>3.0000000000000001E-3</v>
      </c>
      <c r="E14">
        <f>VALUE(LEFT(TD_Savings_Accounts[[#This Row],[Account Balance]],FIND(" ",TD_Savings_Accounts[[#This Row],[Account Balance]])))</f>
        <v>100000</v>
      </c>
    </row>
    <row r="15" spans="1:5" x14ac:dyDescent="0.25">
      <c r="B15" s="18" t="s">
        <v>376</v>
      </c>
      <c r="C15">
        <v>3.0000000000000001E-3</v>
      </c>
      <c r="E15">
        <f>VALUE(LEFT(TD_Savings_Accounts[[#This Row],[Account Balance]],FIND(" ",TD_Savings_Accounts[[#This Row],[Account Balance]])))</f>
        <v>250000</v>
      </c>
    </row>
    <row r="16" spans="1:5" x14ac:dyDescent="0.25">
      <c r="B16" s="18" t="s">
        <v>377</v>
      </c>
      <c r="C16">
        <v>3.0000000000000001E-3</v>
      </c>
      <c r="E16">
        <f>VALUE(LEFT(TD_Savings_Accounts[[#This Row],[Account Balance]],FIND(" ",TD_Savings_Accounts[[#This Row],[Account Balance]])))</f>
        <v>1000000.01</v>
      </c>
    </row>
    <row r="17" spans="1:5" x14ac:dyDescent="0.25">
      <c r="B17" s="18" t="s">
        <v>166</v>
      </c>
    </row>
    <row r="18" spans="1:5" x14ac:dyDescent="0.25">
      <c r="B18" s="18" t="s">
        <v>378</v>
      </c>
      <c r="C18">
        <v>0</v>
      </c>
      <c r="E18">
        <f>VALUE(LEFT(TD_Savings_Accounts[[#This Row],[Account Balance]],FIND(" ",TD_Savings_Accounts[[#This Row],[Account Balance]])))</f>
        <v>0</v>
      </c>
    </row>
    <row r="19" spans="1:5" x14ac:dyDescent="0.25">
      <c r="B19" s="18" t="s">
        <v>379</v>
      </c>
      <c r="C19">
        <v>0.01</v>
      </c>
      <c r="E19">
        <f>VALUE(LEFT(TD_Savings_Accounts[[#This Row],[Account Balance]],FIND(" ",TD_Savings_Accounts[[#This Row],[Account Balance]])))</f>
        <v>10000</v>
      </c>
    </row>
    <row r="20" spans="1:5" x14ac:dyDescent="0.25">
      <c r="B20" s="18" t="s">
        <v>375</v>
      </c>
      <c r="C20">
        <v>0.01</v>
      </c>
      <c r="E20">
        <f>VALUE(LEFT(TD_Savings_Accounts[[#This Row],[Account Balance]],FIND(" ",TD_Savings_Accounts[[#This Row],[Account Balance]])))</f>
        <v>50000</v>
      </c>
    </row>
    <row r="21" spans="1:5" x14ac:dyDescent="0.25">
      <c r="B21" s="18" t="s">
        <v>380</v>
      </c>
      <c r="C21">
        <v>0.01</v>
      </c>
      <c r="E21">
        <f>VALUE(LEFT(TD_Savings_Accounts[[#This Row],[Account Balance]],FIND(" ",TD_Savings_Accounts[[#This Row],[Account Balance]])))</f>
        <v>100000</v>
      </c>
    </row>
    <row r="22" spans="1:5" x14ac:dyDescent="0.25">
      <c r="B22" s="18" t="s">
        <v>376</v>
      </c>
      <c r="C22">
        <v>0.01</v>
      </c>
      <c r="E22">
        <f>VALUE(LEFT(TD_Savings_Accounts[[#This Row],[Account Balance]],FIND(" ",TD_Savings_Accounts[[#This Row],[Account Balance]])))</f>
        <v>250000</v>
      </c>
    </row>
    <row r="23" spans="1:5" x14ac:dyDescent="0.25">
      <c r="B23" s="18" t="s">
        <v>377</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358</v>
      </c>
      <c r="B29" s="41" t="s">
        <v>156</v>
      </c>
      <c r="C29" s="41" t="s">
        <v>56</v>
      </c>
      <c r="D29" s="41"/>
      <c r="E29" s="38"/>
    </row>
    <row r="30" spans="1:5" x14ac:dyDescent="0.25">
      <c r="B30" s="18" t="s">
        <v>158</v>
      </c>
      <c r="C30" s="18">
        <v>0</v>
      </c>
      <c r="D30" s="41"/>
      <c r="E30" s="18">
        <f>VALUE(LEFT(TD_US_Daily_Interest[[#This Row],[Account Balance]],FIND(" ",TD_US_Daily_Interest[[#This Row],[Account Balance]])))</f>
        <v>0</v>
      </c>
    </row>
    <row r="31" spans="1:5" x14ac:dyDescent="0.25">
      <c r="B31" s="18" t="s">
        <v>159</v>
      </c>
      <c r="C31" s="18">
        <v>1E-4</v>
      </c>
      <c r="D31" s="41"/>
      <c r="E31" s="18">
        <f>VALUE(LEFT(TD_US_Daily_Interest[[#This Row],[Account Balance]],FIND(" ",TD_US_Daily_Interest[[#This Row],[Account Balance]])))</f>
        <v>1000</v>
      </c>
    </row>
    <row r="32" spans="1:5" x14ac:dyDescent="0.25">
      <c r="B32" s="18" t="s">
        <v>160</v>
      </c>
      <c r="C32" s="18">
        <v>1E-4</v>
      </c>
      <c r="D32" s="41"/>
      <c r="E32" s="18">
        <f>VALUE(LEFT(TD_US_Daily_Interest[[#This Row],[Account Balance]],FIND(" ",TD_US_Daily_Interest[[#This Row],[Account Balance]])))</f>
        <v>5000</v>
      </c>
    </row>
    <row r="33" spans="1:11" x14ac:dyDescent="0.25">
      <c r="B33" s="18" t="s">
        <v>161</v>
      </c>
      <c r="C33" s="18">
        <v>2.5000000000000001E-4</v>
      </c>
      <c r="D33" s="41"/>
      <c r="E33" s="18">
        <f>VALUE(LEFT(TD_US_Daily_Interest[[#This Row],[Account Balance]],FIND(" ",TD_US_Daily_Interest[[#This Row],[Account Balance]])))</f>
        <v>10000</v>
      </c>
    </row>
    <row r="34" spans="1:11" x14ac:dyDescent="0.25">
      <c r="B34" s="18" t="s">
        <v>162</v>
      </c>
      <c r="C34" s="18">
        <v>5.0000000000000001E-4</v>
      </c>
      <c r="D34" s="41"/>
      <c r="E34" s="18">
        <f>VALUE(LEFT(TD_US_Daily_Interest[[#This Row],[Account Balance]],FIND(" ",TD_US_Daily_Interest[[#This Row],[Account Balance]])))</f>
        <v>25000</v>
      </c>
    </row>
    <row r="35" spans="1:11" x14ac:dyDescent="0.25">
      <c r="B35" s="18" t="s">
        <v>163</v>
      </c>
      <c r="C35" s="18">
        <v>5.0000000000000001E-4</v>
      </c>
      <c r="D35" s="41"/>
      <c r="E35" s="18">
        <f>VALUE(LEFT(TD_US_Daily_Interest[[#This Row],[Account Balance]],FIND(" ",TD_US_Daily_Interest[[#This Row],[Account Balance]])))</f>
        <v>60000</v>
      </c>
    </row>
    <row r="36" spans="1:11" x14ac:dyDescent="0.25">
      <c r="B36" s="18" t="s">
        <v>483</v>
      </c>
      <c r="C36" s="18"/>
    </row>
    <row r="37" spans="1:11" x14ac:dyDescent="0.25">
      <c r="B37" s="18" t="s">
        <v>129</v>
      </c>
      <c r="C37" s="18">
        <v>0</v>
      </c>
    </row>
    <row r="39" spans="1:11" x14ac:dyDescent="0.25">
      <c r="A39" t="s">
        <v>410</v>
      </c>
      <c r="G39" t="s">
        <v>223</v>
      </c>
      <c r="H39" t="s">
        <v>224</v>
      </c>
      <c r="I39" t="s">
        <v>225</v>
      </c>
      <c r="J39" t="s">
        <v>226</v>
      </c>
      <c r="K39" t="s">
        <v>227</v>
      </c>
    </row>
    <row r="40" spans="1:11" x14ac:dyDescent="0.25">
      <c r="G40" s="18" t="s">
        <v>228</v>
      </c>
      <c r="H40" s="18" t="s">
        <v>181</v>
      </c>
      <c r="I40">
        <v>1000</v>
      </c>
      <c r="J40" s="18" t="s">
        <v>229</v>
      </c>
      <c r="K40">
        <v>1.6E-2</v>
      </c>
    </row>
    <row r="41" spans="1:11" x14ac:dyDescent="0.25">
      <c r="G41" s="18" t="s">
        <v>230</v>
      </c>
      <c r="H41" s="18" t="s">
        <v>182</v>
      </c>
      <c r="I41">
        <v>1000</v>
      </c>
      <c r="J41" s="18" t="s">
        <v>229</v>
      </c>
      <c r="K41">
        <v>9.4999999999999998E-3</v>
      </c>
    </row>
    <row r="42" spans="1:11" x14ac:dyDescent="0.25">
      <c r="G42" s="18" t="s">
        <v>231</v>
      </c>
      <c r="H42" s="18" t="s">
        <v>181</v>
      </c>
      <c r="I42">
        <v>1000</v>
      </c>
      <c r="J42" s="18" t="s">
        <v>211</v>
      </c>
      <c r="K42">
        <v>1.6E-2</v>
      </c>
    </row>
    <row r="43" spans="1:11" x14ac:dyDescent="0.25">
      <c r="G43" s="18" t="s">
        <v>232</v>
      </c>
      <c r="H43" s="18" t="s">
        <v>181</v>
      </c>
      <c r="I43">
        <v>1000</v>
      </c>
      <c r="J43" s="18" t="s">
        <v>211</v>
      </c>
      <c r="K43">
        <v>1.6E-2</v>
      </c>
    </row>
    <row r="44" spans="1:11" x14ac:dyDescent="0.25">
      <c r="G44" s="18" t="s">
        <v>233</v>
      </c>
      <c r="H44" s="18" t="s">
        <v>181</v>
      </c>
      <c r="I44">
        <v>1000</v>
      </c>
      <c r="J44" s="18" t="s">
        <v>211</v>
      </c>
      <c r="K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workbookViewId="0"/>
  </sheetViews>
  <sheetFormatPr defaultRowHeight="15" x14ac:dyDescent="0.25"/>
  <cols>
    <col min="1" max="1" width="68.42578125" bestFit="1" customWidth="1"/>
    <col min="2" max="2" width="26.140625" bestFit="1" customWidth="1"/>
    <col min="3" max="3" width="18.28515625" bestFit="1" customWidth="1"/>
    <col min="4" max="4" width="7" bestFit="1" customWidth="1"/>
    <col min="5" max="5" width="14.85546875" bestFit="1" customWidth="1"/>
  </cols>
  <sheetData>
    <row r="1" spans="1:8" x14ac:dyDescent="0.25">
      <c r="A1" t="s">
        <v>326</v>
      </c>
      <c r="B1" t="s">
        <v>180</v>
      </c>
      <c r="C1" t="s">
        <v>181</v>
      </c>
      <c r="D1" t="s">
        <v>182</v>
      </c>
      <c r="E1" t="s">
        <v>266</v>
      </c>
    </row>
    <row r="2" spans="1:8" x14ac:dyDescent="0.25">
      <c r="B2" s="18" t="s">
        <v>183</v>
      </c>
      <c r="E2">
        <v>500</v>
      </c>
    </row>
    <row r="3" spans="1:8" x14ac:dyDescent="0.25">
      <c r="B3" s="18" t="s">
        <v>184</v>
      </c>
    </row>
    <row r="4" spans="1:8" x14ac:dyDescent="0.25">
      <c r="B4" s="18" t="s">
        <v>185</v>
      </c>
    </row>
    <row r="5" spans="1:8" x14ac:dyDescent="0.25">
      <c r="B5" s="18" t="s">
        <v>186</v>
      </c>
    </row>
    <row r="6" spans="1:8" x14ac:dyDescent="0.25">
      <c r="B6" s="18" t="s">
        <v>187</v>
      </c>
    </row>
    <row r="7" spans="1:8" x14ac:dyDescent="0.25">
      <c r="B7" s="18" t="s">
        <v>188</v>
      </c>
    </row>
    <row r="12" spans="1:8" x14ac:dyDescent="0.25">
      <c r="B12" t="s">
        <v>280</v>
      </c>
      <c r="C12" t="s">
        <v>57</v>
      </c>
      <c r="E12" s="38" t="s">
        <v>266</v>
      </c>
    </row>
    <row r="13" spans="1:8" x14ac:dyDescent="0.25">
      <c r="A13" t="s">
        <v>311</v>
      </c>
      <c r="B13" s="41" t="s">
        <v>432</v>
      </c>
      <c r="C13" s="41" t="s">
        <v>433</v>
      </c>
      <c r="E13">
        <f>IF(LEFT(RBC_Personal_Accounts[[#This Row],[If Balance is]],1)&lt;&gt;"$",0,VALUE(LEFT(RBC_Personal_Accounts[[#This Row],[If Balance is]],FIND(" ",RBC_Personal_Accounts[[#This Row],[If Balance is]]))))</f>
        <v>0</v>
      </c>
      <c r="H13">
        <v>157</v>
      </c>
    </row>
    <row r="14" spans="1:8" x14ac:dyDescent="0.25">
      <c r="B14" s="41" t="s">
        <v>434</v>
      </c>
      <c r="C14" s="41" t="s">
        <v>433</v>
      </c>
      <c r="E14" s="41">
        <f>IF(LEFT(RBC_Personal_Accounts[[#This Row],[If Balance is]],1)&lt;&gt;"$",0,VALUE(LEFT(RBC_Personal_Accounts[[#This Row],[If Balance is]],FIND(" ",RBC_Personal_Accounts[[#This Row],[If Balance is]]))))</f>
        <v>1000</v>
      </c>
      <c r="H14">
        <v>156</v>
      </c>
    </row>
    <row r="15" spans="1:8" x14ac:dyDescent="0.25">
      <c r="B15" s="41" t="s">
        <v>435</v>
      </c>
      <c r="C15" s="41" t="s">
        <v>433</v>
      </c>
      <c r="E15" s="41">
        <f>IF(LEFT(RBC_Personal_Accounts[[#This Row],[If Balance is]],1)&lt;&gt;"$",0,VALUE(LEFT(RBC_Personal_Accounts[[#This Row],[If Balance is]],FIND(" ",RBC_Personal_Accounts[[#This Row],[If Balance is]]))))</f>
        <v>3000</v>
      </c>
      <c r="H15">
        <v>155</v>
      </c>
    </row>
    <row r="16" spans="1:8" x14ac:dyDescent="0.25">
      <c r="B16" s="41" t="s">
        <v>436</v>
      </c>
      <c r="C16" s="41" t="s">
        <v>437</v>
      </c>
      <c r="E16" s="41">
        <f>IF(LEFT(RBC_Personal_Accounts[[#This Row],[If Balance is]],1)&lt;&gt;"$",0,VALUE(LEFT(RBC_Personal_Accounts[[#This Row],[If Balance is]],FIND(" ",RBC_Personal_Accounts[[#This Row],[If Balance is]]))))</f>
        <v>5000</v>
      </c>
      <c r="H16">
        <v>154</v>
      </c>
    </row>
    <row r="17" spans="1:9" x14ac:dyDescent="0.25">
      <c r="B17" s="41" t="s">
        <v>59</v>
      </c>
      <c r="C17" s="41" t="s">
        <v>437</v>
      </c>
      <c r="E17" s="41">
        <f>IF(LEFT(RBC_Personal_Accounts[[#This Row],[If Balance is]],1)&lt;&gt;"$",0,VALUE(LEFT(RBC_Personal_Accounts[[#This Row],[If Balance is]],FIND(" ",RBC_Personal_Accounts[[#This Row],[If Balance is]]))))</f>
        <v>25000</v>
      </c>
      <c r="H17">
        <v>153</v>
      </c>
    </row>
    <row r="18" spans="1:9" x14ac:dyDescent="0.25">
      <c r="B18" s="41" t="s">
        <v>438</v>
      </c>
      <c r="C18" s="41" t="s">
        <v>439</v>
      </c>
      <c r="E18" s="41">
        <f>IF(LEFT(RBC_Personal_Accounts[[#This Row],[If Balance is]],1)&lt;&gt;"$",0,VALUE(LEFT(RBC_Personal_Accounts[[#This Row],[If Balance is]],FIND(" ",RBC_Personal_Accounts[[#This Row],[If Balance is]]))))</f>
        <v>60000</v>
      </c>
      <c r="H18">
        <v>152</v>
      </c>
    </row>
    <row r="19" spans="1:9" x14ac:dyDescent="0.25">
      <c r="A19" t="s">
        <v>310</v>
      </c>
      <c r="B19" s="41" t="s">
        <v>432</v>
      </c>
      <c r="C19" s="41" t="s">
        <v>433</v>
      </c>
      <c r="E19" s="41">
        <f>IF(LEFT(RBC_Personal_Accounts[[#This Row],[If Balance is]],1)&lt;&gt;"$",0,VALUE(LEFT(RBC_Personal_Accounts[[#This Row],[If Balance is]],FIND(" ",RBC_Personal_Accounts[[#This Row],[If Balance is]]))))</f>
        <v>0</v>
      </c>
      <c r="H19">
        <v>151</v>
      </c>
      <c r="I19" t="s">
        <v>311</v>
      </c>
    </row>
    <row r="20" spans="1:9" x14ac:dyDescent="0.25">
      <c r="B20" s="41" t="s">
        <v>434</v>
      </c>
      <c r="C20" s="41" t="s">
        <v>433</v>
      </c>
      <c r="E20" s="41">
        <f>IF(LEFT(RBC_Personal_Accounts[[#This Row],[If Balance is]],1)&lt;&gt;"$",0,VALUE(LEFT(RBC_Personal_Accounts[[#This Row],[If Balance is]],FIND(" ",RBC_Personal_Accounts[[#This Row],[If Balance is]]))))</f>
        <v>1000</v>
      </c>
      <c r="H20">
        <v>150</v>
      </c>
    </row>
    <row r="21" spans="1:9" x14ac:dyDescent="0.25">
      <c r="B21" s="41" t="s">
        <v>435</v>
      </c>
      <c r="C21" s="41" t="s">
        <v>437</v>
      </c>
      <c r="E21" s="41">
        <f>IF(LEFT(RBC_Personal_Accounts[[#This Row],[If Balance is]],1)&lt;&gt;"$",0,VALUE(LEFT(RBC_Personal_Accounts[[#This Row],[If Balance is]],FIND(" ",RBC_Personal_Accounts[[#This Row],[If Balance is]]))))</f>
        <v>3000</v>
      </c>
      <c r="H21">
        <v>149</v>
      </c>
    </row>
    <row r="22" spans="1:9" x14ac:dyDescent="0.25">
      <c r="B22" s="41" t="s">
        <v>61</v>
      </c>
      <c r="C22" s="41" t="s">
        <v>439</v>
      </c>
      <c r="E22" s="41">
        <f>IF(LEFT(RBC_Personal_Accounts[[#This Row],[If Balance is]],1)&lt;&gt;"$",0,VALUE(LEFT(RBC_Personal_Accounts[[#This Row],[If Balance is]],FIND(" ",RBC_Personal_Accounts[[#This Row],[If Balance is]]))))</f>
        <v>5000</v>
      </c>
      <c r="H22">
        <v>148</v>
      </c>
    </row>
    <row r="23" spans="1:9" x14ac:dyDescent="0.25">
      <c r="A23" t="s">
        <v>309</v>
      </c>
      <c r="B23" s="41" t="s">
        <v>432</v>
      </c>
      <c r="C23" s="41" t="s">
        <v>440</v>
      </c>
      <c r="E23" s="41">
        <f>IF(LEFT(RBC_Personal_Accounts[[#This Row],[If Balance is]],1)&lt;&gt;"$",0,VALUE(LEFT(RBC_Personal_Accounts[[#This Row],[If Balance is]],FIND(" ",RBC_Personal_Accounts[[#This Row],[If Balance is]]))))</f>
        <v>0</v>
      </c>
      <c r="H23">
        <v>147</v>
      </c>
      <c r="I23" t="s">
        <v>310</v>
      </c>
    </row>
    <row r="24" spans="1:9" x14ac:dyDescent="0.25">
      <c r="B24" s="41" t="s">
        <v>434</v>
      </c>
      <c r="C24" s="41" t="s">
        <v>441</v>
      </c>
      <c r="E24" s="41">
        <f>IF(LEFT(RBC_Personal_Accounts[[#This Row],[If Balance is]],1)&lt;&gt;"$",0,VALUE(LEFT(RBC_Personal_Accounts[[#This Row],[If Balance is]],FIND(" ",RBC_Personal_Accounts[[#This Row],[If Balance is]]))))</f>
        <v>1000</v>
      </c>
      <c r="H24">
        <v>146</v>
      </c>
    </row>
    <row r="25" spans="1:9" x14ac:dyDescent="0.25">
      <c r="B25" s="41" t="s">
        <v>435</v>
      </c>
      <c r="C25" s="41" t="s">
        <v>442</v>
      </c>
      <c r="E25" s="41">
        <f>IF(LEFT(RBC_Personal_Accounts[[#This Row],[If Balance is]],1)&lt;&gt;"$",0,VALUE(LEFT(RBC_Personal_Accounts[[#This Row],[If Balance is]],FIND(" ",RBC_Personal_Accounts[[#This Row],[If Balance is]]))))</f>
        <v>3000</v>
      </c>
      <c r="H25">
        <v>145</v>
      </c>
    </row>
    <row r="26" spans="1:9" x14ac:dyDescent="0.25">
      <c r="B26" s="41" t="s">
        <v>61</v>
      </c>
      <c r="C26" s="41" t="s">
        <v>442</v>
      </c>
      <c r="E26" s="41">
        <f>IF(LEFT(RBC_Personal_Accounts[[#This Row],[If Balance is]],1)&lt;&gt;"$",0,VALUE(LEFT(RBC_Personal_Accounts[[#This Row],[If Balance is]],FIND(" ",RBC_Personal_Accounts[[#This Row],[If Balance is]]))))</f>
        <v>5000</v>
      </c>
      <c r="H26">
        <v>144</v>
      </c>
    </row>
    <row r="27" spans="1:9" x14ac:dyDescent="0.25">
      <c r="A27" t="s">
        <v>308</v>
      </c>
      <c r="B27" s="41" t="s">
        <v>443</v>
      </c>
      <c r="C27" s="41" t="s">
        <v>433</v>
      </c>
      <c r="E27" s="41">
        <f>IF(LEFT(RBC_Personal_Accounts[[#This Row],[If Balance is]],1)&lt;&gt;"$",0,VALUE(LEFT(RBC_Personal_Accounts[[#This Row],[If Balance is]],FIND(" ",RBC_Personal_Accounts[[#This Row],[If Balance is]]))))</f>
        <v>0</v>
      </c>
      <c r="H27">
        <v>143</v>
      </c>
      <c r="I27" t="s">
        <v>309</v>
      </c>
    </row>
    <row r="28" spans="1:9" x14ac:dyDescent="0.25">
      <c r="B28" s="41" t="s">
        <v>444</v>
      </c>
      <c r="C28" s="41" t="s">
        <v>437</v>
      </c>
      <c r="E28" s="41">
        <f>IF(LEFT(RBC_Personal_Accounts[[#This Row],[If Balance is]],1)&lt;&gt;"$",0,VALUE(LEFT(RBC_Personal_Accounts[[#This Row],[If Balance is]],FIND(" ",RBC_Personal_Accounts[[#This Row],[If Balance is]]))))</f>
        <v>5000</v>
      </c>
      <c r="H28">
        <v>142</v>
      </c>
    </row>
    <row r="29" spans="1:9" x14ac:dyDescent="0.25">
      <c r="B29" s="41" t="s">
        <v>60</v>
      </c>
      <c r="C29" s="41" t="s">
        <v>440</v>
      </c>
      <c r="E29" s="41">
        <f>IF(LEFT(RBC_Personal_Accounts[[#This Row],[If Balance is]],1)&lt;&gt;"$",0,VALUE(LEFT(RBC_Personal_Accounts[[#This Row],[If Balance is]],FIND(" ",RBC_Personal_Accounts[[#This Row],[If Balance is]]))))</f>
        <v>10000</v>
      </c>
      <c r="H29">
        <v>141</v>
      </c>
    </row>
    <row r="30" spans="1:9" x14ac:dyDescent="0.25">
      <c r="B30" s="41" t="s">
        <v>59</v>
      </c>
      <c r="C30" s="41" t="s">
        <v>441</v>
      </c>
      <c r="E30" s="41">
        <f>IF(LEFT(RBC_Personal_Accounts[[#This Row],[If Balance is]],1)&lt;&gt;"$",0,VALUE(LEFT(RBC_Personal_Accounts[[#This Row],[If Balance is]],FIND(" ",RBC_Personal_Accounts[[#This Row],[If Balance is]]))))</f>
        <v>25000</v>
      </c>
      <c r="H30">
        <v>140</v>
      </c>
    </row>
    <row r="31" spans="1:9" x14ac:dyDescent="0.25">
      <c r="B31" s="41" t="s">
        <v>58</v>
      </c>
      <c r="C31" s="41" t="s">
        <v>445</v>
      </c>
      <c r="E31" s="41">
        <f>IF(LEFT(RBC_Personal_Accounts[[#This Row],[If Balance is]],1)&lt;&gt;"$",0,VALUE(LEFT(RBC_Personal_Accounts[[#This Row],[If Balance is]],FIND(" ",RBC_Personal_Accounts[[#This Row],[If Balance is]]))))</f>
        <v>60000</v>
      </c>
      <c r="H31">
        <v>139</v>
      </c>
    </row>
    <row r="32" spans="1:9" x14ac:dyDescent="0.25">
      <c r="B32" s="41" t="s">
        <v>446</v>
      </c>
      <c r="C32" s="41" t="s">
        <v>447</v>
      </c>
      <c r="E32" s="41">
        <f>IF(LEFT(RBC_Personal_Accounts[[#This Row],[If Balance is]],1)&lt;&gt;"$",0,VALUE(LEFT(RBC_Personal_Accounts[[#This Row],[If Balance is]],FIND(" ",RBC_Personal_Accounts[[#This Row],[If Balance is]]))))</f>
        <v>100000</v>
      </c>
      <c r="H32">
        <v>138</v>
      </c>
    </row>
    <row r="33" spans="1:9" x14ac:dyDescent="0.25">
      <c r="B33" s="41" t="s">
        <v>448</v>
      </c>
      <c r="C33" s="41" t="s">
        <v>449</v>
      </c>
      <c r="E33" s="41">
        <f>IF(LEFT(RBC_Personal_Accounts[[#This Row],[If Balance is]],1)&lt;&gt;"$",0,VALUE(LEFT(RBC_Personal_Accounts[[#This Row],[If Balance is]],FIND(" ",RBC_Personal_Accounts[[#This Row],[If Balance is]]))))</f>
        <v>150000</v>
      </c>
      <c r="H33">
        <v>137</v>
      </c>
    </row>
    <row r="34" spans="1:9" x14ac:dyDescent="0.25">
      <c r="B34" s="41" t="s">
        <v>450</v>
      </c>
      <c r="C34" s="41" t="s">
        <v>449</v>
      </c>
      <c r="E34" s="41">
        <f>IF(LEFT(RBC_Personal_Accounts[[#This Row],[If Balance is]],1)&lt;&gt;"$",0,VALUE(LEFT(RBC_Personal_Accounts[[#This Row],[If Balance is]],FIND(" ",RBC_Personal_Accounts[[#This Row],[If Balance is]]))))</f>
        <v>250000</v>
      </c>
      <c r="H34">
        <v>136</v>
      </c>
    </row>
    <row r="35" spans="1:9" x14ac:dyDescent="0.25">
      <c r="A35" t="s">
        <v>307</v>
      </c>
      <c r="B35" s="41" t="s">
        <v>451</v>
      </c>
      <c r="C35" s="41" t="s">
        <v>440</v>
      </c>
      <c r="E35" s="41">
        <f>IF(LEFT(RBC_Personal_Accounts[[#This Row],[If Balance is]],1)&lt;&gt;"$",0,VALUE(LEFT(RBC_Personal_Accounts[[#This Row],[If Balance is]],FIND(" ",RBC_Personal_Accounts[[#This Row],[If Balance is]]))))</f>
        <v>0</v>
      </c>
      <c r="H35">
        <v>135</v>
      </c>
      <c r="I35" t="s">
        <v>308</v>
      </c>
    </row>
    <row r="36" spans="1:9" x14ac:dyDescent="0.25">
      <c r="B36" s="41" t="s">
        <v>452</v>
      </c>
      <c r="C36" s="41" t="s">
        <v>440</v>
      </c>
      <c r="E36" s="41">
        <f>IF(LEFT(RBC_Personal_Accounts[[#This Row],[If Balance is]],1)&lt;&gt;"$",0,VALUE(LEFT(RBC_Personal_Accounts[[#This Row],[If Balance is]],FIND(" ",RBC_Personal_Accounts[[#This Row],[If Balance is]]))))</f>
        <v>1000</v>
      </c>
      <c r="H36">
        <v>134</v>
      </c>
    </row>
    <row r="37" spans="1:9" x14ac:dyDescent="0.25">
      <c r="B37" s="41" t="s">
        <v>453</v>
      </c>
      <c r="C37" s="41" t="s">
        <v>440</v>
      </c>
      <c r="E37" s="41">
        <f>IF(LEFT(RBC_Personal_Accounts[[#This Row],[If Balance is]],1)&lt;&gt;"$",0,VALUE(LEFT(RBC_Personal_Accounts[[#This Row],[If Balance is]],FIND(" ",RBC_Personal_Accounts[[#This Row],[If Balance is]]))))</f>
        <v>3000</v>
      </c>
      <c r="H37">
        <v>133</v>
      </c>
    </row>
    <row r="38" spans="1:9" x14ac:dyDescent="0.25">
      <c r="B38" s="41" t="s">
        <v>454</v>
      </c>
      <c r="C38" s="41" t="s">
        <v>440</v>
      </c>
      <c r="E38" s="41">
        <f>IF(LEFT(RBC_Personal_Accounts[[#This Row],[If Balance is]],1)&lt;&gt;"$",0,VALUE(LEFT(RBC_Personal_Accounts[[#This Row],[If Balance is]],FIND(" ",RBC_Personal_Accounts[[#This Row],[If Balance is]]))))</f>
        <v>5000</v>
      </c>
      <c r="H38">
        <v>132</v>
      </c>
    </row>
    <row r="39" spans="1:9" x14ac:dyDescent="0.25">
      <c r="B39" s="41" t="s">
        <v>455</v>
      </c>
      <c r="C39" s="41" t="s">
        <v>440</v>
      </c>
      <c r="E39" s="41">
        <f>IF(LEFT(RBC_Personal_Accounts[[#This Row],[If Balance is]],1)&lt;&gt;"$",0,VALUE(LEFT(RBC_Personal_Accounts[[#This Row],[If Balance is]],FIND(" ",RBC_Personal_Accounts[[#This Row],[If Balance is]]))))</f>
        <v>10000</v>
      </c>
      <c r="H39">
        <v>131</v>
      </c>
    </row>
    <row r="40" spans="1:9" x14ac:dyDescent="0.25">
      <c r="B40" s="41" t="s">
        <v>456</v>
      </c>
      <c r="C40" s="41" t="s">
        <v>440</v>
      </c>
      <c r="E40" s="41">
        <f>IF(LEFT(RBC_Personal_Accounts[[#This Row],[If Balance is]],1)&lt;&gt;"$",0,VALUE(LEFT(RBC_Personal_Accounts[[#This Row],[If Balance is]],FIND(" ",RBC_Personal_Accounts[[#This Row],[If Balance is]]))))</f>
        <v>25000</v>
      </c>
      <c r="H40">
        <v>130</v>
      </c>
    </row>
    <row r="41" spans="1:9" x14ac:dyDescent="0.25">
      <c r="B41" s="41" t="s">
        <v>457</v>
      </c>
      <c r="C41" s="41" t="s">
        <v>458</v>
      </c>
      <c r="E41" s="41">
        <f>IF(LEFT(RBC_Personal_Accounts[[#This Row],[If Balance is]],1)&lt;&gt;"$",0,VALUE(LEFT(RBC_Personal_Accounts[[#This Row],[If Balance is]],FIND(" ",RBC_Personal_Accounts[[#This Row],[If Balance is]]))))</f>
        <v>60000</v>
      </c>
      <c r="H41">
        <v>129</v>
      </c>
    </row>
    <row r="42" spans="1:9" x14ac:dyDescent="0.25">
      <c r="B42" s="41" t="s">
        <v>459</v>
      </c>
      <c r="C42" s="41" t="s">
        <v>458</v>
      </c>
      <c r="E42" s="41">
        <f>IF(LEFT(RBC_Personal_Accounts[[#This Row],[If Balance is]],1)&lt;&gt;"$",0,VALUE(LEFT(RBC_Personal_Accounts[[#This Row],[If Balance is]],FIND(" ",RBC_Personal_Accounts[[#This Row],[If Balance is]]))))</f>
        <v>100000</v>
      </c>
      <c r="H42">
        <v>128</v>
      </c>
    </row>
    <row r="43" spans="1:9" x14ac:dyDescent="0.25">
      <c r="B43" s="41" t="s">
        <v>460</v>
      </c>
      <c r="C43" s="41" t="s">
        <v>458</v>
      </c>
      <c r="E43" s="41">
        <f>IF(LEFT(RBC_Personal_Accounts[[#This Row],[If Balance is]],1)&lt;&gt;"$",0,VALUE(LEFT(RBC_Personal_Accounts[[#This Row],[If Balance is]],FIND(" ",RBC_Personal_Accounts[[#This Row],[If Balance is]]))))</f>
        <v>150000</v>
      </c>
      <c r="H43">
        <v>127</v>
      </c>
    </row>
    <row r="44" spans="1:9" x14ac:dyDescent="0.25">
      <c r="B44" s="41" t="s">
        <v>450</v>
      </c>
      <c r="C44" s="41" t="s">
        <v>458</v>
      </c>
      <c r="E44" s="41">
        <f>IF(LEFT(RBC_Personal_Accounts[[#This Row],[If Balance is]],1)&lt;&gt;"$",0,VALUE(LEFT(RBC_Personal_Accounts[[#This Row],[If Balance is]],FIND(" ",RBC_Personal_Accounts[[#This Row],[If Balance is]]))))</f>
        <v>250000</v>
      </c>
      <c r="H44">
        <v>126</v>
      </c>
    </row>
    <row r="45" spans="1:9" x14ac:dyDescent="0.25">
      <c r="A45" t="s">
        <v>306</v>
      </c>
      <c r="B45" s="41" t="s">
        <v>432</v>
      </c>
      <c r="C45" s="41" t="s">
        <v>433</v>
      </c>
      <c r="E45" s="41">
        <f>IF(LEFT(RBC_Personal_Accounts[[#This Row],[If Balance is]],1)&lt;&gt;"$",0,VALUE(LEFT(RBC_Personal_Accounts[[#This Row],[If Balance is]],FIND(" ",RBC_Personal_Accounts[[#This Row],[If Balance is]]))))</f>
        <v>0</v>
      </c>
      <c r="H45">
        <v>125</v>
      </c>
      <c r="I45" t="s">
        <v>307</v>
      </c>
    </row>
    <row r="46" spans="1:9" x14ac:dyDescent="0.25">
      <c r="B46" s="41" t="s">
        <v>434</v>
      </c>
      <c r="C46" s="41" t="s">
        <v>433</v>
      </c>
      <c r="E46" s="41">
        <f>IF(LEFT(RBC_Personal_Accounts[[#This Row],[If Balance is]],1)&lt;&gt;"$",0,VALUE(LEFT(RBC_Personal_Accounts[[#This Row],[If Balance is]],FIND(" ",RBC_Personal_Accounts[[#This Row],[If Balance is]]))))</f>
        <v>1000</v>
      </c>
      <c r="H46">
        <v>124</v>
      </c>
    </row>
    <row r="47" spans="1:9" x14ac:dyDescent="0.25">
      <c r="B47" s="41" t="s">
        <v>435</v>
      </c>
      <c r="C47" s="41" t="s">
        <v>433</v>
      </c>
      <c r="E47" s="41">
        <f>IF(LEFT(RBC_Personal_Accounts[[#This Row],[If Balance is]],1)&lt;&gt;"$",0,VALUE(LEFT(RBC_Personal_Accounts[[#This Row],[If Balance is]],FIND(" ",RBC_Personal_Accounts[[#This Row],[If Balance is]]))))</f>
        <v>3000</v>
      </c>
      <c r="H47">
        <v>123</v>
      </c>
    </row>
    <row r="48" spans="1:9" x14ac:dyDescent="0.25">
      <c r="B48" s="41" t="s">
        <v>436</v>
      </c>
      <c r="C48" s="41" t="s">
        <v>437</v>
      </c>
      <c r="E48" s="41">
        <f>IF(LEFT(RBC_Personal_Accounts[[#This Row],[If Balance is]],1)&lt;&gt;"$",0,VALUE(LEFT(RBC_Personal_Accounts[[#This Row],[If Balance is]],FIND(" ",RBC_Personal_Accounts[[#This Row],[If Balance is]]))))</f>
        <v>5000</v>
      </c>
      <c r="H48">
        <v>122</v>
      </c>
    </row>
    <row r="49" spans="1:9" x14ac:dyDescent="0.25">
      <c r="B49" s="41" t="s">
        <v>59</v>
      </c>
      <c r="C49" s="41" t="s">
        <v>437</v>
      </c>
      <c r="E49" s="41">
        <f>IF(LEFT(RBC_Personal_Accounts[[#This Row],[If Balance is]],1)&lt;&gt;"$",0,VALUE(LEFT(RBC_Personal_Accounts[[#This Row],[If Balance is]],FIND(" ",RBC_Personal_Accounts[[#This Row],[If Balance is]]))))</f>
        <v>25000</v>
      </c>
      <c r="H49">
        <v>121</v>
      </c>
    </row>
    <row r="50" spans="1:9" x14ac:dyDescent="0.25">
      <c r="B50" s="41" t="s">
        <v>438</v>
      </c>
      <c r="C50" s="41" t="s">
        <v>439</v>
      </c>
      <c r="E50" s="41">
        <f>IF(LEFT(RBC_Personal_Accounts[[#This Row],[If Balance is]],1)&lt;&gt;"$",0,VALUE(LEFT(RBC_Personal_Accounts[[#This Row],[If Balance is]],FIND(" ",RBC_Personal_Accounts[[#This Row],[If Balance is]]))))</f>
        <v>60000</v>
      </c>
      <c r="H50">
        <v>120</v>
      </c>
    </row>
    <row r="51" spans="1:9" x14ac:dyDescent="0.25">
      <c r="A51" t="s">
        <v>305</v>
      </c>
      <c r="B51" s="41" t="s">
        <v>443</v>
      </c>
      <c r="C51" s="41" t="s">
        <v>433</v>
      </c>
      <c r="E51" s="41">
        <f>IF(LEFT(RBC_Personal_Accounts[[#This Row],[If Balance is]],1)&lt;&gt;"$",0,VALUE(LEFT(RBC_Personal_Accounts[[#This Row],[If Balance is]],FIND(" ",RBC_Personal_Accounts[[#This Row],[If Balance is]]))))</f>
        <v>0</v>
      </c>
      <c r="H51">
        <v>119</v>
      </c>
      <c r="I51" t="s">
        <v>306</v>
      </c>
    </row>
    <row r="52" spans="1:9" x14ac:dyDescent="0.25">
      <c r="B52" s="41" t="s">
        <v>444</v>
      </c>
      <c r="C52" s="41" t="s">
        <v>437</v>
      </c>
      <c r="E52" s="41">
        <f>IF(LEFT(RBC_Personal_Accounts[[#This Row],[If Balance is]],1)&lt;&gt;"$",0,VALUE(LEFT(RBC_Personal_Accounts[[#This Row],[If Balance is]],FIND(" ",RBC_Personal_Accounts[[#This Row],[If Balance is]]))))</f>
        <v>5000</v>
      </c>
      <c r="H52">
        <v>118</v>
      </c>
    </row>
    <row r="53" spans="1:9" x14ac:dyDescent="0.25">
      <c r="B53" s="41" t="s">
        <v>60</v>
      </c>
      <c r="C53" s="41" t="s">
        <v>440</v>
      </c>
      <c r="E53" s="41">
        <f>IF(LEFT(RBC_Personal_Accounts[[#This Row],[If Balance is]],1)&lt;&gt;"$",0,VALUE(LEFT(RBC_Personal_Accounts[[#This Row],[If Balance is]],FIND(" ",RBC_Personal_Accounts[[#This Row],[If Balance is]]))))</f>
        <v>10000</v>
      </c>
      <c r="H53">
        <v>117</v>
      </c>
    </row>
    <row r="54" spans="1:9" x14ac:dyDescent="0.25">
      <c r="B54" s="41" t="s">
        <v>59</v>
      </c>
      <c r="C54" s="41" t="s">
        <v>441</v>
      </c>
      <c r="E54" s="41">
        <f>IF(LEFT(RBC_Personal_Accounts[[#This Row],[If Balance is]],1)&lt;&gt;"$",0,VALUE(LEFT(RBC_Personal_Accounts[[#This Row],[If Balance is]],FIND(" ",RBC_Personal_Accounts[[#This Row],[If Balance is]]))))</f>
        <v>25000</v>
      </c>
      <c r="H54">
        <v>116</v>
      </c>
    </row>
    <row r="55" spans="1:9" x14ac:dyDescent="0.25">
      <c r="B55" s="41" t="s">
        <v>58</v>
      </c>
      <c r="C55" s="41" t="s">
        <v>445</v>
      </c>
      <c r="E55" s="41">
        <f>IF(LEFT(RBC_Personal_Accounts[[#This Row],[If Balance is]],1)&lt;&gt;"$",0,VALUE(LEFT(RBC_Personal_Accounts[[#This Row],[If Balance is]],FIND(" ",RBC_Personal_Accounts[[#This Row],[If Balance is]]))))</f>
        <v>60000</v>
      </c>
      <c r="H55">
        <v>115</v>
      </c>
    </row>
    <row r="56" spans="1:9" x14ac:dyDescent="0.25">
      <c r="B56" s="41" t="s">
        <v>446</v>
      </c>
      <c r="C56" s="41" t="s">
        <v>447</v>
      </c>
      <c r="E56" s="41">
        <f>IF(LEFT(RBC_Personal_Accounts[[#This Row],[If Balance is]],1)&lt;&gt;"$",0,VALUE(LEFT(RBC_Personal_Accounts[[#This Row],[If Balance is]],FIND(" ",RBC_Personal_Accounts[[#This Row],[If Balance is]]))))</f>
        <v>100000</v>
      </c>
      <c r="H56">
        <v>114</v>
      </c>
    </row>
    <row r="57" spans="1:9" x14ac:dyDescent="0.25">
      <c r="B57" s="41" t="s">
        <v>448</v>
      </c>
      <c r="C57" s="41" t="s">
        <v>449</v>
      </c>
      <c r="E57" s="41">
        <f>IF(LEFT(RBC_Personal_Accounts[[#This Row],[If Balance is]],1)&lt;&gt;"$",0,VALUE(LEFT(RBC_Personal_Accounts[[#This Row],[If Balance is]],FIND(" ",RBC_Personal_Accounts[[#This Row],[If Balance is]]))))</f>
        <v>150000</v>
      </c>
      <c r="H57">
        <v>113</v>
      </c>
    </row>
    <row r="58" spans="1:9" x14ac:dyDescent="0.25">
      <c r="B58" s="41" t="s">
        <v>450</v>
      </c>
      <c r="C58" s="41" t="s">
        <v>449</v>
      </c>
      <c r="E58" s="41">
        <f>IF(LEFT(RBC_Personal_Accounts[[#This Row],[If Balance is]],1)&lt;&gt;"$",0,VALUE(LEFT(RBC_Personal_Accounts[[#This Row],[If Balance is]],FIND(" ",RBC_Personal_Accounts[[#This Row],[If Balance is]]))))</f>
        <v>250000</v>
      </c>
      <c r="H58">
        <v>112</v>
      </c>
    </row>
    <row r="59" spans="1:9" x14ac:dyDescent="0.25">
      <c r="A59" t="s">
        <v>304</v>
      </c>
      <c r="B59" s="41" t="s">
        <v>432</v>
      </c>
      <c r="C59" s="41" t="s">
        <v>440</v>
      </c>
      <c r="E59" s="41">
        <f>IF(LEFT(RBC_Personal_Accounts[[#This Row],[If Balance is]],1)&lt;&gt;"$",0,VALUE(LEFT(RBC_Personal_Accounts[[#This Row],[If Balance is]],FIND(" ",RBC_Personal_Accounts[[#This Row],[If Balance is]]))))</f>
        <v>0</v>
      </c>
      <c r="H59">
        <v>111</v>
      </c>
      <c r="I59" t="s">
        <v>305</v>
      </c>
    </row>
    <row r="60" spans="1:9" x14ac:dyDescent="0.25">
      <c r="B60" s="41" t="s">
        <v>434</v>
      </c>
      <c r="C60" s="41" t="s">
        <v>441</v>
      </c>
      <c r="E60" s="41">
        <f>IF(LEFT(RBC_Personal_Accounts[[#This Row],[If Balance is]],1)&lt;&gt;"$",0,VALUE(LEFT(RBC_Personal_Accounts[[#This Row],[If Balance is]],FIND(" ",RBC_Personal_Accounts[[#This Row],[If Balance is]]))))</f>
        <v>1000</v>
      </c>
      <c r="H60">
        <v>110</v>
      </c>
    </row>
    <row r="61" spans="1:9" x14ac:dyDescent="0.25">
      <c r="B61" s="41" t="s">
        <v>435</v>
      </c>
      <c r="C61" s="41" t="s">
        <v>442</v>
      </c>
      <c r="E61" s="41">
        <f>IF(LEFT(RBC_Personal_Accounts[[#This Row],[If Balance is]],1)&lt;&gt;"$",0,VALUE(LEFT(RBC_Personal_Accounts[[#This Row],[If Balance is]],FIND(" ",RBC_Personal_Accounts[[#This Row],[If Balance is]]))))</f>
        <v>3000</v>
      </c>
      <c r="H61">
        <v>109</v>
      </c>
    </row>
    <row r="62" spans="1:9" x14ac:dyDescent="0.25">
      <c r="B62" s="41" t="s">
        <v>61</v>
      </c>
      <c r="C62" s="41" t="s">
        <v>442</v>
      </c>
      <c r="E62" s="41">
        <f>IF(LEFT(RBC_Personal_Accounts[[#This Row],[If Balance is]],1)&lt;&gt;"$",0,VALUE(LEFT(RBC_Personal_Accounts[[#This Row],[If Balance is]],FIND(" ",RBC_Personal_Accounts[[#This Row],[If Balance is]]))))</f>
        <v>5000</v>
      </c>
      <c r="H62">
        <v>108</v>
      </c>
    </row>
    <row r="63" spans="1:9" x14ac:dyDescent="0.25">
      <c r="A63" t="s">
        <v>303</v>
      </c>
      <c r="B63" s="41" t="s">
        <v>461</v>
      </c>
      <c r="C63" s="41" t="s">
        <v>433</v>
      </c>
      <c r="E63" s="41">
        <f>IF(LEFT(RBC_Personal_Accounts[[#This Row],[If Balance is]],1)&lt;&gt;"$",0,VALUE(LEFT(RBC_Personal_Accounts[[#This Row],[If Balance is]],FIND(" ",RBC_Personal_Accounts[[#This Row],[If Balance is]]))))</f>
        <v>0</v>
      </c>
      <c r="H63">
        <v>107</v>
      </c>
      <c r="I63" t="s">
        <v>304</v>
      </c>
    </row>
    <row r="64" spans="1:9" x14ac:dyDescent="0.25">
      <c r="B64" s="41" t="s">
        <v>462</v>
      </c>
      <c r="C64" s="41" t="s">
        <v>433</v>
      </c>
      <c r="E64" s="41">
        <f>IF(LEFT(RBC_Personal_Accounts[[#This Row],[If Balance is]],1)&lt;&gt;"$",0,VALUE(LEFT(RBC_Personal_Accounts[[#This Row],[If Balance is]],FIND(" ",RBC_Personal_Accounts[[#This Row],[If Balance is]]))))</f>
        <v>500</v>
      </c>
      <c r="H64">
        <v>106</v>
      </c>
    </row>
    <row r="65" spans="1:9" x14ac:dyDescent="0.25">
      <c r="B65" s="41" t="s">
        <v>434</v>
      </c>
      <c r="C65" s="41" t="s">
        <v>433</v>
      </c>
      <c r="E65" s="41">
        <f>IF(LEFT(RBC_Personal_Accounts[[#This Row],[If Balance is]],1)&lt;&gt;"$",0,VALUE(LEFT(RBC_Personal_Accounts[[#This Row],[If Balance is]],FIND(" ",RBC_Personal_Accounts[[#This Row],[If Balance is]]))))</f>
        <v>1000</v>
      </c>
      <c r="H65">
        <v>105</v>
      </c>
    </row>
    <row r="66" spans="1:9" x14ac:dyDescent="0.25">
      <c r="B66" s="41" t="s">
        <v>435</v>
      </c>
      <c r="C66" s="41" t="s">
        <v>437</v>
      </c>
      <c r="E66" s="41">
        <f>IF(LEFT(RBC_Personal_Accounts[[#This Row],[If Balance is]],1)&lt;&gt;"$",0,VALUE(LEFT(RBC_Personal_Accounts[[#This Row],[If Balance is]],FIND(" ",RBC_Personal_Accounts[[#This Row],[If Balance is]]))))</f>
        <v>3000</v>
      </c>
      <c r="H66">
        <v>104</v>
      </c>
    </row>
    <row r="67" spans="1:9" x14ac:dyDescent="0.25">
      <c r="B67" s="41" t="s">
        <v>61</v>
      </c>
      <c r="C67" s="41" t="s">
        <v>439</v>
      </c>
      <c r="E67" s="41">
        <f>IF(LEFT(RBC_Personal_Accounts[[#This Row],[If Balance is]],1)&lt;&gt;"$",0,VALUE(LEFT(RBC_Personal_Accounts[[#This Row],[If Balance is]],FIND(" ",RBC_Personal_Accounts[[#This Row],[If Balance is]]))))</f>
        <v>5000</v>
      </c>
      <c r="H67">
        <v>103</v>
      </c>
    </row>
    <row r="68" spans="1:9" x14ac:dyDescent="0.25">
      <c r="A68" t="s">
        <v>302</v>
      </c>
      <c r="B68" s="41" t="s">
        <v>432</v>
      </c>
      <c r="C68" s="41" t="s">
        <v>433</v>
      </c>
      <c r="E68" s="41">
        <f>IF(LEFT(RBC_Personal_Accounts[[#This Row],[If Balance is]],1)&lt;&gt;"$",0,VALUE(LEFT(RBC_Personal_Accounts[[#This Row],[If Balance is]],FIND(" ",RBC_Personal_Accounts[[#This Row],[If Balance is]]))))</f>
        <v>0</v>
      </c>
      <c r="H68">
        <v>102</v>
      </c>
      <c r="I68" t="s">
        <v>303</v>
      </c>
    </row>
    <row r="69" spans="1:9" x14ac:dyDescent="0.25">
      <c r="B69" s="41" t="s">
        <v>434</v>
      </c>
      <c r="C69" s="41" t="s">
        <v>433</v>
      </c>
      <c r="E69" s="41">
        <f>IF(LEFT(RBC_Personal_Accounts[[#This Row],[If Balance is]],1)&lt;&gt;"$",0,VALUE(LEFT(RBC_Personal_Accounts[[#This Row],[If Balance is]],FIND(" ",RBC_Personal_Accounts[[#This Row],[If Balance is]]))))</f>
        <v>1000</v>
      </c>
      <c r="H69">
        <v>101</v>
      </c>
    </row>
    <row r="70" spans="1:9" x14ac:dyDescent="0.25">
      <c r="B70" s="41" t="s">
        <v>435</v>
      </c>
      <c r="C70" s="41" t="s">
        <v>433</v>
      </c>
      <c r="E70" s="41">
        <f>IF(LEFT(RBC_Personal_Accounts[[#This Row],[If Balance is]],1)&lt;&gt;"$",0,VALUE(LEFT(RBC_Personal_Accounts[[#This Row],[If Balance is]],FIND(" ",RBC_Personal_Accounts[[#This Row],[If Balance is]]))))</f>
        <v>3000</v>
      </c>
      <c r="H70">
        <v>100</v>
      </c>
    </row>
    <row r="71" spans="1:9" x14ac:dyDescent="0.25">
      <c r="B71" s="41" t="s">
        <v>436</v>
      </c>
      <c r="C71" s="41" t="s">
        <v>437</v>
      </c>
      <c r="E71" s="41">
        <f>IF(LEFT(RBC_Personal_Accounts[[#This Row],[If Balance is]],1)&lt;&gt;"$",0,VALUE(LEFT(RBC_Personal_Accounts[[#This Row],[If Balance is]],FIND(" ",RBC_Personal_Accounts[[#This Row],[If Balance is]]))))</f>
        <v>5000</v>
      </c>
      <c r="H71">
        <v>99</v>
      </c>
    </row>
    <row r="72" spans="1:9" x14ac:dyDescent="0.25">
      <c r="B72" s="41" t="s">
        <v>59</v>
      </c>
      <c r="C72" s="41" t="s">
        <v>437</v>
      </c>
      <c r="E72" s="41">
        <f>IF(LEFT(RBC_Personal_Accounts[[#This Row],[If Balance is]],1)&lt;&gt;"$",0,VALUE(LEFT(RBC_Personal_Accounts[[#This Row],[If Balance is]],FIND(" ",RBC_Personal_Accounts[[#This Row],[If Balance is]]))))</f>
        <v>25000</v>
      </c>
      <c r="H72">
        <v>98</v>
      </c>
    </row>
    <row r="73" spans="1:9" x14ac:dyDescent="0.25">
      <c r="B73" s="41" t="s">
        <v>438</v>
      </c>
      <c r="C73" s="41" t="s">
        <v>439</v>
      </c>
      <c r="E73" s="41">
        <f>IF(LEFT(RBC_Personal_Accounts[[#This Row],[If Balance is]],1)&lt;&gt;"$",0,VALUE(LEFT(RBC_Personal_Accounts[[#This Row],[If Balance is]],FIND(" ",RBC_Personal_Accounts[[#This Row],[If Balance is]]))))</f>
        <v>60000</v>
      </c>
      <c r="H73">
        <v>97</v>
      </c>
    </row>
    <row r="74" spans="1:9" x14ac:dyDescent="0.25">
      <c r="A74" t="s">
        <v>301</v>
      </c>
      <c r="B74" s="41" t="s">
        <v>461</v>
      </c>
      <c r="C74" s="41" t="s">
        <v>437</v>
      </c>
      <c r="E74" s="41">
        <f>IF(LEFT(RBC_Personal_Accounts[[#This Row],[If Balance is]],1)&lt;&gt;"$",0,VALUE(LEFT(RBC_Personal_Accounts[[#This Row],[If Balance is]],FIND(" ",RBC_Personal_Accounts[[#This Row],[If Balance is]]))))</f>
        <v>0</v>
      </c>
      <c r="H74">
        <v>96</v>
      </c>
      <c r="I74" t="s">
        <v>302</v>
      </c>
    </row>
    <row r="75" spans="1:9" x14ac:dyDescent="0.25">
      <c r="B75" s="41" t="s">
        <v>462</v>
      </c>
      <c r="C75" s="41" t="s">
        <v>437</v>
      </c>
      <c r="E75" s="41">
        <f>IF(LEFT(RBC_Personal_Accounts[[#This Row],[If Balance is]],1)&lt;&gt;"$",0,VALUE(LEFT(RBC_Personal_Accounts[[#This Row],[If Balance is]],FIND(" ",RBC_Personal_Accounts[[#This Row],[If Balance is]]))))</f>
        <v>500</v>
      </c>
      <c r="H75">
        <v>95</v>
      </c>
    </row>
    <row r="76" spans="1:9" x14ac:dyDescent="0.25">
      <c r="B76" s="41" t="s">
        <v>434</v>
      </c>
      <c r="C76" s="41" t="s">
        <v>437</v>
      </c>
      <c r="E76" s="41">
        <f>IF(LEFT(RBC_Personal_Accounts[[#This Row],[If Balance is]],1)&lt;&gt;"$",0,VALUE(LEFT(RBC_Personal_Accounts[[#This Row],[If Balance is]],FIND(" ",RBC_Personal_Accounts[[#This Row],[If Balance is]]))))</f>
        <v>1000</v>
      </c>
      <c r="H76">
        <v>94</v>
      </c>
    </row>
    <row r="77" spans="1:9" x14ac:dyDescent="0.25">
      <c r="B77" s="41" t="s">
        <v>435</v>
      </c>
      <c r="C77" s="41" t="s">
        <v>439</v>
      </c>
      <c r="E77" s="41">
        <f>IF(LEFT(RBC_Personal_Accounts[[#This Row],[If Balance is]],1)&lt;&gt;"$",0,VALUE(LEFT(RBC_Personal_Accounts[[#This Row],[If Balance is]],FIND(" ",RBC_Personal_Accounts[[#This Row],[If Balance is]]))))</f>
        <v>3000</v>
      </c>
      <c r="H77">
        <v>93</v>
      </c>
    </row>
    <row r="78" spans="1:9" x14ac:dyDescent="0.25">
      <c r="B78" s="41" t="s">
        <v>61</v>
      </c>
      <c r="C78" s="41" t="s">
        <v>439</v>
      </c>
      <c r="E78" s="41">
        <f>IF(LEFT(RBC_Personal_Accounts[[#This Row],[If Balance is]],1)&lt;&gt;"$",0,VALUE(LEFT(RBC_Personal_Accounts[[#This Row],[If Balance is]],FIND(" ",RBC_Personal_Accounts[[#This Row],[If Balance is]]))))</f>
        <v>5000</v>
      </c>
      <c r="H78">
        <v>92</v>
      </c>
    </row>
    <row r="79" spans="1:9" x14ac:dyDescent="0.25">
      <c r="A79" t="s">
        <v>300</v>
      </c>
      <c r="B79" s="41" t="s">
        <v>432</v>
      </c>
      <c r="C79" s="41" t="s">
        <v>440</v>
      </c>
      <c r="E79" s="41">
        <f>IF(LEFT(RBC_Personal_Accounts[[#This Row],[If Balance is]],1)&lt;&gt;"$",0,VALUE(LEFT(RBC_Personal_Accounts[[#This Row],[If Balance is]],FIND(" ",RBC_Personal_Accounts[[#This Row],[If Balance is]]))))</f>
        <v>0</v>
      </c>
      <c r="H79">
        <v>91</v>
      </c>
      <c r="I79" t="s">
        <v>301</v>
      </c>
    </row>
    <row r="80" spans="1:9" x14ac:dyDescent="0.25">
      <c r="B80" s="41" t="s">
        <v>434</v>
      </c>
      <c r="C80" s="41" t="s">
        <v>441</v>
      </c>
      <c r="E80" s="41">
        <f>IF(LEFT(RBC_Personal_Accounts[[#This Row],[If Balance is]],1)&lt;&gt;"$",0,VALUE(LEFT(RBC_Personal_Accounts[[#This Row],[If Balance is]],FIND(" ",RBC_Personal_Accounts[[#This Row],[If Balance is]]))))</f>
        <v>1000</v>
      </c>
      <c r="H80">
        <v>90</v>
      </c>
    </row>
    <row r="81" spans="1:9" x14ac:dyDescent="0.25">
      <c r="B81" s="41" t="s">
        <v>435</v>
      </c>
      <c r="C81" s="41" t="s">
        <v>442</v>
      </c>
      <c r="E81" s="41">
        <f>IF(LEFT(RBC_Personal_Accounts[[#This Row],[If Balance is]],1)&lt;&gt;"$",0,VALUE(LEFT(RBC_Personal_Accounts[[#This Row],[If Balance is]],FIND(" ",RBC_Personal_Accounts[[#This Row],[If Balance is]]))))</f>
        <v>3000</v>
      </c>
      <c r="H81">
        <v>89</v>
      </c>
    </row>
    <row r="82" spans="1:9" x14ac:dyDescent="0.25">
      <c r="B82" s="41" t="s">
        <v>61</v>
      </c>
      <c r="C82" s="41" t="s">
        <v>442</v>
      </c>
      <c r="E82" s="41">
        <f>IF(LEFT(RBC_Personal_Accounts[[#This Row],[If Balance is]],1)&lt;&gt;"$",0,VALUE(LEFT(RBC_Personal_Accounts[[#This Row],[If Balance is]],FIND(" ",RBC_Personal_Accounts[[#This Row],[If Balance is]]))))</f>
        <v>5000</v>
      </c>
      <c r="H82">
        <v>88</v>
      </c>
    </row>
    <row r="83" spans="1:9" x14ac:dyDescent="0.25">
      <c r="A83" t="s">
        <v>299</v>
      </c>
      <c r="B83" s="41" t="s">
        <v>443</v>
      </c>
      <c r="C83" s="41" t="s">
        <v>433</v>
      </c>
      <c r="E83" s="41">
        <f>IF(LEFT(RBC_Personal_Accounts[[#This Row],[If Balance is]],1)&lt;&gt;"$",0,VALUE(LEFT(RBC_Personal_Accounts[[#This Row],[If Balance is]],FIND(" ",RBC_Personal_Accounts[[#This Row],[If Balance is]]))))</f>
        <v>0</v>
      </c>
      <c r="H83">
        <v>87</v>
      </c>
      <c r="I83" t="s">
        <v>300</v>
      </c>
    </row>
    <row r="84" spans="1:9" x14ac:dyDescent="0.25">
      <c r="B84" s="41" t="s">
        <v>444</v>
      </c>
      <c r="C84" s="41" t="s">
        <v>437</v>
      </c>
      <c r="E84" s="41">
        <f>IF(LEFT(RBC_Personal_Accounts[[#This Row],[If Balance is]],1)&lt;&gt;"$",0,VALUE(LEFT(RBC_Personal_Accounts[[#This Row],[If Balance is]],FIND(" ",RBC_Personal_Accounts[[#This Row],[If Balance is]]))))</f>
        <v>5000</v>
      </c>
      <c r="H84">
        <v>86</v>
      </c>
    </row>
    <row r="85" spans="1:9" x14ac:dyDescent="0.25">
      <c r="B85" s="41" t="s">
        <v>60</v>
      </c>
      <c r="C85" s="41" t="s">
        <v>440</v>
      </c>
      <c r="E85" s="41">
        <f>IF(LEFT(RBC_Personal_Accounts[[#This Row],[If Balance is]],1)&lt;&gt;"$",0,VALUE(LEFT(RBC_Personal_Accounts[[#This Row],[If Balance is]],FIND(" ",RBC_Personal_Accounts[[#This Row],[If Balance is]]))))</f>
        <v>10000</v>
      </c>
      <c r="H85">
        <v>85</v>
      </c>
    </row>
    <row r="86" spans="1:9" x14ac:dyDescent="0.25">
      <c r="B86" s="41" t="s">
        <v>59</v>
      </c>
      <c r="C86" s="41" t="s">
        <v>441</v>
      </c>
      <c r="E86" s="41">
        <f>IF(LEFT(RBC_Personal_Accounts[[#This Row],[If Balance is]],1)&lt;&gt;"$",0,VALUE(LEFT(RBC_Personal_Accounts[[#This Row],[If Balance is]],FIND(" ",RBC_Personal_Accounts[[#This Row],[If Balance is]]))))</f>
        <v>25000</v>
      </c>
      <c r="H86">
        <v>84</v>
      </c>
    </row>
    <row r="87" spans="1:9" x14ac:dyDescent="0.25">
      <c r="B87" s="41" t="s">
        <v>58</v>
      </c>
      <c r="C87" s="41" t="s">
        <v>445</v>
      </c>
      <c r="E87" s="41">
        <f>IF(LEFT(RBC_Personal_Accounts[[#This Row],[If Balance is]],1)&lt;&gt;"$",0,VALUE(LEFT(RBC_Personal_Accounts[[#This Row],[If Balance is]],FIND(" ",RBC_Personal_Accounts[[#This Row],[If Balance is]]))))</f>
        <v>60000</v>
      </c>
      <c r="H87">
        <v>83</v>
      </c>
    </row>
    <row r="88" spans="1:9" x14ac:dyDescent="0.25">
      <c r="B88" s="41" t="s">
        <v>446</v>
      </c>
      <c r="C88" s="41" t="s">
        <v>447</v>
      </c>
      <c r="E88" s="41">
        <f>IF(LEFT(RBC_Personal_Accounts[[#This Row],[If Balance is]],1)&lt;&gt;"$",0,VALUE(LEFT(RBC_Personal_Accounts[[#This Row],[If Balance is]],FIND(" ",RBC_Personal_Accounts[[#This Row],[If Balance is]]))))</f>
        <v>100000</v>
      </c>
      <c r="H88">
        <v>82</v>
      </c>
    </row>
    <row r="89" spans="1:9" x14ac:dyDescent="0.25">
      <c r="B89" s="41" t="s">
        <v>448</v>
      </c>
      <c r="C89" s="41" t="s">
        <v>449</v>
      </c>
      <c r="E89" s="41">
        <f>IF(LEFT(RBC_Personal_Accounts[[#This Row],[If Balance is]],1)&lt;&gt;"$",0,VALUE(LEFT(RBC_Personal_Accounts[[#This Row],[If Balance is]],FIND(" ",RBC_Personal_Accounts[[#This Row],[If Balance is]]))))</f>
        <v>150000</v>
      </c>
      <c r="H89">
        <v>81</v>
      </c>
    </row>
    <row r="90" spans="1:9" x14ac:dyDescent="0.25">
      <c r="B90" s="41" t="s">
        <v>450</v>
      </c>
      <c r="C90" s="41" t="s">
        <v>449</v>
      </c>
      <c r="E90" s="41">
        <f>IF(LEFT(RBC_Personal_Accounts[[#This Row],[If Balance is]],1)&lt;&gt;"$",0,VALUE(LEFT(RBC_Personal_Accounts[[#This Row],[If Balance is]],FIND(" ",RBC_Personal_Accounts[[#This Row],[If Balance is]]))))</f>
        <v>250000</v>
      </c>
      <c r="H90">
        <v>80</v>
      </c>
    </row>
    <row r="91" spans="1:9" x14ac:dyDescent="0.25">
      <c r="A91" t="s">
        <v>298</v>
      </c>
      <c r="B91" s="41" t="s">
        <v>463</v>
      </c>
      <c r="C91" s="41" t="s">
        <v>433</v>
      </c>
      <c r="E91" s="41">
        <f>IF(LEFT(RBC_Personal_Accounts[[#This Row],[If Balance is]],1)&lt;&gt;"$",0,VALUE(LEFT(RBC_Personal_Accounts[[#This Row],[If Balance is]],FIND(" ",RBC_Personal_Accounts[[#This Row],[If Balance is]]))))</f>
        <v>0</v>
      </c>
      <c r="H91">
        <v>79</v>
      </c>
      <c r="I91" t="s">
        <v>299</v>
      </c>
    </row>
    <row r="92" spans="1:9" x14ac:dyDescent="0.25">
      <c r="B92" s="41" t="s">
        <v>435</v>
      </c>
      <c r="C92" s="41" t="s">
        <v>433</v>
      </c>
      <c r="E92" s="41">
        <f>IF(LEFT(RBC_Personal_Accounts[[#This Row],[If Balance is]],1)&lt;&gt;"$",0,VALUE(LEFT(RBC_Personal_Accounts[[#This Row],[If Balance is]],FIND(" ",RBC_Personal_Accounts[[#This Row],[If Balance is]]))))</f>
        <v>3000</v>
      </c>
      <c r="H92">
        <v>78</v>
      </c>
    </row>
    <row r="93" spans="1:9" x14ac:dyDescent="0.25">
      <c r="B93" s="41" t="s">
        <v>444</v>
      </c>
      <c r="C93" s="41" t="s">
        <v>437</v>
      </c>
      <c r="E93" s="41">
        <f>IF(LEFT(RBC_Personal_Accounts[[#This Row],[If Balance is]],1)&lt;&gt;"$",0,VALUE(LEFT(RBC_Personal_Accounts[[#This Row],[If Balance is]],FIND(" ",RBC_Personal_Accounts[[#This Row],[If Balance is]]))))</f>
        <v>5000</v>
      </c>
      <c r="H93">
        <v>77</v>
      </c>
    </row>
    <row r="94" spans="1:9" x14ac:dyDescent="0.25">
      <c r="B94" s="41" t="s">
        <v>60</v>
      </c>
      <c r="C94" s="41" t="s">
        <v>440</v>
      </c>
      <c r="E94" s="41">
        <f>IF(LEFT(RBC_Personal_Accounts[[#This Row],[If Balance is]],1)&lt;&gt;"$",0,VALUE(LEFT(RBC_Personal_Accounts[[#This Row],[If Balance is]],FIND(" ",RBC_Personal_Accounts[[#This Row],[If Balance is]]))))</f>
        <v>10000</v>
      </c>
      <c r="H94">
        <v>76</v>
      </c>
    </row>
    <row r="95" spans="1:9" x14ac:dyDescent="0.25">
      <c r="B95" s="41" t="s">
        <v>59</v>
      </c>
      <c r="C95" s="41" t="s">
        <v>441</v>
      </c>
      <c r="E95" s="41">
        <f>IF(LEFT(RBC_Personal_Accounts[[#This Row],[If Balance is]],1)&lt;&gt;"$",0,VALUE(LEFT(RBC_Personal_Accounts[[#This Row],[If Balance is]],FIND(" ",RBC_Personal_Accounts[[#This Row],[If Balance is]]))))</f>
        <v>25000</v>
      </c>
      <c r="H95">
        <v>75</v>
      </c>
    </row>
    <row r="96" spans="1:9" x14ac:dyDescent="0.25">
      <c r="B96" s="41" t="s">
        <v>58</v>
      </c>
      <c r="C96" s="41" t="s">
        <v>447</v>
      </c>
      <c r="E96" s="41">
        <f>IF(LEFT(RBC_Personal_Accounts[[#This Row],[If Balance is]],1)&lt;&gt;"$",0,VALUE(LEFT(RBC_Personal_Accounts[[#This Row],[If Balance is]],FIND(" ",RBC_Personal_Accounts[[#This Row],[If Balance is]]))))</f>
        <v>60000</v>
      </c>
      <c r="H96">
        <v>74</v>
      </c>
    </row>
    <row r="97" spans="1:9" x14ac:dyDescent="0.25">
      <c r="B97" s="41" t="s">
        <v>245</v>
      </c>
      <c r="C97" s="41" t="s">
        <v>464</v>
      </c>
      <c r="E97" s="41">
        <f>IF(LEFT(RBC_Personal_Accounts[[#This Row],[If Balance is]],1)&lt;&gt;"$",0,VALUE(LEFT(RBC_Personal_Accounts[[#This Row],[If Balance is]],FIND(" ",RBC_Personal_Accounts[[#This Row],[If Balance is]]))))</f>
        <v>100000</v>
      </c>
      <c r="H97">
        <v>73</v>
      </c>
    </row>
    <row r="98" spans="1:9" x14ac:dyDescent="0.25">
      <c r="A98" t="s">
        <v>297</v>
      </c>
      <c r="B98" s="41" t="s">
        <v>432</v>
      </c>
      <c r="C98" s="41" t="s">
        <v>433</v>
      </c>
      <c r="E98" s="41">
        <f>IF(LEFT(RBC_Personal_Accounts[[#This Row],[If Balance is]],1)&lt;&gt;"$",0,VALUE(LEFT(RBC_Personal_Accounts[[#This Row],[If Balance is]],FIND(" ",RBC_Personal_Accounts[[#This Row],[If Balance is]]))))</f>
        <v>0</v>
      </c>
      <c r="H98">
        <v>72</v>
      </c>
      <c r="I98" t="s">
        <v>298</v>
      </c>
    </row>
    <row r="99" spans="1:9" x14ac:dyDescent="0.25">
      <c r="B99" s="41" t="s">
        <v>434</v>
      </c>
      <c r="C99" s="41" t="s">
        <v>433</v>
      </c>
      <c r="E99" s="41">
        <f>IF(LEFT(RBC_Personal_Accounts[[#This Row],[If Balance is]],1)&lt;&gt;"$",0,VALUE(LEFT(RBC_Personal_Accounts[[#This Row],[If Balance is]],FIND(" ",RBC_Personal_Accounts[[#This Row],[If Balance is]]))))</f>
        <v>1000</v>
      </c>
      <c r="H99">
        <v>71</v>
      </c>
    </row>
    <row r="100" spans="1:9" x14ac:dyDescent="0.25">
      <c r="B100" s="41" t="s">
        <v>435</v>
      </c>
      <c r="C100" s="41" t="s">
        <v>433</v>
      </c>
      <c r="E100" s="41">
        <f>IF(LEFT(RBC_Personal_Accounts[[#This Row],[If Balance is]],1)&lt;&gt;"$",0,VALUE(LEFT(RBC_Personal_Accounts[[#This Row],[If Balance is]],FIND(" ",RBC_Personal_Accounts[[#This Row],[If Balance is]]))))</f>
        <v>3000</v>
      </c>
      <c r="H100">
        <v>70</v>
      </c>
    </row>
    <row r="101" spans="1:9" x14ac:dyDescent="0.25">
      <c r="B101" s="41" t="s">
        <v>436</v>
      </c>
      <c r="C101" s="41" t="s">
        <v>437</v>
      </c>
      <c r="E101" s="41">
        <f>IF(LEFT(RBC_Personal_Accounts[[#This Row],[If Balance is]],1)&lt;&gt;"$",0,VALUE(LEFT(RBC_Personal_Accounts[[#This Row],[If Balance is]],FIND(" ",RBC_Personal_Accounts[[#This Row],[If Balance is]]))))</f>
        <v>5000</v>
      </c>
      <c r="H101">
        <v>69</v>
      </c>
    </row>
    <row r="102" spans="1:9" x14ac:dyDescent="0.25">
      <c r="B102" s="41" t="s">
        <v>59</v>
      </c>
      <c r="C102" s="41" t="s">
        <v>437</v>
      </c>
      <c r="E102" s="41">
        <f>IF(LEFT(RBC_Personal_Accounts[[#This Row],[If Balance is]],1)&lt;&gt;"$",0,VALUE(LEFT(RBC_Personal_Accounts[[#This Row],[If Balance is]],FIND(" ",RBC_Personal_Accounts[[#This Row],[If Balance is]]))))</f>
        <v>25000</v>
      </c>
      <c r="H102">
        <v>68</v>
      </c>
    </row>
    <row r="103" spans="1:9" x14ac:dyDescent="0.25">
      <c r="B103" s="41" t="s">
        <v>438</v>
      </c>
      <c r="C103" s="41" t="s">
        <v>439</v>
      </c>
      <c r="E103" s="41">
        <f>IF(LEFT(RBC_Personal_Accounts[[#This Row],[If Balance is]],1)&lt;&gt;"$",0,VALUE(LEFT(RBC_Personal_Accounts[[#This Row],[If Balance is]],FIND(" ",RBC_Personal_Accounts[[#This Row],[If Balance is]]))))</f>
        <v>60000</v>
      </c>
      <c r="H103">
        <v>67</v>
      </c>
    </row>
    <row r="104" spans="1:9" x14ac:dyDescent="0.25">
      <c r="A104" t="s">
        <v>296</v>
      </c>
      <c r="B104" s="41" t="s">
        <v>443</v>
      </c>
      <c r="C104" s="41" t="s">
        <v>433</v>
      </c>
      <c r="E104" s="41">
        <f>IF(LEFT(RBC_Personal_Accounts[[#This Row],[If Balance is]],1)&lt;&gt;"$",0,VALUE(LEFT(RBC_Personal_Accounts[[#This Row],[If Balance is]],FIND(" ",RBC_Personal_Accounts[[#This Row],[If Balance is]]))))</f>
        <v>0</v>
      </c>
      <c r="H104">
        <v>66</v>
      </c>
      <c r="I104" t="s">
        <v>297</v>
      </c>
    </row>
    <row r="105" spans="1:9" x14ac:dyDescent="0.25">
      <c r="B105" s="41" t="s">
        <v>444</v>
      </c>
      <c r="C105" s="41" t="s">
        <v>437</v>
      </c>
      <c r="E105" s="41">
        <f>IF(LEFT(RBC_Personal_Accounts[[#This Row],[If Balance is]],1)&lt;&gt;"$",0,VALUE(LEFT(RBC_Personal_Accounts[[#This Row],[If Balance is]],FIND(" ",RBC_Personal_Accounts[[#This Row],[If Balance is]]))))</f>
        <v>5000</v>
      </c>
      <c r="H105">
        <v>65</v>
      </c>
    </row>
    <row r="106" spans="1:9" x14ac:dyDescent="0.25">
      <c r="B106" s="41" t="s">
        <v>60</v>
      </c>
      <c r="C106" s="41" t="s">
        <v>440</v>
      </c>
      <c r="E106" s="41">
        <f>IF(LEFT(RBC_Personal_Accounts[[#This Row],[If Balance is]],1)&lt;&gt;"$",0,VALUE(LEFT(RBC_Personal_Accounts[[#This Row],[If Balance is]],FIND(" ",RBC_Personal_Accounts[[#This Row],[If Balance is]]))))</f>
        <v>10000</v>
      </c>
      <c r="H106">
        <v>64</v>
      </c>
    </row>
    <row r="107" spans="1:9" x14ac:dyDescent="0.25">
      <c r="B107" s="41" t="s">
        <v>59</v>
      </c>
      <c r="C107" s="41" t="s">
        <v>441</v>
      </c>
      <c r="E107" s="41">
        <f>IF(LEFT(RBC_Personal_Accounts[[#This Row],[If Balance is]],1)&lt;&gt;"$",0,VALUE(LEFT(RBC_Personal_Accounts[[#This Row],[If Balance is]],FIND(" ",RBC_Personal_Accounts[[#This Row],[If Balance is]]))))</f>
        <v>25000</v>
      </c>
      <c r="H107">
        <v>63</v>
      </c>
    </row>
    <row r="108" spans="1:9" x14ac:dyDescent="0.25">
      <c r="B108" s="41" t="s">
        <v>58</v>
      </c>
      <c r="C108" s="41" t="s">
        <v>445</v>
      </c>
      <c r="E108" s="41">
        <f>IF(LEFT(RBC_Personal_Accounts[[#This Row],[If Balance is]],1)&lt;&gt;"$",0,VALUE(LEFT(RBC_Personal_Accounts[[#This Row],[If Balance is]],FIND(" ",RBC_Personal_Accounts[[#This Row],[If Balance is]]))))</f>
        <v>60000</v>
      </c>
      <c r="H108">
        <v>62</v>
      </c>
    </row>
    <row r="109" spans="1:9" x14ac:dyDescent="0.25">
      <c r="B109" s="41" t="s">
        <v>446</v>
      </c>
      <c r="C109" s="41" t="s">
        <v>447</v>
      </c>
      <c r="E109" s="41">
        <f>IF(LEFT(RBC_Personal_Accounts[[#This Row],[If Balance is]],1)&lt;&gt;"$",0,VALUE(LEFT(RBC_Personal_Accounts[[#This Row],[If Balance is]],FIND(" ",RBC_Personal_Accounts[[#This Row],[If Balance is]]))))</f>
        <v>100000</v>
      </c>
      <c r="H109">
        <v>61</v>
      </c>
    </row>
    <row r="110" spans="1:9" x14ac:dyDescent="0.25">
      <c r="B110" s="41" t="s">
        <v>448</v>
      </c>
      <c r="C110" s="41" t="s">
        <v>449</v>
      </c>
      <c r="E110" s="41">
        <f>IF(LEFT(RBC_Personal_Accounts[[#This Row],[If Balance is]],1)&lt;&gt;"$",0,VALUE(LEFT(RBC_Personal_Accounts[[#This Row],[If Balance is]],FIND(" ",RBC_Personal_Accounts[[#This Row],[If Balance is]]))))</f>
        <v>150000</v>
      </c>
      <c r="H110">
        <v>60</v>
      </c>
    </row>
    <row r="111" spans="1:9" x14ac:dyDescent="0.25">
      <c r="B111" s="41" t="s">
        <v>450</v>
      </c>
      <c r="C111" s="41" t="s">
        <v>449</v>
      </c>
      <c r="E111" s="41">
        <f>IF(LEFT(RBC_Personal_Accounts[[#This Row],[If Balance is]],1)&lt;&gt;"$",0,VALUE(LEFT(RBC_Personal_Accounts[[#This Row],[If Balance is]],FIND(" ",RBC_Personal_Accounts[[#This Row],[If Balance is]]))))</f>
        <v>250000</v>
      </c>
      <c r="H111">
        <v>59</v>
      </c>
    </row>
    <row r="112" spans="1:9" x14ac:dyDescent="0.25">
      <c r="A112" t="s">
        <v>295</v>
      </c>
      <c r="B112" s="41" t="s">
        <v>432</v>
      </c>
      <c r="C112" s="41" t="s">
        <v>440</v>
      </c>
      <c r="E112" s="41">
        <f>IF(LEFT(RBC_Personal_Accounts[[#This Row],[If Balance is]],1)&lt;&gt;"$",0,VALUE(LEFT(RBC_Personal_Accounts[[#This Row],[If Balance is]],FIND(" ",RBC_Personal_Accounts[[#This Row],[If Balance is]]))))</f>
        <v>0</v>
      </c>
      <c r="H112">
        <v>58</v>
      </c>
      <c r="I112" t="s">
        <v>296</v>
      </c>
    </row>
    <row r="113" spans="1:9" x14ac:dyDescent="0.25">
      <c r="B113" s="41" t="s">
        <v>434</v>
      </c>
      <c r="C113" s="41" t="s">
        <v>441</v>
      </c>
      <c r="E113" s="41">
        <f>IF(LEFT(RBC_Personal_Accounts[[#This Row],[If Balance is]],1)&lt;&gt;"$",0,VALUE(LEFT(RBC_Personal_Accounts[[#This Row],[If Balance is]],FIND(" ",RBC_Personal_Accounts[[#This Row],[If Balance is]]))))</f>
        <v>1000</v>
      </c>
      <c r="H113">
        <v>57</v>
      </c>
    </row>
    <row r="114" spans="1:9" x14ac:dyDescent="0.25">
      <c r="B114" s="41" t="s">
        <v>435</v>
      </c>
      <c r="C114" s="41" t="s">
        <v>442</v>
      </c>
      <c r="E114" s="41">
        <f>IF(LEFT(RBC_Personal_Accounts[[#This Row],[If Balance is]],1)&lt;&gt;"$",0,VALUE(LEFT(RBC_Personal_Accounts[[#This Row],[If Balance is]],FIND(" ",RBC_Personal_Accounts[[#This Row],[If Balance is]]))))</f>
        <v>3000</v>
      </c>
      <c r="H114">
        <v>56</v>
      </c>
    </row>
    <row r="115" spans="1:9" x14ac:dyDescent="0.25">
      <c r="B115" s="41" t="s">
        <v>61</v>
      </c>
      <c r="C115" s="41" t="s">
        <v>442</v>
      </c>
      <c r="E115" s="41">
        <f>IF(LEFT(RBC_Personal_Accounts[[#This Row],[If Balance is]],1)&lt;&gt;"$",0,VALUE(LEFT(RBC_Personal_Accounts[[#This Row],[If Balance is]],FIND(" ",RBC_Personal_Accounts[[#This Row],[If Balance is]]))))</f>
        <v>5000</v>
      </c>
      <c r="H115">
        <v>55</v>
      </c>
    </row>
    <row r="116" spans="1:9" x14ac:dyDescent="0.25">
      <c r="A116" t="s">
        <v>294</v>
      </c>
      <c r="B116" s="41" t="s">
        <v>461</v>
      </c>
      <c r="C116" s="41" t="s">
        <v>433</v>
      </c>
      <c r="E116" s="41">
        <f>IF(LEFT(RBC_Personal_Accounts[[#This Row],[If Balance is]],1)&lt;&gt;"$",0,VALUE(LEFT(RBC_Personal_Accounts[[#This Row],[If Balance is]],FIND(" ",RBC_Personal_Accounts[[#This Row],[If Balance is]]))))</f>
        <v>0</v>
      </c>
      <c r="H116">
        <v>54</v>
      </c>
      <c r="I116" t="s">
        <v>295</v>
      </c>
    </row>
    <row r="117" spans="1:9" x14ac:dyDescent="0.25">
      <c r="B117" s="41" t="s">
        <v>462</v>
      </c>
      <c r="C117" s="41" t="s">
        <v>433</v>
      </c>
      <c r="E117" s="41">
        <f>IF(LEFT(RBC_Personal_Accounts[[#This Row],[If Balance is]],1)&lt;&gt;"$",0,VALUE(LEFT(RBC_Personal_Accounts[[#This Row],[If Balance is]],FIND(" ",RBC_Personal_Accounts[[#This Row],[If Balance is]]))))</f>
        <v>500</v>
      </c>
      <c r="H117">
        <v>53</v>
      </c>
    </row>
    <row r="118" spans="1:9" x14ac:dyDescent="0.25">
      <c r="B118" s="41" t="s">
        <v>434</v>
      </c>
      <c r="C118" s="41" t="s">
        <v>433</v>
      </c>
      <c r="E118" s="41">
        <f>IF(LEFT(RBC_Personal_Accounts[[#This Row],[If Balance is]],1)&lt;&gt;"$",0,VALUE(LEFT(RBC_Personal_Accounts[[#This Row],[If Balance is]],FIND(" ",RBC_Personal_Accounts[[#This Row],[If Balance is]]))))</f>
        <v>1000</v>
      </c>
      <c r="H118">
        <v>52</v>
      </c>
    </row>
    <row r="119" spans="1:9" x14ac:dyDescent="0.25">
      <c r="B119" s="41" t="s">
        <v>435</v>
      </c>
      <c r="C119" s="41" t="s">
        <v>437</v>
      </c>
      <c r="E119" s="41">
        <f>IF(LEFT(RBC_Personal_Accounts[[#This Row],[If Balance is]],1)&lt;&gt;"$",0,VALUE(LEFT(RBC_Personal_Accounts[[#This Row],[If Balance is]],FIND(" ",RBC_Personal_Accounts[[#This Row],[If Balance is]]))))</f>
        <v>3000</v>
      </c>
      <c r="H119">
        <v>51</v>
      </c>
    </row>
    <row r="120" spans="1:9" x14ac:dyDescent="0.25">
      <c r="B120" s="41" t="s">
        <v>61</v>
      </c>
      <c r="C120" s="41" t="s">
        <v>437</v>
      </c>
      <c r="E120" s="41">
        <f>IF(LEFT(RBC_Personal_Accounts[[#This Row],[If Balance is]],1)&lt;&gt;"$",0,VALUE(LEFT(RBC_Personal_Accounts[[#This Row],[If Balance is]],FIND(" ",RBC_Personal_Accounts[[#This Row],[If Balance is]]))))</f>
        <v>5000</v>
      </c>
      <c r="H120">
        <v>50</v>
      </c>
    </row>
    <row r="121" spans="1:9" x14ac:dyDescent="0.25">
      <c r="A121" t="s">
        <v>293</v>
      </c>
      <c r="B121" s="41" t="s">
        <v>451</v>
      </c>
      <c r="C121" s="41" t="s">
        <v>433</v>
      </c>
      <c r="E121" s="41">
        <f>IF(LEFT(RBC_Personal_Accounts[[#This Row],[If Balance is]],1)&lt;&gt;"$",0,VALUE(LEFT(RBC_Personal_Accounts[[#This Row],[If Balance is]],FIND(" ",RBC_Personal_Accounts[[#This Row],[If Balance is]]))))</f>
        <v>0</v>
      </c>
      <c r="H121">
        <v>49</v>
      </c>
      <c r="I121" t="s">
        <v>294</v>
      </c>
    </row>
    <row r="122" spans="1:9" x14ac:dyDescent="0.25">
      <c r="B122" s="41" t="s">
        <v>452</v>
      </c>
      <c r="C122" s="41" t="s">
        <v>433</v>
      </c>
      <c r="E122" s="41">
        <f>IF(LEFT(RBC_Personal_Accounts[[#This Row],[If Balance is]],1)&lt;&gt;"$",0,VALUE(LEFT(RBC_Personal_Accounts[[#This Row],[If Balance is]],FIND(" ",RBC_Personal_Accounts[[#This Row],[If Balance is]]))))</f>
        <v>1000</v>
      </c>
      <c r="H122">
        <v>48</v>
      </c>
    </row>
    <row r="123" spans="1:9" x14ac:dyDescent="0.25">
      <c r="B123" s="41" t="s">
        <v>453</v>
      </c>
      <c r="C123" s="41" t="s">
        <v>433</v>
      </c>
      <c r="E123" s="41">
        <f>IF(LEFT(RBC_Personal_Accounts[[#This Row],[If Balance is]],1)&lt;&gt;"$",0,VALUE(LEFT(RBC_Personal_Accounts[[#This Row],[If Balance is]],FIND(" ",RBC_Personal_Accounts[[#This Row],[If Balance is]]))))</f>
        <v>3000</v>
      </c>
      <c r="H123">
        <v>47</v>
      </c>
    </row>
    <row r="124" spans="1:9" x14ac:dyDescent="0.25">
      <c r="B124" s="41" t="s">
        <v>454</v>
      </c>
      <c r="C124" s="41" t="s">
        <v>437</v>
      </c>
      <c r="E124" s="41">
        <f>IF(LEFT(RBC_Personal_Accounts[[#This Row],[If Balance is]],1)&lt;&gt;"$",0,VALUE(LEFT(RBC_Personal_Accounts[[#This Row],[If Balance is]],FIND(" ",RBC_Personal_Accounts[[#This Row],[If Balance is]]))))</f>
        <v>5000</v>
      </c>
      <c r="H124">
        <v>46</v>
      </c>
    </row>
    <row r="125" spans="1:9" x14ac:dyDescent="0.25">
      <c r="B125" s="41" t="s">
        <v>455</v>
      </c>
      <c r="C125" s="41" t="s">
        <v>440</v>
      </c>
      <c r="E125" s="41">
        <f>IF(LEFT(RBC_Personal_Accounts[[#This Row],[If Balance is]],1)&lt;&gt;"$",0,VALUE(LEFT(RBC_Personal_Accounts[[#This Row],[If Balance is]],FIND(" ",RBC_Personal_Accounts[[#This Row],[If Balance is]]))))</f>
        <v>10000</v>
      </c>
      <c r="H125">
        <v>45</v>
      </c>
    </row>
    <row r="126" spans="1:9" x14ac:dyDescent="0.25">
      <c r="B126" s="41" t="s">
        <v>456</v>
      </c>
      <c r="C126" s="41" t="s">
        <v>441</v>
      </c>
      <c r="E126" s="41">
        <f>IF(LEFT(RBC_Personal_Accounts[[#This Row],[If Balance is]],1)&lt;&gt;"$",0,VALUE(LEFT(RBC_Personal_Accounts[[#This Row],[If Balance is]],FIND(" ",RBC_Personal_Accounts[[#This Row],[If Balance is]]))))</f>
        <v>25000</v>
      </c>
      <c r="H126">
        <v>44</v>
      </c>
    </row>
    <row r="127" spans="1:9" x14ac:dyDescent="0.25">
      <c r="B127" s="41" t="s">
        <v>457</v>
      </c>
      <c r="C127" s="41" t="s">
        <v>464</v>
      </c>
      <c r="E127" s="41">
        <f>IF(LEFT(RBC_Personal_Accounts[[#This Row],[If Balance is]],1)&lt;&gt;"$",0,VALUE(LEFT(RBC_Personal_Accounts[[#This Row],[If Balance is]],FIND(" ",RBC_Personal_Accounts[[#This Row],[If Balance is]]))))</f>
        <v>60000</v>
      </c>
      <c r="H127">
        <v>43</v>
      </c>
    </row>
    <row r="128" spans="1:9" x14ac:dyDescent="0.25">
      <c r="B128" s="41" t="s">
        <v>459</v>
      </c>
      <c r="C128" s="41" t="s">
        <v>464</v>
      </c>
      <c r="E128" s="41">
        <f>IF(LEFT(RBC_Personal_Accounts[[#This Row],[If Balance is]],1)&lt;&gt;"$",0,VALUE(LEFT(RBC_Personal_Accounts[[#This Row],[If Balance is]],FIND(" ",RBC_Personal_Accounts[[#This Row],[If Balance is]]))))</f>
        <v>100000</v>
      </c>
      <c r="H128">
        <v>42</v>
      </c>
    </row>
    <row r="129" spans="1:9" x14ac:dyDescent="0.25">
      <c r="B129" s="41" t="s">
        <v>460</v>
      </c>
      <c r="C129" s="41" t="s">
        <v>464</v>
      </c>
      <c r="E129" s="41">
        <f>IF(LEFT(RBC_Personal_Accounts[[#This Row],[If Balance is]],1)&lt;&gt;"$",0,VALUE(LEFT(RBC_Personal_Accounts[[#This Row],[If Balance is]],FIND(" ",RBC_Personal_Accounts[[#This Row],[If Balance is]]))))</f>
        <v>150000</v>
      </c>
      <c r="H129">
        <v>41</v>
      </c>
    </row>
    <row r="130" spans="1:9" x14ac:dyDescent="0.25">
      <c r="B130" s="41" t="s">
        <v>465</v>
      </c>
      <c r="C130" s="41" t="s">
        <v>464</v>
      </c>
      <c r="E130" s="41">
        <f>IF(LEFT(RBC_Personal_Accounts[[#This Row],[If Balance is]],1)&lt;&gt;"$",0,VALUE(LEFT(RBC_Personal_Accounts[[#This Row],[If Balance is]],FIND(" ",RBC_Personal_Accounts[[#This Row],[If Balance is]]))))</f>
        <v>250000</v>
      </c>
      <c r="H130">
        <v>40</v>
      </c>
    </row>
    <row r="131" spans="1:9" x14ac:dyDescent="0.25">
      <c r="B131" s="41" t="s">
        <v>466</v>
      </c>
      <c r="C131" s="41" t="s">
        <v>464</v>
      </c>
      <c r="E131" s="41">
        <f>IF(LEFT(RBC_Personal_Accounts[[#This Row],[If Balance is]],1)&lt;&gt;"$",0,VALUE(LEFT(RBC_Personal_Accounts[[#This Row],[If Balance is]],FIND(" ",RBC_Personal_Accounts[[#This Row],[If Balance is]]))))</f>
        <v>500000</v>
      </c>
      <c r="H131">
        <v>39</v>
      </c>
    </row>
    <row r="132" spans="1:9" x14ac:dyDescent="0.25">
      <c r="B132" s="41" t="s">
        <v>467</v>
      </c>
      <c r="C132" s="41" t="s">
        <v>464</v>
      </c>
      <c r="E132" s="41">
        <f>IF(LEFT(RBC_Personal_Accounts[[#This Row],[If Balance is]],1)&lt;&gt;"$",0,VALUE(LEFT(RBC_Personal_Accounts[[#This Row],[If Balance is]],FIND(" ",RBC_Personal_Accounts[[#This Row],[If Balance is]]))))</f>
        <v>1000000</v>
      </c>
      <c r="H132">
        <v>38</v>
      </c>
    </row>
    <row r="133" spans="1:9" x14ac:dyDescent="0.25">
      <c r="A133" t="s">
        <v>292</v>
      </c>
      <c r="B133" s="41" t="s">
        <v>468</v>
      </c>
      <c r="C133" s="41" t="s">
        <v>433</v>
      </c>
      <c r="E133" s="41">
        <f>IF(LEFT(RBC_Personal_Accounts[[#This Row],[If Balance is]],1)&lt;&gt;"$",0,VALUE(LEFT(RBC_Personal_Accounts[[#This Row],[If Balance is]],FIND(" ",RBC_Personal_Accounts[[#This Row],[If Balance is]]))))</f>
        <v>0</v>
      </c>
      <c r="H133">
        <v>37</v>
      </c>
      <c r="I133" t="s">
        <v>293</v>
      </c>
    </row>
    <row r="134" spans="1:9" x14ac:dyDescent="0.25">
      <c r="A134" t="s">
        <v>291</v>
      </c>
      <c r="B134" s="41" t="s">
        <v>468</v>
      </c>
      <c r="C134" s="41" t="s">
        <v>469</v>
      </c>
      <c r="E134" s="41">
        <f>IF(LEFT(RBC_Personal_Accounts[[#This Row],[If Balance is]],1)&lt;&gt;"$",0,VALUE(LEFT(RBC_Personal_Accounts[[#This Row],[If Balance is]],FIND(" ",RBC_Personal_Accounts[[#This Row],[If Balance is]]))))</f>
        <v>0</v>
      </c>
      <c r="H134">
        <v>36</v>
      </c>
      <c r="I134" t="s">
        <v>292</v>
      </c>
    </row>
    <row r="135" spans="1:9" x14ac:dyDescent="0.25">
      <c r="A135" t="s">
        <v>290</v>
      </c>
      <c r="B135" s="41" t="s">
        <v>468</v>
      </c>
      <c r="C135" s="41" t="s">
        <v>433</v>
      </c>
      <c r="E135" s="41">
        <f>IF(LEFT(RBC_Personal_Accounts[[#This Row],[If Balance is]],1)&lt;&gt;"$",0,VALUE(LEFT(RBC_Personal_Accounts[[#This Row],[If Balance is]],FIND(" ",RBC_Personal_Accounts[[#This Row],[If Balance is]]))))</f>
        <v>0</v>
      </c>
      <c r="H135">
        <v>35</v>
      </c>
      <c r="I135" t="s">
        <v>291</v>
      </c>
    </row>
    <row r="136" spans="1:9" x14ac:dyDescent="0.25">
      <c r="A136" t="s">
        <v>289</v>
      </c>
      <c r="B136" s="41" t="s">
        <v>443</v>
      </c>
      <c r="C136" s="41" t="s">
        <v>433</v>
      </c>
      <c r="E136" s="41">
        <f>IF(LEFT(RBC_Personal_Accounts[[#This Row],[If Balance is]],1)&lt;&gt;"$",0,VALUE(LEFT(RBC_Personal_Accounts[[#This Row],[If Balance is]],FIND(" ",RBC_Personal_Accounts[[#This Row],[If Balance is]]))))</f>
        <v>0</v>
      </c>
      <c r="H136">
        <v>34</v>
      </c>
      <c r="I136" t="s">
        <v>290</v>
      </c>
    </row>
    <row r="137" spans="1:9" x14ac:dyDescent="0.25">
      <c r="B137" s="41" t="s">
        <v>444</v>
      </c>
      <c r="C137" s="41" t="s">
        <v>437</v>
      </c>
      <c r="E137" s="41">
        <f>IF(LEFT(RBC_Personal_Accounts[[#This Row],[If Balance is]],1)&lt;&gt;"$",0,VALUE(LEFT(RBC_Personal_Accounts[[#This Row],[If Balance is]],FIND(" ",RBC_Personal_Accounts[[#This Row],[If Balance is]]))))</f>
        <v>5000</v>
      </c>
      <c r="H137">
        <v>33</v>
      </c>
    </row>
    <row r="138" spans="1:9" x14ac:dyDescent="0.25">
      <c r="B138" s="41" t="s">
        <v>60</v>
      </c>
      <c r="C138" s="41" t="s">
        <v>440</v>
      </c>
      <c r="E138" s="41">
        <f>IF(LEFT(RBC_Personal_Accounts[[#This Row],[If Balance is]],1)&lt;&gt;"$",0,VALUE(LEFT(RBC_Personal_Accounts[[#This Row],[If Balance is]],FIND(" ",RBC_Personal_Accounts[[#This Row],[If Balance is]]))))</f>
        <v>10000</v>
      </c>
      <c r="H138">
        <v>32</v>
      </c>
    </row>
    <row r="139" spans="1:9" x14ac:dyDescent="0.25">
      <c r="B139" s="41" t="s">
        <v>59</v>
      </c>
      <c r="C139" s="41" t="s">
        <v>441</v>
      </c>
      <c r="E139" s="41">
        <f>IF(LEFT(RBC_Personal_Accounts[[#This Row],[If Balance is]],1)&lt;&gt;"$",0,VALUE(LEFT(RBC_Personal_Accounts[[#This Row],[If Balance is]],FIND(" ",RBC_Personal_Accounts[[#This Row],[If Balance is]]))))</f>
        <v>25000</v>
      </c>
      <c r="H139">
        <v>31</v>
      </c>
    </row>
    <row r="140" spans="1:9" x14ac:dyDescent="0.25">
      <c r="B140" s="41" t="s">
        <v>58</v>
      </c>
      <c r="C140" s="41" t="s">
        <v>445</v>
      </c>
      <c r="E140" s="41">
        <f>IF(LEFT(RBC_Personal_Accounts[[#This Row],[If Balance is]],1)&lt;&gt;"$",0,VALUE(LEFT(RBC_Personal_Accounts[[#This Row],[If Balance is]],FIND(" ",RBC_Personal_Accounts[[#This Row],[If Balance is]]))))</f>
        <v>60000</v>
      </c>
      <c r="H140">
        <v>30</v>
      </c>
    </row>
    <row r="141" spans="1:9" x14ac:dyDescent="0.25">
      <c r="B141" s="41" t="s">
        <v>446</v>
      </c>
      <c r="C141" s="41" t="s">
        <v>447</v>
      </c>
      <c r="E141" s="41">
        <f>IF(LEFT(RBC_Personal_Accounts[[#This Row],[If Balance is]],1)&lt;&gt;"$",0,VALUE(LEFT(RBC_Personal_Accounts[[#This Row],[If Balance is]],FIND(" ",RBC_Personal_Accounts[[#This Row],[If Balance is]]))))</f>
        <v>100000</v>
      </c>
      <c r="H141">
        <v>29</v>
      </c>
    </row>
    <row r="142" spans="1:9" x14ac:dyDescent="0.25">
      <c r="B142" s="41" t="s">
        <v>448</v>
      </c>
      <c r="C142" s="41" t="s">
        <v>449</v>
      </c>
      <c r="E142" s="41">
        <f>IF(LEFT(RBC_Personal_Accounts[[#This Row],[If Balance is]],1)&lt;&gt;"$",0,VALUE(LEFT(RBC_Personal_Accounts[[#This Row],[If Balance is]],FIND(" ",RBC_Personal_Accounts[[#This Row],[If Balance is]]))))</f>
        <v>150000</v>
      </c>
      <c r="H142">
        <v>28</v>
      </c>
    </row>
    <row r="143" spans="1:9" x14ac:dyDescent="0.25">
      <c r="B143" s="41" t="s">
        <v>450</v>
      </c>
      <c r="C143" s="41" t="s">
        <v>449</v>
      </c>
      <c r="E143" s="41">
        <f>IF(LEFT(RBC_Personal_Accounts[[#This Row],[If Balance is]],1)&lt;&gt;"$",0,VALUE(LEFT(RBC_Personal_Accounts[[#This Row],[If Balance is]],FIND(" ",RBC_Personal_Accounts[[#This Row],[If Balance is]]))))</f>
        <v>250000</v>
      </c>
      <c r="H143">
        <v>27</v>
      </c>
    </row>
    <row r="144" spans="1:9" x14ac:dyDescent="0.25">
      <c r="A144" t="s">
        <v>288</v>
      </c>
      <c r="B144" s="41" t="s">
        <v>432</v>
      </c>
      <c r="C144" s="41" t="s">
        <v>440</v>
      </c>
      <c r="E144" s="41">
        <f>IF(LEFT(RBC_Personal_Accounts[[#This Row],[If Balance is]],1)&lt;&gt;"$",0,VALUE(LEFT(RBC_Personal_Accounts[[#This Row],[If Balance is]],FIND(" ",RBC_Personal_Accounts[[#This Row],[If Balance is]]))))</f>
        <v>0</v>
      </c>
      <c r="H144">
        <v>26</v>
      </c>
      <c r="I144" t="s">
        <v>289</v>
      </c>
    </row>
    <row r="145" spans="1:9" x14ac:dyDescent="0.25">
      <c r="B145" s="41" t="s">
        <v>434</v>
      </c>
      <c r="C145" s="41" t="s">
        <v>441</v>
      </c>
      <c r="E145" s="41">
        <f>IF(LEFT(RBC_Personal_Accounts[[#This Row],[If Balance is]],1)&lt;&gt;"$",0,VALUE(LEFT(RBC_Personal_Accounts[[#This Row],[If Balance is]],FIND(" ",RBC_Personal_Accounts[[#This Row],[If Balance is]]))))</f>
        <v>1000</v>
      </c>
      <c r="H145">
        <v>25</v>
      </c>
    </row>
    <row r="146" spans="1:9" x14ac:dyDescent="0.25">
      <c r="B146" s="41" t="s">
        <v>435</v>
      </c>
      <c r="C146" s="41" t="s">
        <v>442</v>
      </c>
      <c r="E146" s="41">
        <f>IF(LEFT(RBC_Personal_Accounts[[#This Row],[If Balance is]],1)&lt;&gt;"$",0,VALUE(LEFT(RBC_Personal_Accounts[[#This Row],[If Balance is]],FIND(" ",RBC_Personal_Accounts[[#This Row],[If Balance is]]))))</f>
        <v>3000</v>
      </c>
      <c r="H146">
        <v>24</v>
      </c>
    </row>
    <row r="147" spans="1:9" x14ac:dyDescent="0.25">
      <c r="B147" s="41" t="s">
        <v>61</v>
      </c>
      <c r="C147" s="41" t="s">
        <v>442</v>
      </c>
      <c r="E147" s="41">
        <f>IF(LEFT(RBC_Personal_Accounts[[#This Row],[If Balance is]],1)&lt;&gt;"$",0,VALUE(LEFT(RBC_Personal_Accounts[[#This Row],[If Balance is]],FIND(" ",RBC_Personal_Accounts[[#This Row],[If Balance is]]))))</f>
        <v>5000</v>
      </c>
      <c r="H147">
        <v>23</v>
      </c>
    </row>
    <row r="148" spans="1:9" x14ac:dyDescent="0.25">
      <c r="A148" t="s">
        <v>287</v>
      </c>
      <c r="B148" s="41" t="s">
        <v>468</v>
      </c>
      <c r="C148" s="41" t="s">
        <v>433</v>
      </c>
      <c r="E148" s="41">
        <f>IF(LEFT(RBC_Personal_Accounts[[#This Row],[If Balance is]],1)&lt;&gt;"$",0,VALUE(LEFT(RBC_Personal_Accounts[[#This Row],[If Balance is]],FIND(" ",RBC_Personal_Accounts[[#This Row],[If Balance is]]))))</f>
        <v>0</v>
      </c>
      <c r="H148">
        <v>22</v>
      </c>
      <c r="I148" t="s">
        <v>288</v>
      </c>
    </row>
    <row r="149" spans="1:9" x14ac:dyDescent="0.25">
      <c r="A149" t="s">
        <v>286</v>
      </c>
      <c r="B149" s="41" t="s">
        <v>468</v>
      </c>
      <c r="C149" s="41" t="s">
        <v>433</v>
      </c>
      <c r="E149" s="41">
        <f>IF(LEFT(RBC_Personal_Accounts[[#This Row],[If Balance is]],1)&lt;&gt;"$",0,VALUE(LEFT(RBC_Personal_Accounts[[#This Row],[If Balance is]],FIND(" ",RBC_Personal_Accounts[[#This Row],[If Balance is]]))))</f>
        <v>0</v>
      </c>
      <c r="H149">
        <v>21</v>
      </c>
      <c r="I149" t="s">
        <v>287</v>
      </c>
    </row>
    <row r="150" spans="1:9" x14ac:dyDescent="0.25">
      <c r="A150" t="s">
        <v>285</v>
      </c>
      <c r="B150" s="41" t="s">
        <v>468</v>
      </c>
      <c r="C150" s="41" t="s">
        <v>433</v>
      </c>
      <c r="E150" s="41">
        <f>IF(LEFT(RBC_Personal_Accounts[[#This Row],[If Balance is]],1)&lt;&gt;"$",0,VALUE(LEFT(RBC_Personal_Accounts[[#This Row],[If Balance is]],FIND(" ",RBC_Personal_Accounts[[#This Row],[If Balance is]]))))</f>
        <v>0</v>
      </c>
      <c r="H150">
        <v>20</v>
      </c>
      <c r="I150" t="s">
        <v>286</v>
      </c>
    </row>
    <row r="151" spans="1:9" x14ac:dyDescent="0.25">
      <c r="A151" t="s">
        <v>284</v>
      </c>
      <c r="B151" s="41" t="s">
        <v>432</v>
      </c>
      <c r="C151" s="41" t="s">
        <v>441</v>
      </c>
      <c r="E151" s="41">
        <f>IF(LEFT(RBC_Personal_Accounts[[#This Row],[If Balance is]],1)&lt;&gt;"$",0,VALUE(LEFT(RBC_Personal_Accounts[[#This Row],[If Balance is]],FIND(" ",RBC_Personal_Accounts[[#This Row],[If Balance is]]))))</f>
        <v>0</v>
      </c>
      <c r="H151">
        <v>19</v>
      </c>
      <c r="I151" t="s">
        <v>285</v>
      </c>
    </row>
    <row r="152" spans="1:9" x14ac:dyDescent="0.25">
      <c r="B152" s="41" t="s">
        <v>434</v>
      </c>
      <c r="C152" s="41" t="s">
        <v>441</v>
      </c>
      <c r="E152" s="41">
        <f>IF(LEFT(RBC_Personal_Accounts[[#This Row],[If Balance is]],1)&lt;&gt;"$",0,VALUE(LEFT(RBC_Personal_Accounts[[#This Row],[If Balance is]],FIND(" ",RBC_Personal_Accounts[[#This Row],[If Balance is]]))))</f>
        <v>1000</v>
      </c>
      <c r="H152">
        <v>18</v>
      </c>
    </row>
    <row r="153" spans="1:9" x14ac:dyDescent="0.25">
      <c r="B153" s="41" t="s">
        <v>435</v>
      </c>
      <c r="C153" s="41" t="s">
        <v>442</v>
      </c>
      <c r="E153" s="41">
        <f>IF(LEFT(RBC_Personal_Accounts[[#This Row],[If Balance is]],1)&lt;&gt;"$",0,VALUE(LEFT(RBC_Personal_Accounts[[#This Row],[If Balance is]],FIND(" ",RBC_Personal_Accounts[[#This Row],[If Balance is]]))))</f>
        <v>3000</v>
      </c>
      <c r="H153">
        <v>17</v>
      </c>
    </row>
    <row r="154" spans="1:9" x14ac:dyDescent="0.25">
      <c r="B154" s="41" t="s">
        <v>61</v>
      </c>
      <c r="C154" s="41" t="s">
        <v>442</v>
      </c>
      <c r="E154" s="41">
        <f>IF(LEFT(RBC_Personal_Accounts[[#This Row],[If Balance is]],1)&lt;&gt;"$",0,VALUE(LEFT(RBC_Personal_Accounts[[#This Row],[If Balance is]],FIND(" ",RBC_Personal_Accounts[[#This Row],[If Balance is]]))))</f>
        <v>5000</v>
      </c>
      <c r="H154">
        <v>16</v>
      </c>
    </row>
    <row r="155" spans="1:9" x14ac:dyDescent="0.25">
      <c r="A155" t="s">
        <v>283</v>
      </c>
      <c r="B155" s="41" t="s">
        <v>468</v>
      </c>
      <c r="C155" s="41" t="s">
        <v>470</v>
      </c>
      <c r="E155" s="41">
        <f>IF(LEFT(RBC_Personal_Accounts[[#This Row],[If Balance is]],1)&lt;&gt;"$",0,VALUE(LEFT(RBC_Personal_Accounts[[#This Row],[If Balance is]],FIND(" ",RBC_Personal_Accounts[[#This Row],[If Balance is]]))))</f>
        <v>0</v>
      </c>
      <c r="H155">
        <v>15</v>
      </c>
      <c r="I155" t="s">
        <v>284</v>
      </c>
    </row>
    <row r="156" spans="1:9" x14ac:dyDescent="0.25">
      <c r="A156" t="s">
        <v>282</v>
      </c>
      <c r="B156" s="41" t="s">
        <v>432</v>
      </c>
      <c r="C156" s="41" t="s">
        <v>440</v>
      </c>
      <c r="E156" s="41">
        <f>IF(LEFT(RBC_Personal_Accounts[[#This Row],[If Balance is]],1)&lt;&gt;"$",0,VALUE(LEFT(RBC_Personal_Accounts[[#This Row],[If Balance is]],FIND(" ",RBC_Personal_Accounts[[#This Row],[If Balance is]]))))</f>
        <v>0</v>
      </c>
      <c r="H156">
        <v>14</v>
      </c>
      <c r="I156" t="s">
        <v>283</v>
      </c>
    </row>
    <row r="157" spans="1:9" x14ac:dyDescent="0.25">
      <c r="B157" s="41" t="s">
        <v>434</v>
      </c>
      <c r="C157" s="41" t="s">
        <v>441</v>
      </c>
      <c r="E157" s="41">
        <f>IF(LEFT(RBC_Personal_Accounts[[#This Row],[If Balance is]],1)&lt;&gt;"$",0,VALUE(LEFT(RBC_Personal_Accounts[[#This Row],[If Balance is]],FIND(" ",RBC_Personal_Accounts[[#This Row],[If Balance is]]))))</f>
        <v>1000</v>
      </c>
      <c r="H157">
        <v>13</v>
      </c>
    </row>
    <row r="158" spans="1:9" x14ac:dyDescent="0.25">
      <c r="B158" s="41" t="s">
        <v>435</v>
      </c>
      <c r="C158" s="41" t="s">
        <v>442</v>
      </c>
      <c r="E158" s="41">
        <f>IF(LEFT(RBC_Personal_Accounts[[#This Row],[If Balance is]],1)&lt;&gt;"$",0,VALUE(LEFT(RBC_Personal_Accounts[[#This Row],[If Balance is]],FIND(" ",RBC_Personal_Accounts[[#This Row],[If Balance is]]))))</f>
        <v>3000</v>
      </c>
      <c r="H158">
        <v>12</v>
      </c>
    </row>
    <row r="159" spans="1:9" x14ac:dyDescent="0.25">
      <c r="B159" s="41" t="s">
        <v>61</v>
      </c>
      <c r="C159" s="41" t="s">
        <v>442</v>
      </c>
      <c r="E159" s="41">
        <f>IF(LEFT(RBC_Personal_Accounts[[#This Row],[If Balance is]],1)&lt;&gt;"$",0,VALUE(LEFT(RBC_Personal_Accounts[[#This Row],[If Balance is]],FIND(" ",RBC_Personal_Accounts[[#This Row],[If Balance is]]))))</f>
        <v>5000</v>
      </c>
      <c r="H159">
        <v>11</v>
      </c>
    </row>
    <row r="160" spans="1:9" x14ac:dyDescent="0.25">
      <c r="A160" t="s">
        <v>281</v>
      </c>
      <c r="B160" s="41" t="s">
        <v>443</v>
      </c>
      <c r="C160" s="41" t="s">
        <v>433</v>
      </c>
      <c r="E160" s="41">
        <f>IF(LEFT(RBC_Personal_Accounts[[#This Row],[If Balance is]],1)&lt;&gt;"$",0,VALUE(LEFT(RBC_Personal_Accounts[[#This Row],[If Balance is]],FIND(" ",RBC_Personal_Accounts[[#This Row],[If Balance is]]))))</f>
        <v>0</v>
      </c>
      <c r="H160">
        <v>10</v>
      </c>
      <c r="I160" t="s">
        <v>282</v>
      </c>
    </row>
    <row r="161" spans="1:9" x14ac:dyDescent="0.25">
      <c r="B161" s="41" t="s">
        <v>444</v>
      </c>
      <c r="C161" s="41" t="s">
        <v>437</v>
      </c>
      <c r="E161" s="41">
        <f>IF(LEFT(RBC_Personal_Accounts[[#This Row],[If Balance is]],1)&lt;&gt;"$",0,VALUE(LEFT(RBC_Personal_Accounts[[#This Row],[If Balance is]],FIND(" ",RBC_Personal_Accounts[[#This Row],[If Balance is]]))))</f>
        <v>5000</v>
      </c>
      <c r="H161">
        <v>9</v>
      </c>
    </row>
    <row r="162" spans="1:9" x14ac:dyDescent="0.25">
      <c r="B162" s="41" t="s">
        <v>60</v>
      </c>
      <c r="C162" s="41" t="s">
        <v>440</v>
      </c>
      <c r="E162" s="41">
        <f>IF(LEFT(RBC_Personal_Accounts[[#This Row],[If Balance is]],1)&lt;&gt;"$",0,VALUE(LEFT(RBC_Personal_Accounts[[#This Row],[If Balance is]],FIND(" ",RBC_Personal_Accounts[[#This Row],[If Balance is]]))))</f>
        <v>10000</v>
      </c>
      <c r="H162">
        <v>8</v>
      </c>
    </row>
    <row r="163" spans="1:9" x14ac:dyDescent="0.25">
      <c r="B163" s="41" t="s">
        <v>59</v>
      </c>
      <c r="C163" s="41" t="s">
        <v>441</v>
      </c>
      <c r="E163" s="41">
        <f>IF(LEFT(RBC_Personal_Accounts[[#This Row],[If Balance is]],1)&lt;&gt;"$",0,VALUE(LEFT(RBC_Personal_Accounts[[#This Row],[If Balance is]],FIND(" ",RBC_Personal_Accounts[[#This Row],[If Balance is]]))))</f>
        <v>25000</v>
      </c>
      <c r="H163">
        <v>7</v>
      </c>
    </row>
    <row r="164" spans="1:9" x14ac:dyDescent="0.25">
      <c r="B164" s="41" t="s">
        <v>58</v>
      </c>
      <c r="C164" s="41" t="s">
        <v>445</v>
      </c>
      <c r="E164" s="41">
        <f>IF(LEFT(RBC_Personal_Accounts[[#This Row],[If Balance is]],1)&lt;&gt;"$",0,VALUE(LEFT(RBC_Personal_Accounts[[#This Row],[If Balance is]],FIND(" ",RBC_Personal_Accounts[[#This Row],[If Balance is]]))))</f>
        <v>60000</v>
      </c>
      <c r="H164">
        <v>6</v>
      </c>
    </row>
    <row r="165" spans="1:9" x14ac:dyDescent="0.25">
      <c r="B165" s="41" t="s">
        <v>446</v>
      </c>
      <c r="C165" s="41" t="s">
        <v>447</v>
      </c>
      <c r="E165" s="41">
        <f>IF(LEFT(RBC_Personal_Accounts[[#This Row],[If Balance is]],1)&lt;&gt;"$",0,VALUE(LEFT(RBC_Personal_Accounts[[#This Row],[If Balance is]],FIND(" ",RBC_Personal_Accounts[[#This Row],[If Balance is]]))))</f>
        <v>100000</v>
      </c>
      <c r="H165">
        <v>5</v>
      </c>
    </row>
    <row r="166" spans="1:9" x14ac:dyDescent="0.25">
      <c r="B166" s="41" t="s">
        <v>448</v>
      </c>
      <c r="C166" s="41" t="s">
        <v>449</v>
      </c>
      <c r="E166" s="41">
        <f>IF(LEFT(RBC_Personal_Accounts[[#This Row],[If Balance is]],1)&lt;&gt;"$",0,VALUE(LEFT(RBC_Personal_Accounts[[#This Row],[If Balance is]],FIND(" ",RBC_Personal_Accounts[[#This Row],[If Balance is]]))))</f>
        <v>150000</v>
      </c>
      <c r="H166">
        <v>4</v>
      </c>
    </row>
    <row r="167" spans="1:9" x14ac:dyDescent="0.25">
      <c r="B167" s="41" t="s">
        <v>450</v>
      </c>
      <c r="C167" s="41" t="s">
        <v>449</v>
      </c>
      <c r="E167" s="41">
        <f>IF(LEFT(RBC_Personal_Accounts[[#This Row],[If Balance is]],1)&lt;&gt;"$",0,VALUE(LEFT(RBC_Personal_Accounts[[#This Row],[If Balance is]],FIND(" ",RBC_Personal_Accounts[[#This Row],[If Balance is]]))))</f>
        <v>250000</v>
      </c>
      <c r="H167">
        <v>3</v>
      </c>
    </row>
    <row r="168" spans="1:9" x14ac:dyDescent="0.25">
      <c r="A168" t="s">
        <v>51</v>
      </c>
      <c r="B168" s="41" t="s">
        <v>468</v>
      </c>
      <c r="C168" s="41" t="s">
        <v>471</v>
      </c>
      <c r="E168" s="41">
        <f>IF(LEFT(RBC_Personal_Accounts[[#This Row],[If Balance is]],1)&lt;&gt;"$",0,VALUE(LEFT(RBC_Personal_Accounts[[#This Row],[If Balance is]],FIND(" ",RBC_Personal_Accounts[[#This Row],[If Balance is]]))))</f>
        <v>0</v>
      </c>
      <c r="H168">
        <v>2</v>
      </c>
      <c r="I168" t="s">
        <v>281</v>
      </c>
    </row>
    <row r="169" spans="1:9" x14ac:dyDescent="0.25">
      <c r="E169" s="41"/>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5"/>
  <sheetViews>
    <sheetView workbookViewId="0">
      <selection activeCell="B15" sqref="B15:C16"/>
    </sheetView>
  </sheetViews>
  <sheetFormatPr defaultRowHeight="15" x14ac:dyDescent="0.25"/>
  <cols>
    <col min="1" max="1" width="56.7109375" bestFit="1" customWidth="1"/>
    <col min="2" max="2" width="55.140625" bestFit="1" customWidth="1"/>
    <col min="3" max="3" width="14.7109375" style="41" bestFit="1" customWidth="1"/>
    <col min="4" max="4" width="14.7109375" bestFit="1" customWidth="1"/>
  </cols>
  <sheetData>
    <row r="1" spans="1:4" x14ac:dyDescent="0.25">
      <c r="A1" t="s">
        <v>405</v>
      </c>
      <c r="B1" t="s">
        <v>327</v>
      </c>
      <c r="C1" t="s">
        <v>56</v>
      </c>
    </row>
    <row r="2" spans="1:4" x14ac:dyDescent="0.25">
      <c r="B2" s="18" t="s">
        <v>23</v>
      </c>
      <c r="C2" s="41">
        <v>1.2E-2</v>
      </c>
    </row>
    <row r="3" spans="1:4" x14ac:dyDescent="0.25">
      <c r="B3" s="18" t="s">
        <v>382</v>
      </c>
      <c r="C3" s="41">
        <v>0</v>
      </c>
    </row>
    <row r="4" spans="1:4" x14ac:dyDescent="0.25">
      <c r="B4" s="18" t="s">
        <v>383</v>
      </c>
      <c r="C4" s="41">
        <v>0.15</v>
      </c>
    </row>
    <row r="5" spans="1:4" x14ac:dyDescent="0.25">
      <c r="A5" t="s">
        <v>406</v>
      </c>
      <c r="B5" s="18" t="s">
        <v>24</v>
      </c>
      <c r="C5" s="41">
        <v>1.2E-2</v>
      </c>
      <c r="D5" s="41"/>
    </row>
    <row r="6" spans="1:4" x14ac:dyDescent="0.25">
      <c r="B6" s="18" t="s">
        <v>400</v>
      </c>
      <c r="C6" s="41">
        <v>1.2E-2</v>
      </c>
    </row>
    <row r="7" spans="1:4" x14ac:dyDescent="0.25">
      <c r="B7" s="18" t="s">
        <v>401</v>
      </c>
      <c r="C7" s="41">
        <v>1.2E-2</v>
      </c>
    </row>
    <row r="8" spans="1:4" x14ac:dyDescent="0.25">
      <c r="B8" s="18" t="s">
        <v>511</v>
      </c>
      <c r="C8" s="41">
        <v>1.7999999999999999E-2</v>
      </c>
    </row>
    <row r="9" spans="1:4" s="41" customFormat="1" x14ac:dyDescent="0.25">
      <c r="B9" s="73" t="s">
        <v>402</v>
      </c>
      <c r="C9" s="41">
        <v>1.2E-2</v>
      </c>
    </row>
    <row r="10" spans="1:4" s="41" customFormat="1" x14ac:dyDescent="0.25">
      <c r="B10" s="73" t="s">
        <v>512</v>
      </c>
      <c r="C10" s="41">
        <v>1.7999999999999999E-2</v>
      </c>
    </row>
    <row r="11" spans="1:4" s="41" customFormat="1" x14ac:dyDescent="0.25">
      <c r="B11" s="73" t="s">
        <v>403</v>
      </c>
      <c r="C11" s="41">
        <v>1.2E-2</v>
      </c>
    </row>
    <row r="12" spans="1:4" s="41" customFormat="1" x14ac:dyDescent="0.25">
      <c r="B12" s="18" t="s">
        <v>348</v>
      </c>
      <c r="C12" s="41">
        <v>5.0000000000000001E-3</v>
      </c>
    </row>
    <row r="13" spans="1:4" s="41" customFormat="1" x14ac:dyDescent="0.25">
      <c r="B13" s="18" t="s">
        <v>404</v>
      </c>
      <c r="C13" s="41">
        <v>5.0000000000000001E-3</v>
      </c>
    </row>
    <row r="14" spans="1:4" s="41" customFormat="1" x14ac:dyDescent="0.25">
      <c r="B14" s="73"/>
    </row>
    <row r="15" spans="1:4" s="41" customFormat="1" x14ac:dyDescent="0.25"/>
    <row r="16" spans="1:4" s="41" customFormat="1" x14ac:dyDescent="0.25">
      <c r="A16" s="57" t="s">
        <v>368</v>
      </c>
      <c r="B16"/>
      <c r="C16" s="38"/>
    </row>
    <row r="17" spans="1:4" s="41" customFormat="1" x14ac:dyDescent="0.25">
      <c r="B17" t="s">
        <v>386</v>
      </c>
      <c r="C17" t="s">
        <v>482</v>
      </c>
    </row>
    <row r="18" spans="1:4" s="41" customFormat="1" x14ac:dyDescent="0.25">
      <c r="B18" s="41">
        <v>1.4E-2</v>
      </c>
      <c r="C18" s="41">
        <v>9.4999999999999998E-3</v>
      </c>
    </row>
    <row r="19" spans="1:4" x14ac:dyDescent="0.25">
      <c r="A19" t="s">
        <v>117</v>
      </c>
      <c r="B19" s="41"/>
    </row>
    <row r="20" spans="1:4" s="41" customFormat="1" x14ac:dyDescent="0.25">
      <c r="B20"/>
      <c r="D20"/>
    </row>
    <row r="21" spans="1:4" x14ac:dyDescent="0.25">
      <c r="A21" s="41" t="s">
        <v>47</v>
      </c>
    </row>
    <row r="22" spans="1:4" x14ac:dyDescent="0.25">
      <c r="A22" s="41"/>
    </row>
    <row r="23" spans="1:4" x14ac:dyDescent="0.25">
      <c r="A23" s="41"/>
    </row>
    <row r="25" spans="1:4" x14ac:dyDescent="0.25">
      <c r="A25" t="s">
        <v>118</v>
      </c>
    </row>
    <row r="31" spans="1:4" x14ac:dyDescent="0.25">
      <c r="A31" t="s">
        <v>119</v>
      </c>
    </row>
    <row r="37" spans="1:1" x14ac:dyDescent="0.25">
      <c r="A37" t="s">
        <v>120</v>
      </c>
    </row>
    <row r="43" spans="1:1" x14ac:dyDescent="0.25">
      <c r="A43" t="s">
        <v>121</v>
      </c>
    </row>
    <row r="57" spans="1:1" x14ac:dyDescent="0.25">
      <c r="A57" t="s">
        <v>122</v>
      </c>
    </row>
    <row r="70" spans="1:1" x14ac:dyDescent="0.25">
      <c r="A70" t="s">
        <v>123</v>
      </c>
    </row>
    <row r="80" spans="1:1" x14ac:dyDescent="0.25">
      <c r="A80" t="s">
        <v>124</v>
      </c>
    </row>
    <row r="83" spans="1:1" x14ac:dyDescent="0.25">
      <c r="A83" t="s">
        <v>125</v>
      </c>
    </row>
    <row r="85" spans="1:1" x14ac:dyDescent="0.25">
      <c r="A85" t="s">
        <v>126</v>
      </c>
    </row>
    <row r="87" spans="1:1" x14ac:dyDescent="0.25">
      <c r="A87" t="s">
        <v>127</v>
      </c>
    </row>
    <row r="95" spans="1:1" x14ac:dyDescent="0.25">
      <c r="A95" s="2"/>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vt:lpstr>
      <vt:lpstr>BMO</vt:lpstr>
      <vt:lpstr>BNS</vt:lpstr>
      <vt:lpstr>Simplii</vt:lpstr>
      <vt:lpstr>NBC</vt:lpstr>
      <vt:lpstr>HSBC</vt:lpstr>
      <vt:lpstr>B2B</vt:lpstr>
      <vt:lpstr>Meridian</vt:lpstr>
      <vt:lpstr>Altamira</vt:lpstr>
      <vt:lpstr>HomeTrust</vt:lpstr>
      <vt:lpstr>EQ</vt:lpstr>
      <vt:lpstr>ICICI</vt:lpstr>
      <vt:lpstr>CT</vt:lpstr>
      <vt:lpstr>TD</vt:lpstr>
      <vt:lpstr>RBC</vt:lpstr>
      <vt:lpstr>Manulife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cp:lastPrinted>2019-07-02T14:04:23Z</cp:lastPrinted>
  <dcterms:created xsi:type="dcterms:W3CDTF">2015-06-05T18:17:20Z</dcterms:created>
  <dcterms:modified xsi:type="dcterms:W3CDTF">2019-12-11T14:45:21Z</dcterms:modified>
  <cp:category/>
  <cp:contentStatus/>
</cp:coreProperties>
</file>